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LIENTES\Boa Nova\RATEIO DE OBRAS - BOA E BELA\RATEIO - BELA NOVA\2026\06.2026\"/>
    </mc:Choice>
  </mc:AlternateContent>
  <xr:revisionPtr revIDLastSave="0" documentId="13_ncr:1_{CDFEDA48-6963-45F4-8957-F0CD5CE20607}" xr6:coauthVersionLast="47" xr6:coauthVersionMax="47" xr10:uidLastSave="{00000000-0000-0000-0000-000000000000}"/>
  <bookViews>
    <workbookView xWindow="-120" yWindow="-120" windowWidth="19440" windowHeight="11640" tabRatio="603" firstSheet="41" activeTab="44" xr2:uid="{00000000-000D-0000-FFFF-FFFF00000000}"/>
  </bookViews>
  <sheets>
    <sheet name="OBRA 251" sheetId="22" r:id="rId1"/>
    <sheet name="OBRA 259 " sheetId="7" state="hidden" r:id="rId2"/>
    <sheet name="OBRA 265" sheetId="4" state="hidden" r:id="rId3"/>
    <sheet name="OBRA 267" sheetId="11" state="hidden" r:id="rId4"/>
    <sheet name="OBRA 268" sheetId="12" state="hidden" r:id="rId5"/>
    <sheet name="OBRA 269" sheetId="31" state="hidden" r:id="rId6"/>
    <sheet name="OBRA 270" sheetId="29" state="hidden" r:id="rId7"/>
    <sheet name="OBRA 274" sheetId="8" r:id="rId8"/>
    <sheet name="OBRA 275" sheetId="13" state="hidden" r:id="rId9"/>
    <sheet name="OBRA 277" sheetId="14" state="hidden" r:id="rId10"/>
    <sheet name="OBRA 279" sheetId="19" state="hidden" r:id="rId11"/>
    <sheet name="OBRA 280" sheetId="20" state="hidden" r:id="rId12"/>
    <sheet name="OBRA 281" sheetId="21" state="hidden" r:id="rId13"/>
    <sheet name="OBRA 282" sheetId="24" state="hidden" r:id="rId14"/>
    <sheet name="OBRA 283" sheetId="26" state="hidden" r:id="rId15"/>
    <sheet name="OBRA 284" sheetId="25" state="hidden" r:id="rId16"/>
    <sheet name="OBRA 285" sheetId="27" state="hidden" r:id="rId17"/>
    <sheet name="OBRA 286" sheetId="33" r:id="rId18"/>
    <sheet name="OBRA 287" sheetId="28" r:id="rId19"/>
    <sheet name="OBRA 288" sheetId="32" state="hidden" r:id="rId20"/>
    <sheet name="OBRA 289" sheetId="35" state="hidden" r:id="rId21"/>
    <sheet name="OBRA 290" sheetId="37" state="hidden" r:id="rId22"/>
    <sheet name="OBRA 291" sheetId="38" state="hidden" r:id="rId23"/>
    <sheet name="OBRA 292" sheetId="41" state="hidden" r:id="rId24"/>
    <sheet name="OBRA 293" sheetId="42" state="hidden" r:id="rId25"/>
    <sheet name="OBRA 294" sheetId="39" state="hidden" r:id="rId26"/>
    <sheet name="OBRA 295" sheetId="43" r:id="rId27"/>
    <sheet name="OBRA 296" sheetId="44" r:id="rId28"/>
    <sheet name="OBRA 297" sheetId="45" state="hidden" r:id="rId29"/>
    <sheet name="OBRA 298" sheetId="48" r:id="rId30"/>
    <sheet name="OBRA 299" sheetId="46" state="hidden" r:id="rId31"/>
    <sheet name="OBRA 300" sheetId="47" r:id="rId32"/>
    <sheet name="OBRA 301" sheetId="50" r:id="rId33"/>
    <sheet name="OBRA 302" sheetId="51" state="hidden" r:id="rId34"/>
    <sheet name="OBRA 303" sheetId="52" r:id="rId35"/>
    <sheet name="OBRA 304" sheetId="53" r:id="rId36"/>
    <sheet name="OBRA 305" sheetId="57" r:id="rId37"/>
    <sheet name="OBRA 306" sheetId="55" r:id="rId38"/>
    <sheet name="OBRA 307" sheetId="56" r:id="rId39"/>
    <sheet name="OBRA 308" sheetId="58" r:id="rId40"/>
    <sheet name="OBRA 309" sheetId="59" state="hidden" r:id="rId41"/>
    <sheet name="OBRA 310" sheetId="60" r:id="rId42"/>
    <sheet name="OBRA 311" sheetId="61" r:id="rId43"/>
    <sheet name="OBRA 312" sheetId="62" r:id="rId44"/>
    <sheet name="OBRA 313" sheetId="67" r:id="rId45"/>
    <sheet name="OBRA 314" sheetId="68" r:id="rId46"/>
    <sheet name="OBRA 315" sheetId="63" r:id="rId47"/>
    <sheet name="OBRA 316" sheetId="65" r:id="rId48"/>
    <sheet name="OBRA 317" sheetId="66" r:id="rId49"/>
    <sheet name="OBRA 318" sheetId="69" r:id="rId50"/>
    <sheet name="OBRA 319" sheetId="70" r:id="rId51"/>
    <sheet name="DEMAIS OBRAS" sheetId="18" r:id="rId52"/>
    <sheet name="TOTAIS" sheetId="6" r:id="rId53"/>
    <sheet name="06.2026 DEPTO TÉCNICO " sheetId="17" r:id="rId54"/>
  </sheets>
  <definedNames>
    <definedName name="_xlnm._FilterDatabase" localSheetId="0" hidden="1">'OBRA 251'!$B$9:$R$54</definedName>
    <definedName name="_xlnm._FilterDatabase" localSheetId="1" hidden="1">'OBRA 259 '!$B$9:$S$54</definedName>
    <definedName name="_xlnm._FilterDatabase" localSheetId="2" hidden="1">'OBRA 265'!$B$10:$Q$55</definedName>
    <definedName name="_xlnm._FilterDatabase" localSheetId="3" hidden="1">'OBRA 267'!$B$10:$R$55</definedName>
    <definedName name="_xlnm._FilterDatabase" localSheetId="4" hidden="1">'OBRA 268'!$B$9:$Q$54</definedName>
    <definedName name="_xlnm._FilterDatabase" localSheetId="5" hidden="1">'OBRA 269'!$A$7:$B$52</definedName>
    <definedName name="_xlnm._FilterDatabase" localSheetId="6" hidden="1">'OBRA 270'!$A$8:$B$41</definedName>
    <definedName name="_xlnm._FilterDatabase" localSheetId="7" hidden="1">'OBRA 274'!$B$10:$C$55</definedName>
    <definedName name="_xlnm._FilterDatabase" localSheetId="8" hidden="1">'OBRA 275'!$B$10:$C$55</definedName>
    <definedName name="_xlnm._FilterDatabase" localSheetId="9" hidden="1">'OBRA 277'!$B$10:$B$43</definedName>
    <definedName name="_xlnm._FilterDatabase" localSheetId="10" hidden="1">'OBRA 279'!#REF!</definedName>
    <definedName name="_xlnm._FilterDatabase" localSheetId="11" hidden="1">'OBRA 280'!#REF!</definedName>
    <definedName name="_xlnm._FilterDatabase" localSheetId="12" hidden="1">'OBRA 281'!$B$8:$B$53</definedName>
    <definedName name="_xlnm._FilterDatabase" localSheetId="13" hidden="1">'OBRA 282'!$B$7:$B$40</definedName>
    <definedName name="_xlnm._FilterDatabase" localSheetId="14" hidden="1">'OBRA 283'!$B$7:$B$40</definedName>
    <definedName name="_xlnm._FilterDatabase" localSheetId="15" hidden="1">'OBRA 284'!$B$7:$B$40</definedName>
    <definedName name="_xlnm._FilterDatabase" localSheetId="16" hidden="1">'OBRA 285'!$B$7:$B$40</definedName>
    <definedName name="_xlnm._FilterDatabase" localSheetId="17" hidden="1">'OBRA 286'!$A$7:$B$40</definedName>
    <definedName name="_xlnm._FilterDatabase" localSheetId="18" hidden="1">'OBRA 287'!$A$7:$B$40</definedName>
    <definedName name="_xlnm._FilterDatabase" localSheetId="19" hidden="1">'OBRA 288'!$A$7:$A$40</definedName>
    <definedName name="_xlnm._FilterDatabase" localSheetId="20" hidden="1">'OBRA 289'!$A$7:$B$40</definedName>
    <definedName name="_xlnm._FilterDatabase" localSheetId="21" hidden="1">'OBRA 290'!$A$7:$B$40</definedName>
    <definedName name="_xlnm._FilterDatabase" localSheetId="22" hidden="1">'OBRA 291'!$A$7:$B$40</definedName>
    <definedName name="_xlnm._FilterDatabase" localSheetId="23" hidden="1">'OBRA 292'!$A$7:$A$40</definedName>
    <definedName name="_xlnm._FilterDatabase" localSheetId="24" hidden="1">'OBRA 293'!$A$7:$A$40</definedName>
    <definedName name="_xlnm._FilterDatabase" localSheetId="25" hidden="1">'OBRA 294'!$A$7:$A$40</definedName>
    <definedName name="_xlnm._FilterDatabase" localSheetId="26" hidden="1">'OBRA 295'!$A$7:$A$40</definedName>
    <definedName name="_xlnm._FilterDatabase" localSheetId="27" hidden="1">'OBRA 296'!$A$7:$A$40</definedName>
    <definedName name="_xlnm._FilterDatabase" localSheetId="28" hidden="1">'OBRA 297'!$A$7:$A$40</definedName>
    <definedName name="_xlnm._FilterDatabase" localSheetId="29" hidden="1">'OBRA 298'!$A$8:$A$41</definedName>
    <definedName name="_xlnm._FilterDatabase" localSheetId="30" hidden="1">'OBRA 299'!$A$7:$A$40</definedName>
    <definedName name="_xlnm._FilterDatabase" localSheetId="31" hidden="1">'OBRA 300'!$A$8:$A$41</definedName>
    <definedName name="_xlnm._FilterDatabase" localSheetId="32" hidden="1">'OBRA 301'!$A$7:$A$40</definedName>
    <definedName name="_xlnm._FilterDatabase" localSheetId="33" hidden="1">'OBRA 302'!$A$7:$A$40</definedName>
    <definedName name="_xlnm._FilterDatabase" localSheetId="34" hidden="1">'OBRA 303'!$A$7:$A$40</definedName>
    <definedName name="_xlnm._FilterDatabase" localSheetId="35" hidden="1">'OBRA 304'!$A$7:$A$40</definedName>
    <definedName name="_xlnm._FilterDatabase" localSheetId="36" hidden="1">'OBRA 305'!$A$7:$A$40</definedName>
    <definedName name="_xlnm._FilterDatabase" localSheetId="37" hidden="1">'OBRA 306'!$A$7:$A$40</definedName>
    <definedName name="_xlnm._FilterDatabase" localSheetId="38" hidden="1">'OBRA 307'!$A$7:$A$40</definedName>
    <definedName name="_xlnm._FilterDatabase" localSheetId="39" hidden="1">'OBRA 308'!$A$7:$A$40</definedName>
    <definedName name="_xlnm._FilterDatabase" localSheetId="40" hidden="1">'OBRA 309'!$A$7:$A$40</definedName>
    <definedName name="_xlnm._FilterDatabase" localSheetId="41" hidden="1">'OBRA 310'!$A$7:$A$40</definedName>
    <definedName name="_xlnm._FilterDatabase" localSheetId="42" hidden="1">'OBRA 311'!$A$7:$A$40</definedName>
    <definedName name="_xlnm._FilterDatabase" localSheetId="43" hidden="1">'OBRA 312'!$A$7:$A$40</definedName>
    <definedName name="_xlnm._FilterDatabase" localSheetId="44" hidden="1">'OBRA 313'!$A$7:$A$40</definedName>
    <definedName name="_xlnm._FilterDatabase" localSheetId="45" hidden="1">'OBRA 314'!$A$7:$A$40</definedName>
    <definedName name="_xlnm._FilterDatabase" localSheetId="46" hidden="1">'OBRA 315'!$A$7:$A$40</definedName>
    <definedName name="_xlnm._FilterDatabase" localSheetId="47" hidden="1">'OBRA 316'!$A$7:$A$40</definedName>
    <definedName name="_xlnm._FilterDatabase" localSheetId="48" hidden="1">'OBRA 317'!$A$7:$A$40</definedName>
    <definedName name="_xlnm._FilterDatabase" localSheetId="49" hidden="1">'OBRA 318'!$A$7:$A$40</definedName>
    <definedName name="_xlnm._FilterDatabase" localSheetId="50" hidden="1">'OBRA 319'!$A$7:$A$40</definedName>
    <definedName name="_xlnm.Print_Area" localSheetId="51">'DEMAIS OBRAS'!$A$1:$S$59</definedName>
    <definedName name="_xlnm.Print_Area" localSheetId="27">'OBRA 296'!$A$1:$Q$59</definedName>
    <definedName name="_xlnm.Print_Area" localSheetId="28">'OBRA 297'!$A$1:$K$57</definedName>
    <definedName name="_xlnm.Print_Area" localSheetId="29">'OBRA 298'!$A$2:$Q$57</definedName>
    <definedName name="_xlnm.Print_Area" localSheetId="30">'OBRA 299'!$A$1:$P$56</definedName>
    <definedName name="_xlnm.Print_Area" localSheetId="31">'OBRA 300'!$A$2:$Q$57</definedName>
    <definedName name="_xlnm.Print_Area" localSheetId="32">'OBRA 301'!$A$1:$Q$56</definedName>
    <definedName name="_xlnm.Print_Area" localSheetId="33">'OBRA 302'!$A$1:$G$56</definedName>
    <definedName name="_xlnm.Print_Area" localSheetId="34">'OBRA 303'!$A$1:$Q$56</definedName>
    <definedName name="_xlnm.Print_Area" localSheetId="35">'OBRA 304'!$A$1:$Q$56</definedName>
    <definedName name="_xlnm.Print_Area" localSheetId="36">'OBRA 305'!$A$1:$P$56</definedName>
    <definedName name="_xlnm.Print_Area" localSheetId="37">'OBRA 306'!$A$1:$Q$56</definedName>
    <definedName name="_xlnm.Print_Area" localSheetId="38">'OBRA 307'!$A$1:$P$56</definedName>
    <definedName name="_xlnm.Print_Area" localSheetId="39">'OBRA 308'!$A$1:$P$56</definedName>
    <definedName name="_xlnm.Print_Area" localSheetId="40">'OBRA 309'!$A$1:$C$56</definedName>
    <definedName name="_xlnm.Print_Area" localSheetId="41">'OBRA 310'!$A$1:$P$56</definedName>
    <definedName name="_xlnm.Print_Area" localSheetId="42">'OBRA 311'!$A$1:$P$56</definedName>
    <definedName name="_xlnm.Print_Area" localSheetId="43">'OBRA 312'!$A$1:$P$56</definedName>
    <definedName name="_xlnm.Print_Area" localSheetId="44">'OBRA 313'!$A$1:$P$56</definedName>
    <definedName name="_xlnm.Print_Area" localSheetId="45">'OBRA 314'!$A$1:$O$56</definedName>
    <definedName name="_xlnm.Print_Area" localSheetId="46">'OBRA 315'!$A$1:$P$56</definedName>
    <definedName name="_xlnm.Print_Area" localSheetId="47">'OBRA 316'!$A$1:$P$56</definedName>
    <definedName name="_xlnm.Print_Area" localSheetId="48">'OBRA 317'!$A$1:$P$56</definedName>
    <definedName name="_xlnm.Print_Area" localSheetId="49">'OBRA 318'!$A$1:$L$56</definedName>
    <definedName name="_xlnm.Print_Area" localSheetId="50">'OBRA 319'!$A$1:$L$56</definedName>
  </definedNames>
  <calcPr calcId="181029"/>
</workbook>
</file>

<file path=xl/calcChain.xml><?xml version="1.0" encoding="utf-8"?>
<calcChain xmlns="http://schemas.openxmlformats.org/spreadsheetml/2006/main">
  <c r="P14" i="44" l="1"/>
  <c r="J18" i="6" l="1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17" i="6"/>
  <c r="J13" i="6"/>
  <c r="J12" i="6"/>
  <c r="P10" i="53"/>
  <c r="P9" i="53"/>
  <c r="P11" i="53" s="1"/>
  <c r="I18" i="6" l="1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17" i="6"/>
  <c r="I13" i="6"/>
  <c r="I12" i="6"/>
  <c r="I14" i="6" s="1"/>
  <c r="N51" i="70"/>
  <c r="O51" i="70" s="1"/>
  <c r="N49" i="70"/>
  <c r="O49" i="70" s="1"/>
  <c r="N47" i="70"/>
  <c r="O47" i="70" s="1"/>
  <c r="J46" i="70"/>
  <c r="I46" i="70"/>
  <c r="H46" i="70"/>
  <c r="G46" i="70"/>
  <c r="F46" i="70"/>
  <c r="E46" i="70"/>
  <c r="D46" i="70"/>
  <c r="C46" i="70"/>
  <c r="B46" i="70"/>
  <c r="N45" i="70"/>
  <c r="O45" i="70" s="1"/>
  <c r="J44" i="70"/>
  <c r="I44" i="70"/>
  <c r="H44" i="70"/>
  <c r="G44" i="70"/>
  <c r="F44" i="70"/>
  <c r="E44" i="70"/>
  <c r="D44" i="70"/>
  <c r="C44" i="70"/>
  <c r="B44" i="70"/>
  <c r="N43" i="70"/>
  <c r="O43" i="70" s="1"/>
  <c r="N41" i="70"/>
  <c r="O41" i="70" s="1"/>
  <c r="J40" i="70"/>
  <c r="J48" i="70" s="1"/>
  <c r="I40" i="70"/>
  <c r="I48" i="70" s="1"/>
  <c r="H40" i="70"/>
  <c r="H48" i="70" s="1"/>
  <c r="G40" i="70"/>
  <c r="G50" i="70" s="1"/>
  <c r="F40" i="70"/>
  <c r="F50" i="70" s="1"/>
  <c r="E40" i="70"/>
  <c r="E50" i="70" s="1"/>
  <c r="D40" i="70"/>
  <c r="D48" i="70" s="1"/>
  <c r="C40" i="70"/>
  <c r="C48" i="70" s="1"/>
  <c r="B40" i="70"/>
  <c r="B48" i="70" s="1"/>
  <c r="N39" i="70"/>
  <c r="K39" i="70"/>
  <c r="N38" i="70"/>
  <c r="K38" i="70"/>
  <c r="N37" i="70"/>
  <c r="K37" i="70"/>
  <c r="N36" i="70"/>
  <c r="K36" i="70"/>
  <c r="N35" i="70"/>
  <c r="K35" i="70"/>
  <c r="N34" i="70"/>
  <c r="K34" i="70"/>
  <c r="N33" i="70"/>
  <c r="K33" i="70"/>
  <c r="N32" i="70"/>
  <c r="K32" i="70"/>
  <c r="N31" i="70"/>
  <c r="K31" i="70"/>
  <c r="N30" i="70"/>
  <c r="K30" i="70"/>
  <c r="N29" i="70"/>
  <c r="K29" i="70"/>
  <c r="N28" i="70"/>
  <c r="K28" i="70"/>
  <c r="N27" i="70"/>
  <c r="K27" i="70"/>
  <c r="N26" i="70"/>
  <c r="K26" i="70"/>
  <c r="N25" i="70"/>
  <c r="K25" i="70"/>
  <c r="N24" i="70"/>
  <c r="K24" i="70"/>
  <c r="N23" i="70"/>
  <c r="K23" i="70"/>
  <c r="N22" i="70"/>
  <c r="K22" i="70"/>
  <c r="N21" i="70"/>
  <c r="K21" i="70"/>
  <c r="N20" i="70"/>
  <c r="K20" i="70"/>
  <c r="N19" i="70"/>
  <c r="K19" i="70"/>
  <c r="N18" i="70"/>
  <c r="K18" i="70"/>
  <c r="N17" i="70"/>
  <c r="K17" i="70"/>
  <c r="N16" i="70"/>
  <c r="K16" i="70"/>
  <c r="N15" i="70"/>
  <c r="K15" i="70"/>
  <c r="N14" i="70"/>
  <c r="K14" i="70"/>
  <c r="N13" i="70"/>
  <c r="O13" i="70" s="1"/>
  <c r="N12" i="70"/>
  <c r="O12" i="70" s="1"/>
  <c r="J11" i="70"/>
  <c r="J42" i="70" s="1"/>
  <c r="I11" i="70"/>
  <c r="H11" i="70"/>
  <c r="G11" i="70"/>
  <c r="F11" i="70"/>
  <c r="E11" i="70"/>
  <c r="E42" i="70" s="1"/>
  <c r="D11" i="70"/>
  <c r="D42" i="70" s="1"/>
  <c r="C11" i="70"/>
  <c r="B11" i="70"/>
  <c r="N10" i="70"/>
  <c r="K10" i="70"/>
  <c r="N9" i="70"/>
  <c r="K9" i="70"/>
  <c r="K11" i="70" s="1"/>
  <c r="O15" i="70" l="1"/>
  <c r="O9" i="70"/>
  <c r="O21" i="70"/>
  <c r="N46" i="70"/>
  <c r="O24" i="70"/>
  <c r="O30" i="70"/>
  <c r="O39" i="70"/>
  <c r="O27" i="70"/>
  <c r="O33" i="70"/>
  <c r="N44" i="70"/>
  <c r="F42" i="70"/>
  <c r="O10" i="70"/>
  <c r="G42" i="70"/>
  <c r="O36" i="70"/>
  <c r="O14" i="70"/>
  <c r="O18" i="70"/>
  <c r="O17" i="70"/>
  <c r="O20" i="70"/>
  <c r="O23" i="70"/>
  <c r="O26" i="70"/>
  <c r="O29" i="70"/>
  <c r="O32" i="70"/>
  <c r="O35" i="70"/>
  <c r="O38" i="70"/>
  <c r="O46" i="70"/>
  <c r="O16" i="70"/>
  <c r="O19" i="70"/>
  <c r="B42" i="70"/>
  <c r="N11" i="70"/>
  <c r="O11" i="70" s="1"/>
  <c r="C42" i="70"/>
  <c r="I42" i="70"/>
  <c r="F48" i="70"/>
  <c r="F52" i="70" s="1"/>
  <c r="C50" i="70"/>
  <c r="C57" i="70" s="1"/>
  <c r="I50" i="70"/>
  <c r="I57" i="70" s="1"/>
  <c r="O22" i="70"/>
  <c r="O25" i="70"/>
  <c r="O28" i="70"/>
  <c r="O31" i="70"/>
  <c r="O34" i="70"/>
  <c r="O37" i="70"/>
  <c r="K40" i="70"/>
  <c r="H42" i="70"/>
  <c r="H52" i="70" s="1"/>
  <c r="K44" i="70"/>
  <c r="E48" i="70"/>
  <c r="K48" i="70" s="1"/>
  <c r="B50" i="70"/>
  <c r="H50" i="70"/>
  <c r="H57" i="70" s="1"/>
  <c r="H59" i="70" s="1"/>
  <c r="N40" i="70"/>
  <c r="G48" i="70"/>
  <c r="G57" i="70" s="1"/>
  <c r="D50" i="70"/>
  <c r="D57" i="70" s="1"/>
  <c r="J50" i="70"/>
  <c r="J52" i="70" s="1"/>
  <c r="F57" i="70"/>
  <c r="K46" i="70"/>
  <c r="K14" i="69"/>
  <c r="K9" i="69"/>
  <c r="K11" i="69" s="1"/>
  <c r="N51" i="69"/>
  <c r="O51" i="69" s="1"/>
  <c r="N49" i="69"/>
  <c r="O49" i="69" s="1"/>
  <c r="N47" i="69"/>
  <c r="O47" i="69" s="1"/>
  <c r="J46" i="69"/>
  <c r="I46" i="69"/>
  <c r="H46" i="69"/>
  <c r="G46" i="69"/>
  <c r="F46" i="69"/>
  <c r="E46" i="69"/>
  <c r="D46" i="69"/>
  <c r="C46" i="69"/>
  <c r="B46" i="69"/>
  <c r="N46" i="69" s="1"/>
  <c r="N45" i="69"/>
  <c r="O45" i="69" s="1"/>
  <c r="J44" i="69"/>
  <c r="I44" i="69"/>
  <c r="H44" i="69"/>
  <c r="G44" i="69"/>
  <c r="F44" i="69"/>
  <c r="E44" i="69"/>
  <c r="D44" i="69"/>
  <c r="C44" i="69"/>
  <c r="B44" i="69"/>
  <c r="N44" i="69" s="1"/>
  <c r="N43" i="69"/>
  <c r="O43" i="69" s="1"/>
  <c r="N41" i="69"/>
  <c r="O41" i="69" s="1"/>
  <c r="J40" i="69"/>
  <c r="J50" i="69" s="1"/>
  <c r="I40" i="69"/>
  <c r="I50" i="69" s="1"/>
  <c r="H40" i="69"/>
  <c r="H48" i="69" s="1"/>
  <c r="G40" i="69"/>
  <c r="G50" i="69" s="1"/>
  <c r="F40" i="69"/>
  <c r="F48" i="69" s="1"/>
  <c r="E40" i="69"/>
  <c r="E50" i="69" s="1"/>
  <c r="D40" i="69"/>
  <c r="D50" i="69" s="1"/>
  <c r="C40" i="69"/>
  <c r="C50" i="69" s="1"/>
  <c r="B40" i="69"/>
  <c r="B50" i="69" s="1"/>
  <c r="N39" i="69"/>
  <c r="K39" i="69"/>
  <c r="N38" i="69"/>
  <c r="K38" i="69"/>
  <c r="N37" i="69"/>
  <c r="K37" i="69"/>
  <c r="N36" i="69"/>
  <c r="K36" i="69"/>
  <c r="N35" i="69"/>
  <c r="O35" i="69" s="1"/>
  <c r="K35" i="69"/>
  <c r="N34" i="69"/>
  <c r="O34" i="69" s="1"/>
  <c r="K34" i="69"/>
  <c r="N33" i="69"/>
  <c r="K33" i="69"/>
  <c r="N32" i="69"/>
  <c r="K32" i="69"/>
  <c r="N31" i="69"/>
  <c r="K31" i="69"/>
  <c r="K30" i="69"/>
  <c r="N29" i="69"/>
  <c r="K29" i="69"/>
  <c r="N28" i="69"/>
  <c r="K28" i="69"/>
  <c r="N27" i="69"/>
  <c r="K27" i="69"/>
  <c r="N26" i="69"/>
  <c r="O26" i="69" s="1"/>
  <c r="K26" i="69"/>
  <c r="N25" i="69"/>
  <c r="K25" i="69"/>
  <c r="N24" i="69"/>
  <c r="K24" i="69"/>
  <c r="N23" i="69"/>
  <c r="K23" i="69"/>
  <c r="N22" i="69"/>
  <c r="K22" i="69"/>
  <c r="N21" i="69"/>
  <c r="K21" i="69"/>
  <c r="N20" i="69"/>
  <c r="K20" i="69"/>
  <c r="N19" i="69"/>
  <c r="K19" i="69"/>
  <c r="N18" i="69"/>
  <c r="K18" i="69"/>
  <c r="N17" i="69"/>
  <c r="N16" i="69"/>
  <c r="O16" i="69" s="1"/>
  <c r="K16" i="69"/>
  <c r="N15" i="69"/>
  <c r="K15" i="69"/>
  <c r="N14" i="69"/>
  <c r="N13" i="69"/>
  <c r="O13" i="69" s="1"/>
  <c r="N12" i="69"/>
  <c r="O12" i="69" s="1"/>
  <c r="J11" i="69"/>
  <c r="J42" i="69" s="1"/>
  <c r="I11" i="69"/>
  <c r="I42" i="69" s="1"/>
  <c r="H11" i="69"/>
  <c r="H42" i="69" s="1"/>
  <c r="G11" i="69"/>
  <c r="F11" i="69"/>
  <c r="E11" i="69"/>
  <c r="E42" i="69" s="1"/>
  <c r="D11" i="69"/>
  <c r="D42" i="69" s="1"/>
  <c r="C11" i="69"/>
  <c r="B11" i="69"/>
  <c r="N11" i="69" s="1"/>
  <c r="N10" i="69"/>
  <c r="K10" i="69"/>
  <c r="N9" i="69"/>
  <c r="O15" i="69" l="1"/>
  <c r="O24" i="69"/>
  <c r="O27" i="69"/>
  <c r="O39" i="69"/>
  <c r="O22" i="69"/>
  <c r="J57" i="70"/>
  <c r="J59" i="70" s="1"/>
  <c r="F50" i="69"/>
  <c r="I48" i="69"/>
  <c r="O29" i="69"/>
  <c r="O38" i="69"/>
  <c r="N48" i="70"/>
  <c r="O48" i="70" s="1"/>
  <c r="O20" i="69"/>
  <c r="O23" i="69"/>
  <c r="C42" i="69"/>
  <c r="O18" i="69"/>
  <c r="C48" i="69"/>
  <c r="C57" i="69" s="1"/>
  <c r="O40" i="70"/>
  <c r="D59" i="70"/>
  <c r="F59" i="70"/>
  <c r="N50" i="70"/>
  <c r="K50" i="70"/>
  <c r="N42" i="70"/>
  <c r="B52" i="70"/>
  <c r="K42" i="70"/>
  <c r="O44" i="70"/>
  <c r="I52" i="70"/>
  <c r="I59" i="70" s="1"/>
  <c r="B57" i="70"/>
  <c r="E52" i="70"/>
  <c r="C52" i="70"/>
  <c r="C59" i="70" s="1"/>
  <c r="D52" i="70"/>
  <c r="G52" i="70"/>
  <c r="G59" i="70" s="1"/>
  <c r="E57" i="70"/>
  <c r="O14" i="69"/>
  <c r="O19" i="69"/>
  <c r="B42" i="69"/>
  <c r="O32" i="69"/>
  <c r="O9" i="69"/>
  <c r="O25" i="69"/>
  <c r="O33" i="69"/>
  <c r="O11" i="69"/>
  <c r="O10" i="69"/>
  <c r="F57" i="69"/>
  <c r="O28" i="69"/>
  <c r="O31" i="69"/>
  <c r="O36" i="69"/>
  <c r="B48" i="69"/>
  <c r="H52" i="69"/>
  <c r="O21" i="69"/>
  <c r="O37" i="69"/>
  <c r="H57" i="69"/>
  <c r="H59" i="69" s="1"/>
  <c r="G48" i="69"/>
  <c r="G57" i="69" s="1"/>
  <c r="H50" i="69"/>
  <c r="I52" i="69"/>
  <c r="I57" i="69"/>
  <c r="I59" i="69" s="1"/>
  <c r="K44" i="69"/>
  <c r="N30" i="69"/>
  <c r="O30" i="69" s="1"/>
  <c r="G42" i="69"/>
  <c r="G52" i="69" s="1"/>
  <c r="K46" i="69"/>
  <c r="D48" i="69"/>
  <c r="D52" i="69" s="1"/>
  <c r="J48" i="69"/>
  <c r="J52" i="69" s="1"/>
  <c r="K17" i="69"/>
  <c r="F42" i="69"/>
  <c r="F52" i="69" s="1"/>
  <c r="F59" i="69" s="1"/>
  <c r="E48" i="69"/>
  <c r="E57" i="69" s="1"/>
  <c r="G59" i="69" l="1"/>
  <c r="C52" i="69"/>
  <c r="C59" i="69"/>
  <c r="B59" i="70"/>
  <c r="O50" i="70"/>
  <c r="K57" i="70"/>
  <c r="N52" i="70"/>
  <c r="K52" i="70"/>
  <c r="E59" i="70"/>
  <c r="O42" i="70"/>
  <c r="B52" i="69"/>
  <c r="B57" i="69"/>
  <c r="B59" i="69" s="1"/>
  <c r="O44" i="69"/>
  <c r="K40" i="69"/>
  <c r="O17" i="69"/>
  <c r="J57" i="69"/>
  <c r="J59" i="69" s="1"/>
  <c r="E52" i="69"/>
  <c r="E59" i="69" s="1"/>
  <c r="D57" i="69"/>
  <c r="D59" i="69" s="1"/>
  <c r="K48" i="69"/>
  <c r="N40" i="69"/>
  <c r="O46" i="69"/>
  <c r="O52" i="70" l="1"/>
  <c r="K59" i="70"/>
  <c r="K42" i="69"/>
  <c r="N42" i="69"/>
  <c r="N48" i="69"/>
  <c r="O48" i="69" s="1"/>
  <c r="N50" i="69"/>
  <c r="K50" i="69"/>
  <c r="K57" i="69"/>
  <c r="O40" i="69"/>
  <c r="O42" i="69" l="1"/>
  <c r="K52" i="69"/>
  <c r="N52" i="69"/>
  <c r="O50" i="69"/>
  <c r="O52" i="69" l="1"/>
  <c r="K59" i="69"/>
  <c r="G21" i="22" l="1"/>
  <c r="Q21" i="22"/>
  <c r="W43" i="6"/>
  <c r="G20" i="22" l="1"/>
  <c r="G42" i="22" s="1"/>
  <c r="H22" i="6" l="1"/>
  <c r="H23" i="6"/>
  <c r="E30" i="66"/>
  <c r="D30" i="68"/>
  <c r="E30" i="60"/>
  <c r="F30" i="53"/>
  <c r="H17" i="6"/>
  <c r="H18" i="6"/>
  <c r="H19" i="6"/>
  <c r="H21" i="6"/>
  <c r="H24" i="6"/>
  <c r="H26" i="6"/>
  <c r="H27" i="6"/>
  <c r="H28" i="6"/>
  <c r="H29" i="6"/>
  <c r="H30" i="6"/>
  <c r="H31" i="6"/>
  <c r="H32" i="6"/>
  <c r="H34" i="6"/>
  <c r="H35" i="6"/>
  <c r="H36" i="6"/>
  <c r="H37" i="6"/>
  <c r="H38" i="6"/>
  <c r="H39" i="6"/>
  <c r="H40" i="6"/>
  <c r="H41" i="6"/>
  <c r="H42" i="6"/>
  <c r="H13" i="6"/>
  <c r="H12" i="6"/>
  <c r="E17" i="66"/>
  <c r="E17" i="65"/>
  <c r="E17" i="60"/>
  <c r="E17" i="57"/>
  <c r="F17" i="52"/>
  <c r="H20" i="8"/>
  <c r="H20" i="6" s="1"/>
  <c r="E35" i="57"/>
  <c r="H33" i="6" l="1"/>
  <c r="H43" i="6" s="1"/>
  <c r="H14" i="6"/>
  <c r="Q10" i="68" l="1"/>
  <c r="Q12" i="68"/>
  <c r="Q13" i="68"/>
  <c r="Q14" i="68"/>
  <c r="Q15" i="68"/>
  <c r="Q16" i="68"/>
  <c r="Q17" i="68"/>
  <c r="Q18" i="68"/>
  <c r="Q19" i="68"/>
  <c r="Q20" i="68"/>
  <c r="Q21" i="68"/>
  <c r="Q22" i="68"/>
  <c r="Q23" i="68"/>
  <c r="Q24" i="68"/>
  <c r="Q25" i="68"/>
  <c r="Q26" i="68"/>
  <c r="Q27" i="68"/>
  <c r="Q28" i="68"/>
  <c r="Q29" i="68"/>
  <c r="Q30" i="68"/>
  <c r="Q31" i="68"/>
  <c r="Q32" i="68"/>
  <c r="Q33" i="68"/>
  <c r="Q34" i="68"/>
  <c r="Q35" i="68"/>
  <c r="Q36" i="68"/>
  <c r="Q37" i="68"/>
  <c r="Q38" i="68"/>
  <c r="Q39" i="68"/>
  <c r="Q41" i="68"/>
  <c r="Q43" i="68"/>
  <c r="Q45" i="68"/>
  <c r="Q47" i="68"/>
  <c r="Q49" i="68"/>
  <c r="Q51" i="68"/>
  <c r="Q9" i="68"/>
  <c r="R10" i="67"/>
  <c r="R12" i="67"/>
  <c r="R13" i="67"/>
  <c r="R14" i="67"/>
  <c r="R15" i="67"/>
  <c r="R16" i="67"/>
  <c r="R17" i="67"/>
  <c r="R18" i="67"/>
  <c r="R19" i="67"/>
  <c r="R20" i="67"/>
  <c r="R21" i="67"/>
  <c r="R22" i="67"/>
  <c r="R23" i="67"/>
  <c r="R24" i="67"/>
  <c r="R25" i="67"/>
  <c r="R26" i="67"/>
  <c r="R27" i="67"/>
  <c r="R28" i="67"/>
  <c r="R29" i="67"/>
  <c r="R30" i="67"/>
  <c r="R31" i="67"/>
  <c r="R32" i="67"/>
  <c r="R33" i="67"/>
  <c r="R34" i="67"/>
  <c r="R35" i="67"/>
  <c r="R36" i="67"/>
  <c r="R37" i="67"/>
  <c r="R38" i="67"/>
  <c r="R39" i="67"/>
  <c r="R41" i="67"/>
  <c r="R43" i="67"/>
  <c r="R45" i="67"/>
  <c r="R47" i="67"/>
  <c r="R49" i="67"/>
  <c r="R51" i="67"/>
  <c r="R9" i="67"/>
  <c r="G18" i="6" l="1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17" i="6"/>
  <c r="G12" i="6"/>
  <c r="G49" i="6" s="1"/>
  <c r="G13" i="6"/>
  <c r="G43" i="6" l="1"/>
  <c r="G47" i="6"/>
  <c r="G14" i="6"/>
  <c r="G45" i="6" l="1"/>
  <c r="G51" i="6"/>
  <c r="G53" i="6"/>
  <c r="G55" i="6" l="1"/>
  <c r="Y16" i="6" l="1"/>
  <c r="Y17" i="6"/>
  <c r="Y45" i="6"/>
  <c r="Y47" i="6"/>
  <c r="Y49" i="6"/>
  <c r="Y51" i="6"/>
  <c r="Y53" i="6"/>
  <c r="Y55" i="6"/>
  <c r="F18" i="6" l="1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17" i="6"/>
  <c r="F13" i="6"/>
  <c r="F12" i="6"/>
  <c r="R51" i="68"/>
  <c r="R49" i="68"/>
  <c r="R47" i="68"/>
  <c r="M46" i="68"/>
  <c r="L46" i="68"/>
  <c r="K46" i="68"/>
  <c r="J46" i="68"/>
  <c r="I46" i="68"/>
  <c r="H46" i="68"/>
  <c r="G46" i="68"/>
  <c r="F46" i="68"/>
  <c r="E46" i="68"/>
  <c r="D46" i="68"/>
  <c r="C46" i="68"/>
  <c r="B46" i="68"/>
  <c r="R45" i="68"/>
  <c r="M44" i="68"/>
  <c r="L44" i="68"/>
  <c r="K44" i="68"/>
  <c r="J44" i="68"/>
  <c r="I44" i="68"/>
  <c r="H44" i="68"/>
  <c r="G44" i="68"/>
  <c r="F44" i="68"/>
  <c r="E44" i="68"/>
  <c r="D44" i="68"/>
  <c r="Q44" i="68" s="1"/>
  <c r="C44" i="68"/>
  <c r="B44" i="68"/>
  <c r="R43" i="68"/>
  <c r="R41" i="68"/>
  <c r="M40" i="68"/>
  <c r="M50" i="68" s="1"/>
  <c r="L40" i="68"/>
  <c r="L50" i="68" s="1"/>
  <c r="K40" i="68"/>
  <c r="K50" i="68" s="1"/>
  <c r="J40" i="68"/>
  <c r="I40" i="68"/>
  <c r="I50" i="68" s="1"/>
  <c r="H40" i="68"/>
  <c r="H50" i="68" s="1"/>
  <c r="G40" i="68"/>
  <c r="G50" i="68" s="1"/>
  <c r="F40" i="68"/>
  <c r="F50" i="68" s="1"/>
  <c r="E40" i="68"/>
  <c r="E50" i="68" s="1"/>
  <c r="D40" i="68"/>
  <c r="C40" i="68"/>
  <c r="C50" i="68" s="1"/>
  <c r="B40" i="68"/>
  <c r="B50" i="68" s="1"/>
  <c r="N39" i="68"/>
  <c r="R38" i="68"/>
  <c r="N38" i="68"/>
  <c r="N37" i="68"/>
  <c r="N36" i="68"/>
  <c r="N35" i="68"/>
  <c r="N34" i="68"/>
  <c r="R34" i="68" s="1"/>
  <c r="N33" i="68"/>
  <c r="N32" i="68"/>
  <c r="N31" i="68"/>
  <c r="N30" i="68"/>
  <c r="N29" i="68"/>
  <c r="R29" i="68" s="1"/>
  <c r="N28" i="68"/>
  <c r="R28" i="68" s="1"/>
  <c r="N27" i="68"/>
  <c r="N26" i="68"/>
  <c r="R26" i="68" s="1"/>
  <c r="N25" i="68"/>
  <c r="N24" i="68"/>
  <c r="N23" i="68"/>
  <c r="N22" i="68"/>
  <c r="R22" i="68" s="1"/>
  <c r="N21" i="68"/>
  <c r="N20" i="68"/>
  <c r="N19" i="68"/>
  <c r="N18" i="68"/>
  <c r="N17" i="68"/>
  <c r="N16" i="68"/>
  <c r="R16" i="68" s="1"/>
  <c r="N15" i="68"/>
  <c r="N14" i="68"/>
  <c r="R13" i="68"/>
  <c r="R12" i="68"/>
  <c r="M11" i="68"/>
  <c r="M42" i="68" s="1"/>
  <c r="L11" i="68"/>
  <c r="K11" i="68"/>
  <c r="J11" i="68"/>
  <c r="I11" i="68"/>
  <c r="H11" i="68"/>
  <c r="G11" i="68"/>
  <c r="G42" i="68" s="1"/>
  <c r="F11" i="68"/>
  <c r="E11" i="68"/>
  <c r="D11" i="68"/>
  <c r="C11" i="68"/>
  <c r="B11" i="68"/>
  <c r="N10" i="68"/>
  <c r="R10" i="68" s="1"/>
  <c r="N9" i="68"/>
  <c r="Q32" i="22"/>
  <c r="E43" i="6"/>
  <c r="E53" i="6" s="1"/>
  <c r="E47" i="6"/>
  <c r="E49" i="6"/>
  <c r="E14" i="6"/>
  <c r="K42" i="6"/>
  <c r="L42" i="6"/>
  <c r="M42" i="6"/>
  <c r="N42" i="6"/>
  <c r="O42" i="6"/>
  <c r="P42" i="6"/>
  <c r="Q42" i="6"/>
  <c r="K13" i="6"/>
  <c r="L13" i="6"/>
  <c r="M13" i="6"/>
  <c r="N13" i="6"/>
  <c r="O13" i="6"/>
  <c r="P13" i="6"/>
  <c r="Q13" i="6"/>
  <c r="E43" i="18"/>
  <c r="E51" i="18" s="1"/>
  <c r="E47" i="18"/>
  <c r="E49" i="18"/>
  <c r="G14" i="18"/>
  <c r="H14" i="18"/>
  <c r="I14" i="18"/>
  <c r="J14" i="18"/>
  <c r="K14" i="18"/>
  <c r="L14" i="18"/>
  <c r="M14" i="18"/>
  <c r="N14" i="18"/>
  <c r="O14" i="18"/>
  <c r="P14" i="18"/>
  <c r="Q14" i="18"/>
  <c r="E14" i="18"/>
  <c r="C40" i="66"/>
  <c r="C50" i="66" s="1"/>
  <c r="D40" i="66"/>
  <c r="D48" i="66" s="1"/>
  <c r="E40" i="66"/>
  <c r="F40" i="66"/>
  <c r="F48" i="66" s="1"/>
  <c r="G40" i="66"/>
  <c r="G50" i="66" s="1"/>
  <c r="H40" i="66"/>
  <c r="H42" i="66" s="1"/>
  <c r="I40" i="66"/>
  <c r="J40" i="66"/>
  <c r="K40" i="66"/>
  <c r="L40" i="66"/>
  <c r="M40" i="66"/>
  <c r="N40" i="66"/>
  <c r="N48" i="66" s="1"/>
  <c r="N42" i="66"/>
  <c r="C44" i="66"/>
  <c r="D44" i="66"/>
  <c r="E44" i="66"/>
  <c r="F44" i="66"/>
  <c r="G44" i="66"/>
  <c r="H44" i="66"/>
  <c r="I44" i="66"/>
  <c r="J44" i="66"/>
  <c r="K44" i="66"/>
  <c r="L44" i="66"/>
  <c r="M44" i="66"/>
  <c r="N44" i="66"/>
  <c r="C46" i="66"/>
  <c r="D46" i="66"/>
  <c r="E46" i="66"/>
  <c r="F46" i="66"/>
  <c r="G46" i="66"/>
  <c r="H46" i="66"/>
  <c r="I46" i="66"/>
  <c r="J46" i="66"/>
  <c r="K46" i="66"/>
  <c r="L46" i="66"/>
  <c r="M46" i="66"/>
  <c r="N46" i="66"/>
  <c r="I48" i="66"/>
  <c r="J48" i="66"/>
  <c r="K48" i="66"/>
  <c r="L48" i="66"/>
  <c r="M48" i="66"/>
  <c r="D50" i="66"/>
  <c r="I50" i="66"/>
  <c r="J50" i="66"/>
  <c r="K50" i="66"/>
  <c r="L50" i="66"/>
  <c r="M50" i="66"/>
  <c r="C11" i="66"/>
  <c r="D11" i="66"/>
  <c r="E11" i="66"/>
  <c r="F11" i="66"/>
  <c r="G11" i="66"/>
  <c r="H11" i="66"/>
  <c r="I11" i="66"/>
  <c r="I42" i="66" s="1"/>
  <c r="I52" i="66" s="1"/>
  <c r="J11" i="66"/>
  <c r="J42" i="66" s="1"/>
  <c r="J52" i="66" s="1"/>
  <c r="K11" i="66"/>
  <c r="K42" i="66" s="1"/>
  <c r="K52" i="66" s="1"/>
  <c r="L11" i="66"/>
  <c r="L57" i="66" s="1"/>
  <c r="M11" i="66"/>
  <c r="M57" i="66" s="1"/>
  <c r="N11" i="66"/>
  <c r="C40" i="65"/>
  <c r="C48" i="65" s="1"/>
  <c r="D40" i="65"/>
  <c r="D50" i="65" s="1"/>
  <c r="E40" i="65"/>
  <c r="E48" i="65" s="1"/>
  <c r="F40" i="65"/>
  <c r="F48" i="65" s="1"/>
  <c r="G40" i="65"/>
  <c r="G50" i="65" s="1"/>
  <c r="H40" i="65"/>
  <c r="H50" i="65" s="1"/>
  <c r="I40" i="65"/>
  <c r="I50" i="65" s="1"/>
  <c r="J40" i="65"/>
  <c r="J50" i="65" s="1"/>
  <c r="K40" i="65"/>
  <c r="L40" i="65"/>
  <c r="K42" i="65"/>
  <c r="C44" i="65"/>
  <c r="D44" i="65"/>
  <c r="E44" i="65"/>
  <c r="F44" i="65"/>
  <c r="G44" i="65"/>
  <c r="H44" i="65"/>
  <c r="I44" i="65"/>
  <c r="J44" i="65"/>
  <c r="K44" i="65"/>
  <c r="L44" i="65"/>
  <c r="C46" i="65"/>
  <c r="D46" i="65"/>
  <c r="E46" i="65"/>
  <c r="F46" i="65"/>
  <c r="G46" i="65"/>
  <c r="H46" i="65"/>
  <c r="I46" i="65"/>
  <c r="J46" i="65"/>
  <c r="K46" i="65"/>
  <c r="L46" i="65"/>
  <c r="J48" i="65"/>
  <c r="K48" i="65"/>
  <c r="L48" i="65"/>
  <c r="K50" i="65"/>
  <c r="L50" i="65"/>
  <c r="C11" i="65"/>
  <c r="D11" i="65"/>
  <c r="E11" i="65"/>
  <c r="F11" i="65"/>
  <c r="G11" i="65"/>
  <c r="H11" i="65"/>
  <c r="I11" i="65"/>
  <c r="I42" i="65" s="1"/>
  <c r="J11" i="65"/>
  <c r="J57" i="65" s="1"/>
  <c r="K11" i="65"/>
  <c r="K57" i="65" s="1"/>
  <c r="L11" i="65"/>
  <c r="L42" i="65" s="1"/>
  <c r="L52" i="65" s="1"/>
  <c r="M11" i="65"/>
  <c r="N11" i="65"/>
  <c r="D40" i="63"/>
  <c r="D50" i="63" s="1"/>
  <c r="E40" i="63"/>
  <c r="E48" i="63" s="1"/>
  <c r="F40" i="63"/>
  <c r="G40" i="63"/>
  <c r="G48" i="63" s="1"/>
  <c r="H40" i="63"/>
  <c r="I40" i="63"/>
  <c r="I50" i="63" s="1"/>
  <c r="J40" i="63"/>
  <c r="J50" i="63" s="1"/>
  <c r="K40" i="63"/>
  <c r="K50" i="63" s="1"/>
  <c r="L40" i="63"/>
  <c r="M40" i="63"/>
  <c r="M50" i="63" s="1"/>
  <c r="N40" i="63"/>
  <c r="J42" i="63"/>
  <c r="D44" i="63"/>
  <c r="E44" i="63"/>
  <c r="F44" i="63"/>
  <c r="G44" i="63"/>
  <c r="H44" i="63"/>
  <c r="I44" i="63"/>
  <c r="J44" i="63"/>
  <c r="K44" i="63"/>
  <c r="L44" i="63"/>
  <c r="M44" i="63"/>
  <c r="N44" i="63"/>
  <c r="D46" i="63"/>
  <c r="E46" i="63"/>
  <c r="F46" i="63"/>
  <c r="G46" i="63"/>
  <c r="H46" i="63"/>
  <c r="I46" i="63"/>
  <c r="J46" i="63"/>
  <c r="K46" i="63"/>
  <c r="L46" i="63"/>
  <c r="M46" i="63"/>
  <c r="N46" i="63"/>
  <c r="H48" i="63"/>
  <c r="J48" i="63"/>
  <c r="M48" i="63"/>
  <c r="N48" i="63"/>
  <c r="H50" i="63"/>
  <c r="N50" i="63"/>
  <c r="D11" i="63"/>
  <c r="E11" i="63"/>
  <c r="F11" i="63"/>
  <c r="G11" i="63"/>
  <c r="G42" i="63" s="1"/>
  <c r="H11" i="63"/>
  <c r="H42" i="63" s="1"/>
  <c r="H52" i="63" s="1"/>
  <c r="I11" i="63"/>
  <c r="J11" i="63"/>
  <c r="K11" i="63"/>
  <c r="K42" i="63" s="1"/>
  <c r="L11" i="63"/>
  <c r="M11" i="63"/>
  <c r="M42" i="63" s="1"/>
  <c r="M52" i="63" s="1"/>
  <c r="N11" i="63"/>
  <c r="N42" i="63" s="1"/>
  <c r="N52" i="63" s="1"/>
  <c r="H57" i="63"/>
  <c r="C40" i="63"/>
  <c r="C48" i="63" s="1"/>
  <c r="C44" i="63"/>
  <c r="C46" i="63"/>
  <c r="C11" i="63"/>
  <c r="C40" i="67"/>
  <c r="C50" i="67" s="1"/>
  <c r="D40" i="67"/>
  <c r="D50" i="67" s="1"/>
  <c r="E40" i="67"/>
  <c r="F40" i="67"/>
  <c r="F50" i="67" s="1"/>
  <c r="G40" i="67"/>
  <c r="H40" i="67"/>
  <c r="H50" i="67" s="1"/>
  <c r="I40" i="67"/>
  <c r="I50" i="67" s="1"/>
  <c r="J40" i="67"/>
  <c r="K40" i="67"/>
  <c r="K48" i="67" s="1"/>
  <c r="L40" i="67"/>
  <c r="L50" i="67" s="1"/>
  <c r="M40" i="67"/>
  <c r="J42" i="67"/>
  <c r="C44" i="67"/>
  <c r="D44" i="67"/>
  <c r="E44" i="67"/>
  <c r="F44" i="67"/>
  <c r="G44" i="67"/>
  <c r="H44" i="67"/>
  <c r="I44" i="67"/>
  <c r="J44" i="67"/>
  <c r="K44" i="67"/>
  <c r="K57" i="67" s="1"/>
  <c r="L44" i="67"/>
  <c r="M44" i="67"/>
  <c r="C46" i="67"/>
  <c r="D46" i="67"/>
  <c r="E46" i="67"/>
  <c r="F46" i="67"/>
  <c r="G46" i="67"/>
  <c r="H46" i="67"/>
  <c r="I46" i="67"/>
  <c r="J46" i="67"/>
  <c r="K46" i="67"/>
  <c r="L46" i="67"/>
  <c r="M46" i="67"/>
  <c r="F48" i="67"/>
  <c r="J48" i="67"/>
  <c r="L48" i="67"/>
  <c r="M48" i="67"/>
  <c r="J50" i="67"/>
  <c r="K50" i="67"/>
  <c r="M50" i="67"/>
  <c r="C11" i="67"/>
  <c r="D11" i="67"/>
  <c r="E11" i="67"/>
  <c r="F11" i="67"/>
  <c r="G11" i="67"/>
  <c r="H11" i="67"/>
  <c r="I11" i="67"/>
  <c r="J11" i="67"/>
  <c r="J57" i="67" s="1"/>
  <c r="K11" i="67"/>
  <c r="K42" i="67" s="1"/>
  <c r="L11" i="67"/>
  <c r="L57" i="67" s="1"/>
  <c r="M11" i="67"/>
  <c r="M57" i="67" s="1"/>
  <c r="C40" i="62"/>
  <c r="D40" i="62"/>
  <c r="E40" i="62"/>
  <c r="E50" i="62" s="1"/>
  <c r="F40" i="62"/>
  <c r="F50" i="62" s="1"/>
  <c r="G40" i="62"/>
  <c r="H40" i="62"/>
  <c r="H48" i="62" s="1"/>
  <c r="I40" i="62"/>
  <c r="J40" i="62"/>
  <c r="K40" i="62"/>
  <c r="L40" i="62"/>
  <c r="L48" i="62" s="1"/>
  <c r="M40" i="62"/>
  <c r="N40" i="62"/>
  <c r="K42" i="62"/>
  <c r="K52" i="62" s="1"/>
  <c r="C44" i="62"/>
  <c r="D44" i="62"/>
  <c r="E44" i="62"/>
  <c r="F44" i="62"/>
  <c r="G44" i="62"/>
  <c r="H44" i="62"/>
  <c r="I44" i="62"/>
  <c r="J44" i="62"/>
  <c r="K44" i="62"/>
  <c r="L44" i="62"/>
  <c r="M44" i="62"/>
  <c r="N44" i="62"/>
  <c r="C46" i="62"/>
  <c r="D46" i="62"/>
  <c r="E46" i="62"/>
  <c r="F46" i="62"/>
  <c r="G46" i="62"/>
  <c r="H46" i="62"/>
  <c r="I46" i="62"/>
  <c r="J46" i="62"/>
  <c r="K46" i="62"/>
  <c r="L46" i="62"/>
  <c r="M46" i="62"/>
  <c r="N46" i="62"/>
  <c r="I48" i="62"/>
  <c r="J48" i="62"/>
  <c r="K48" i="62"/>
  <c r="M48" i="62"/>
  <c r="N48" i="62"/>
  <c r="I50" i="62"/>
  <c r="I57" i="62" s="1"/>
  <c r="I59" i="62" s="1"/>
  <c r="J50" i="62"/>
  <c r="K50" i="62"/>
  <c r="M50" i="62"/>
  <c r="N50" i="62"/>
  <c r="C11" i="62"/>
  <c r="D11" i="62"/>
  <c r="E11" i="62"/>
  <c r="F11" i="62"/>
  <c r="G11" i="62"/>
  <c r="H11" i="62"/>
  <c r="I11" i="62"/>
  <c r="I42" i="62" s="1"/>
  <c r="I52" i="62" s="1"/>
  <c r="J11" i="62"/>
  <c r="J57" i="62" s="1"/>
  <c r="K11" i="62"/>
  <c r="K57" i="62" s="1"/>
  <c r="L11" i="62"/>
  <c r="L42" i="62" s="1"/>
  <c r="M11" i="62"/>
  <c r="M42" i="62" s="1"/>
  <c r="M52" i="62" s="1"/>
  <c r="N11" i="62"/>
  <c r="N42" i="62" s="1"/>
  <c r="N52" i="62" s="1"/>
  <c r="C40" i="61"/>
  <c r="D40" i="61"/>
  <c r="D48" i="61" s="1"/>
  <c r="E40" i="61"/>
  <c r="E48" i="61" s="1"/>
  <c r="F40" i="61"/>
  <c r="F50" i="61" s="1"/>
  <c r="G40" i="61"/>
  <c r="G50" i="61" s="1"/>
  <c r="H40" i="61"/>
  <c r="H50" i="61" s="1"/>
  <c r="I40" i="61"/>
  <c r="J40" i="61"/>
  <c r="K40" i="61"/>
  <c r="K48" i="61" s="1"/>
  <c r="L40" i="61"/>
  <c r="M40" i="61"/>
  <c r="N40" i="61"/>
  <c r="J42" i="61"/>
  <c r="J52" i="61" s="1"/>
  <c r="C44" i="61"/>
  <c r="D44" i="61"/>
  <c r="E44" i="61"/>
  <c r="F44" i="61"/>
  <c r="G44" i="61"/>
  <c r="H44" i="61"/>
  <c r="I44" i="61"/>
  <c r="J44" i="61"/>
  <c r="K44" i="61"/>
  <c r="L44" i="61"/>
  <c r="M44" i="61"/>
  <c r="N44" i="61"/>
  <c r="C46" i="61"/>
  <c r="D46" i="61"/>
  <c r="E46" i="61"/>
  <c r="F46" i="61"/>
  <c r="G46" i="61"/>
  <c r="H46" i="61"/>
  <c r="I46" i="61"/>
  <c r="J46" i="61"/>
  <c r="K46" i="61"/>
  <c r="L46" i="61"/>
  <c r="M46" i="61"/>
  <c r="N46" i="61"/>
  <c r="H48" i="61"/>
  <c r="I48" i="61"/>
  <c r="J48" i="61"/>
  <c r="L48" i="61"/>
  <c r="M48" i="61"/>
  <c r="N48" i="61"/>
  <c r="D50" i="61"/>
  <c r="I50" i="61"/>
  <c r="J50" i="61"/>
  <c r="L50" i="61"/>
  <c r="M50" i="61"/>
  <c r="N50" i="61"/>
  <c r="C11" i="61"/>
  <c r="D11" i="61"/>
  <c r="E11" i="61"/>
  <c r="F11" i="61"/>
  <c r="F42" i="61" s="1"/>
  <c r="G11" i="61"/>
  <c r="H11" i="61"/>
  <c r="I11" i="61"/>
  <c r="I57" i="61" s="1"/>
  <c r="J11" i="61"/>
  <c r="K11" i="61"/>
  <c r="K42" i="61" s="1"/>
  <c r="L11" i="61"/>
  <c r="L42" i="61" s="1"/>
  <c r="L52" i="61" s="1"/>
  <c r="M11" i="61"/>
  <c r="M42" i="61" s="1"/>
  <c r="M52" i="61" s="1"/>
  <c r="N11" i="61"/>
  <c r="N42" i="61" s="1"/>
  <c r="N52" i="61" s="1"/>
  <c r="C40" i="55"/>
  <c r="C50" i="55" s="1"/>
  <c r="C44" i="55"/>
  <c r="C46" i="55"/>
  <c r="C11" i="55"/>
  <c r="C40" i="53"/>
  <c r="C50" i="53" s="1"/>
  <c r="C44" i="53"/>
  <c r="C46" i="53"/>
  <c r="C11" i="53"/>
  <c r="C40" i="52"/>
  <c r="C48" i="52" s="1"/>
  <c r="C44" i="52"/>
  <c r="C46" i="52"/>
  <c r="C11" i="52"/>
  <c r="C40" i="50"/>
  <c r="C42" i="50" s="1"/>
  <c r="C44" i="50"/>
  <c r="C46" i="50"/>
  <c r="C11" i="50"/>
  <c r="C45" i="47"/>
  <c r="C47" i="47"/>
  <c r="C41" i="47"/>
  <c r="C49" i="47" s="1"/>
  <c r="C12" i="47"/>
  <c r="C41" i="48"/>
  <c r="C49" i="48" s="1"/>
  <c r="C12" i="48"/>
  <c r="C45" i="48"/>
  <c r="C47" i="48"/>
  <c r="C40" i="44"/>
  <c r="C48" i="44" s="1"/>
  <c r="C57" i="44" s="1"/>
  <c r="C44" i="44"/>
  <c r="C46" i="44"/>
  <c r="C50" i="44"/>
  <c r="C11" i="44"/>
  <c r="C11" i="43"/>
  <c r="C40" i="43"/>
  <c r="C46" i="43"/>
  <c r="C44" i="43"/>
  <c r="D44" i="38"/>
  <c r="D46" i="38"/>
  <c r="D40" i="38"/>
  <c r="D50" i="38" s="1"/>
  <c r="D11" i="38"/>
  <c r="D44" i="28"/>
  <c r="D46" i="28"/>
  <c r="D40" i="28"/>
  <c r="D48" i="28" s="1"/>
  <c r="D11" i="28"/>
  <c r="D48" i="33"/>
  <c r="D46" i="33"/>
  <c r="D44" i="33"/>
  <c r="D40" i="33"/>
  <c r="D11" i="26"/>
  <c r="H42" i="62" l="1"/>
  <c r="H50" i="62"/>
  <c r="H57" i="61"/>
  <c r="D57" i="28"/>
  <c r="K52" i="63"/>
  <c r="C57" i="50"/>
  <c r="C59" i="50" s="1"/>
  <c r="K59" i="67"/>
  <c r="K59" i="62"/>
  <c r="K57" i="66"/>
  <c r="K59" i="66" s="1"/>
  <c r="D50" i="33"/>
  <c r="D57" i="33" s="1"/>
  <c r="D59" i="33" s="1"/>
  <c r="C51" i="47"/>
  <c r="I42" i="61"/>
  <c r="I52" i="61" s="1"/>
  <c r="I59" i="61" s="1"/>
  <c r="J42" i="62"/>
  <c r="J52" i="62" s="1"/>
  <c r="J59" i="62" s="1"/>
  <c r="N57" i="62"/>
  <c r="N59" i="62" s="1"/>
  <c r="J52" i="67"/>
  <c r="J59" i="67" s="1"/>
  <c r="I42" i="67"/>
  <c r="J42" i="65"/>
  <c r="J52" i="65" s="1"/>
  <c r="J59" i="65" s="1"/>
  <c r="I57" i="65"/>
  <c r="M42" i="66"/>
  <c r="M52" i="66" s="1"/>
  <c r="M59" i="66" s="1"/>
  <c r="J57" i="66"/>
  <c r="J59" i="66" s="1"/>
  <c r="D42" i="28"/>
  <c r="D52" i="28" s="1"/>
  <c r="D59" i="28" s="1"/>
  <c r="K50" i="61"/>
  <c r="K52" i="61" s="1"/>
  <c r="D42" i="62"/>
  <c r="M57" i="62"/>
  <c r="M59" i="62" s="1"/>
  <c r="I48" i="67"/>
  <c r="I57" i="67" s="1"/>
  <c r="G42" i="67"/>
  <c r="K48" i="63"/>
  <c r="K57" i="63" s="1"/>
  <c r="K59" i="63" s="1"/>
  <c r="I48" i="65"/>
  <c r="I52" i="65" s="1"/>
  <c r="L42" i="66"/>
  <c r="L52" i="66" s="1"/>
  <c r="L59" i="66" s="1"/>
  <c r="I57" i="66"/>
  <c r="I59" i="66" s="1"/>
  <c r="D42" i="33"/>
  <c r="D52" i="33" s="1"/>
  <c r="D50" i="28"/>
  <c r="H42" i="61"/>
  <c r="H52" i="61" s="1"/>
  <c r="L50" i="62"/>
  <c r="L52" i="62" s="1"/>
  <c r="L57" i="62"/>
  <c r="M42" i="67"/>
  <c r="M52" i="67" s="1"/>
  <c r="M59" i="67" s="1"/>
  <c r="K52" i="65"/>
  <c r="K59" i="65" s="1"/>
  <c r="N50" i="66"/>
  <c r="N52" i="66" s="1"/>
  <c r="H50" i="66"/>
  <c r="H52" i="66"/>
  <c r="C42" i="44"/>
  <c r="C52" i="44" s="1"/>
  <c r="C59" i="44" s="1"/>
  <c r="C48" i="67"/>
  <c r="L42" i="67"/>
  <c r="L52" i="67" s="1"/>
  <c r="L59" i="67" s="1"/>
  <c r="K52" i="67"/>
  <c r="E42" i="67"/>
  <c r="L57" i="65"/>
  <c r="L59" i="65" s="1"/>
  <c r="C50" i="50"/>
  <c r="L42" i="63"/>
  <c r="F42" i="63"/>
  <c r="H48" i="66"/>
  <c r="H57" i="66" s="1"/>
  <c r="H59" i="66" s="1"/>
  <c r="H42" i="68"/>
  <c r="G48" i="66"/>
  <c r="G57" i="66" s="1"/>
  <c r="G42" i="66"/>
  <c r="Q11" i="68"/>
  <c r="Q46" i="68"/>
  <c r="R46" i="68" s="1"/>
  <c r="G48" i="67"/>
  <c r="G50" i="67"/>
  <c r="G48" i="62"/>
  <c r="G50" i="62"/>
  <c r="G42" i="62"/>
  <c r="G48" i="61"/>
  <c r="G57" i="61" s="1"/>
  <c r="G42" i="61"/>
  <c r="F50" i="66"/>
  <c r="F57" i="66"/>
  <c r="F42" i="66"/>
  <c r="F52" i="66" s="1"/>
  <c r="F59" i="66" s="1"/>
  <c r="N46" i="68"/>
  <c r="O46" i="68" s="1"/>
  <c r="F42" i="67"/>
  <c r="F57" i="67"/>
  <c r="F48" i="62"/>
  <c r="F57" i="62" s="1"/>
  <c r="F42" i="62"/>
  <c r="F52" i="62" s="1"/>
  <c r="F50" i="65"/>
  <c r="F57" i="65" s="1"/>
  <c r="F42" i="65"/>
  <c r="F52" i="65" s="1"/>
  <c r="F48" i="61"/>
  <c r="F52" i="61" s="1"/>
  <c r="E42" i="66"/>
  <c r="N44" i="68"/>
  <c r="E50" i="63"/>
  <c r="E57" i="63" s="1"/>
  <c r="E42" i="63"/>
  <c r="E50" i="67"/>
  <c r="E48" i="67"/>
  <c r="E42" i="62"/>
  <c r="E48" i="62"/>
  <c r="E57" i="62" s="1"/>
  <c r="E42" i="61"/>
  <c r="E50" i="61"/>
  <c r="E57" i="61" s="1"/>
  <c r="E50" i="66"/>
  <c r="E48" i="66"/>
  <c r="E42" i="65"/>
  <c r="E50" i="65"/>
  <c r="E52" i="65" s="1"/>
  <c r="D50" i="68"/>
  <c r="Q40" i="68"/>
  <c r="R35" i="68"/>
  <c r="D57" i="66"/>
  <c r="D42" i="66"/>
  <c r="D52" i="66" s="1"/>
  <c r="R25" i="68"/>
  <c r="R9" i="68"/>
  <c r="D48" i="63"/>
  <c r="D57" i="63" s="1"/>
  <c r="D42" i="63"/>
  <c r="D42" i="67"/>
  <c r="D48" i="67"/>
  <c r="D52" i="67" s="1"/>
  <c r="D48" i="62"/>
  <c r="D50" i="62"/>
  <c r="D48" i="65"/>
  <c r="D57" i="65" s="1"/>
  <c r="D42" i="65"/>
  <c r="D42" i="61"/>
  <c r="D52" i="61" s="1"/>
  <c r="D57" i="61"/>
  <c r="C43" i="47"/>
  <c r="C53" i="47" s="1"/>
  <c r="E45" i="6"/>
  <c r="C42" i="66"/>
  <c r="C52" i="66" s="1"/>
  <c r="R17" i="68"/>
  <c r="B42" i="68"/>
  <c r="C48" i="66"/>
  <c r="C57" i="66" s="1"/>
  <c r="R20" i="68"/>
  <c r="R14" i="68"/>
  <c r="R19" i="68"/>
  <c r="R23" i="68"/>
  <c r="R37" i="68"/>
  <c r="R31" i="68"/>
  <c r="R32" i="68"/>
  <c r="C42" i="63"/>
  <c r="C50" i="63"/>
  <c r="C57" i="63" s="1"/>
  <c r="C42" i="67"/>
  <c r="C57" i="67"/>
  <c r="C52" i="67"/>
  <c r="C48" i="62"/>
  <c r="C50" i="62"/>
  <c r="C42" i="62"/>
  <c r="C42" i="65"/>
  <c r="C50" i="65"/>
  <c r="C57" i="65"/>
  <c r="C52" i="65"/>
  <c r="C59" i="65" s="1"/>
  <c r="C48" i="61"/>
  <c r="C42" i="61"/>
  <c r="C50" i="61"/>
  <c r="L42" i="68"/>
  <c r="N40" i="68"/>
  <c r="J42" i="68"/>
  <c r="N11" i="68"/>
  <c r="O17" i="68" s="1"/>
  <c r="R15" i="68"/>
  <c r="R18" i="68"/>
  <c r="R21" i="68"/>
  <c r="R24" i="68"/>
  <c r="R27" i="68"/>
  <c r="R30" i="68"/>
  <c r="R33" i="68"/>
  <c r="R36" i="68"/>
  <c r="R39" i="68"/>
  <c r="H52" i="68"/>
  <c r="I57" i="68"/>
  <c r="J48" i="68"/>
  <c r="C42" i="68"/>
  <c r="I42" i="68"/>
  <c r="C48" i="68"/>
  <c r="C57" i="68" s="1"/>
  <c r="I48" i="68"/>
  <c r="D42" i="68"/>
  <c r="E42" i="68"/>
  <c r="K42" i="68"/>
  <c r="E48" i="68"/>
  <c r="E57" i="68" s="1"/>
  <c r="K48" i="68"/>
  <c r="K57" i="68" s="1"/>
  <c r="F42" i="68"/>
  <c r="F48" i="68"/>
  <c r="F57" i="68" s="1"/>
  <c r="L48" i="68"/>
  <c r="L52" i="68" s="1"/>
  <c r="J50" i="68"/>
  <c r="G48" i="68"/>
  <c r="G57" i="68" s="1"/>
  <c r="M48" i="68"/>
  <c r="M52" i="68" s="1"/>
  <c r="D48" i="68"/>
  <c r="B48" i="68"/>
  <c r="B57" i="68" s="1"/>
  <c r="H48" i="68"/>
  <c r="H57" i="68" s="1"/>
  <c r="E51" i="6"/>
  <c r="E55" i="6" s="1"/>
  <c r="E45" i="18"/>
  <c r="E53" i="18"/>
  <c r="E61" i="18" s="1"/>
  <c r="H48" i="65"/>
  <c r="H57" i="65" s="1"/>
  <c r="H42" i="65"/>
  <c r="G48" i="65"/>
  <c r="G57" i="65" s="1"/>
  <c r="G42" i="65"/>
  <c r="G52" i="65" s="1"/>
  <c r="J52" i="63"/>
  <c r="J57" i="63"/>
  <c r="G50" i="63"/>
  <c r="G52" i="63" s="1"/>
  <c r="L48" i="63"/>
  <c r="L52" i="63" s="1"/>
  <c r="F48" i="63"/>
  <c r="I42" i="63"/>
  <c r="I57" i="63"/>
  <c r="L50" i="63"/>
  <c r="F50" i="63"/>
  <c r="H59" i="63"/>
  <c r="I48" i="63"/>
  <c r="H42" i="67"/>
  <c r="H48" i="67"/>
  <c r="H57" i="67" s="1"/>
  <c r="C42" i="55"/>
  <c r="C48" i="55"/>
  <c r="C42" i="53"/>
  <c r="C48" i="53"/>
  <c r="C57" i="53" s="1"/>
  <c r="C50" i="52"/>
  <c r="C57" i="52" s="1"/>
  <c r="C42" i="52"/>
  <c r="C48" i="50"/>
  <c r="C52" i="50" s="1"/>
  <c r="C51" i="48"/>
  <c r="C58" i="48" s="1"/>
  <c r="C43" i="48"/>
  <c r="C50" i="43"/>
  <c r="C48" i="43"/>
  <c r="C57" i="43" s="1"/>
  <c r="D48" i="38"/>
  <c r="D42" i="38"/>
  <c r="H52" i="62" l="1"/>
  <c r="H57" i="62"/>
  <c r="H52" i="65"/>
  <c r="H59" i="65" s="1"/>
  <c r="H59" i="61"/>
  <c r="Q50" i="68"/>
  <c r="L59" i="62"/>
  <c r="I59" i="65"/>
  <c r="C52" i="53"/>
  <c r="C59" i="53" s="1"/>
  <c r="I52" i="67"/>
  <c r="I59" i="67" s="1"/>
  <c r="N57" i="66"/>
  <c r="N59" i="66" s="1"/>
  <c r="J59" i="63"/>
  <c r="G52" i="68"/>
  <c r="G59" i="68" s="1"/>
  <c r="D52" i="63"/>
  <c r="G52" i="61"/>
  <c r="G52" i="66"/>
  <c r="G59" i="66" s="1"/>
  <c r="G57" i="63"/>
  <c r="G59" i="63" s="1"/>
  <c r="G57" i="67"/>
  <c r="G52" i="67"/>
  <c r="G57" i="62"/>
  <c r="G52" i="62"/>
  <c r="G59" i="65"/>
  <c r="G59" i="61"/>
  <c r="Q42" i="68"/>
  <c r="F52" i="63"/>
  <c r="F57" i="63"/>
  <c r="F52" i="67"/>
  <c r="F59" i="67" s="1"/>
  <c r="F59" i="62"/>
  <c r="F59" i="65"/>
  <c r="F57" i="61"/>
  <c r="F59" i="61" s="1"/>
  <c r="E52" i="66"/>
  <c r="N50" i="68"/>
  <c r="O50" i="68" s="1"/>
  <c r="O40" i="68"/>
  <c r="O30" i="68"/>
  <c r="O44" i="68"/>
  <c r="R44" i="68"/>
  <c r="O15" i="68"/>
  <c r="O22" i="68"/>
  <c r="O28" i="68"/>
  <c r="O36" i="68"/>
  <c r="O16" i="68"/>
  <c r="O23" i="68"/>
  <c r="O29" i="68"/>
  <c r="O37" i="68"/>
  <c r="O18" i="68"/>
  <c r="O24" i="68"/>
  <c r="O31" i="68"/>
  <c r="O38" i="68"/>
  <c r="O19" i="68"/>
  <c r="O25" i="68"/>
  <c r="O32" i="68"/>
  <c r="O39" i="68"/>
  <c r="O20" i="68"/>
  <c r="O26" i="68"/>
  <c r="O33" i="68"/>
  <c r="O14" i="68"/>
  <c r="O21" i="68"/>
  <c r="O27" i="68"/>
  <c r="O34" i="68"/>
  <c r="O35" i="68"/>
  <c r="E52" i="63"/>
  <c r="E59" i="63" s="1"/>
  <c r="E52" i="67"/>
  <c r="E57" i="67"/>
  <c r="E52" i="62"/>
  <c r="E59" i="62" s="1"/>
  <c r="E52" i="61"/>
  <c r="E59" i="61" s="1"/>
  <c r="E57" i="66"/>
  <c r="E57" i="65"/>
  <c r="E59" i="65" s="1"/>
  <c r="D57" i="68"/>
  <c r="Q48" i="68"/>
  <c r="C52" i="68"/>
  <c r="D59" i="66"/>
  <c r="D59" i="63"/>
  <c r="D57" i="67"/>
  <c r="D59" i="67" s="1"/>
  <c r="D57" i="62"/>
  <c r="D52" i="62"/>
  <c r="D59" i="62" s="1"/>
  <c r="D52" i="65"/>
  <c r="D59" i="65"/>
  <c r="D59" i="61"/>
  <c r="E62" i="6"/>
  <c r="E64" i="6" s="1"/>
  <c r="C59" i="66"/>
  <c r="R40" i="68"/>
  <c r="C52" i="63"/>
  <c r="C59" i="63"/>
  <c r="C59" i="67"/>
  <c r="C52" i="62"/>
  <c r="C57" i="62"/>
  <c r="C52" i="61"/>
  <c r="C57" i="61"/>
  <c r="C59" i="61" s="1"/>
  <c r="B52" i="68"/>
  <c r="B59" i="68" s="1"/>
  <c r="R11" i="68"/>
  <c r="H59" i="68"/>
  <c r="J57" i="68"/>
  <c r="D52" i="68"/>
  <c r="C59" i="68"/>
  <c r="N48" i="68"/>
  <c r="F52" i="68"/>
  <c r="F59" i="68" s="1"/>
  <c r="N42" i="68"/>
  <c r="L57" i="68"/>
  <c r="L59" i="68" s="1"/>
  <c r="K52" i="68"/>
  <c r="J52" i="68"/>
  <c r="J59" i="68" s="1"/>
  <c r="M57" i="68"/>
  <c r="M59" i="68" s="1"/>
  <c r="E52" i="68"/>
  <c r="E59" i="68" s="1"/>
  <c r="I52" i="68"/>
  <c r="I59" i="68" s="1"/>
  <c r="E55" i="18"/>
  <c r="E63" i="18" s="1"/>
  <c r="F59" i="63"/>
  <c r="I52" i="63"/>
  <c r="I59" i="63" s="1"/>
  <c r="H52" i="67"/>
  <c r="H59" i="67" s="1"/>
  <c r="C52" i="55"/>
  <c r="C57" i="55"/>
  <c r="C52" i="52"/>
  <c r="C59" i="52" s="1"/>
  <c r="C53" i="48"/>
  <c r="C60" i="48" s="1"/>
  <c r="D52" i="38"/>
  <c r="D57" i="38"/>
  <c r="H59" i="62" l="1"/>
  <c r="G59" i="67"/>
  <c r="G59" i="62"/>
  <c r="R50" i="68"/>
  <c r="E59" i="66"/>
  <c r="E59" i="67"/>
  <c r="N57" i="68"/>
  <c r="O48" i="68"/>
  <c r="D59" i="68"/>
  <c r="Q52" i="68"/>
  <c r="R42" i="68"/>
  <c r="O42" i="68"/>
  <c r="C59" i="62"/>
  <c r="N52" i="68"/>
  <c r="R48" i="68"/>
  <c r="K59" i="68"/>
  <c r="C59" i="55"/>
  <c r="D59" i="38"/>
  <c r="N59" i="68" l="1"/>
  <c r="O52" i="68"/>
  <c r="R52" i="68"/>
  <c r="R20" i="18"/>
  <c r="R21" i="18"/>
  <c r="R22" i="18"/>
  <c r="R23" i="18"/>
  <c r="R24" i="18"/>
  <c r="R25" i="18"/>
  <c r="R26" i="18"/>
  <c r="R29" i="18"/>
  <c r="R30" i="18"/>
  <c r="R32" i="18"/>
  <c r="R33" i="18"/>
  <c r="R34" i="18"/>
  <c r="R35" i="18"/>
  <c r="R37" i="18"/>
  <c r="R39" i="18"/>
  <c r="R40" i="18"/>
  <c r="R41" i="18"/>
  <c r="R42" i="18"/>
  <c r="R13" i="18"/>
  <c r="R12" i="18"/>
  <c r="O15" i="66"/>
  <c r="O16" i="66"/>
  <c r="O17" i="66"/>
  <c r="O18" i="66"/>
  <c r="O19" i="66"/>
  <c r="O20" i="66"/>
  <c r="O21" i="66"/>
  <c r="O22" i="66"/>
  <c r="O23" i="66"/>
  <c r="O24" i="66"/>
  <c r="O25" i="66"/>
  <c r="O26" i="66"/>
  <c r="O27" i="66"/>
  <c r="O28" i="66"/>
  <c r="O29" i="66"/>
  <c r="O30" i="66"/>
  <c r="O31" i="66"/>
  <c r="O32" i="66"/>
  <c r="O33" i="66"/>
  <c r="O34" i="66"/>
  <c r="O35" i="66"/>
  <c r="O36" i="66"/>
  <c r="O37" i="66"/>
  <c r="O38" i="66"/>
  <c r="O39" i="66"/>
  <c r="O14" i="66"/>
  <c r="O10" i="66"/>
  <c r="O9" i="66"/>
  <c r="O11" i="66" s="1"/>
  <c r="O15" i="65"/>
  <c r="O16" i="65"/>
  <c r="O17" i="65"/>
  <c r="O18" i="65"/>
  <c r="O19" i="65"/>
  <c r="O20" i="65"/>
  <c r="O21" i="65"/>
  <c r="O22" i="65"/>
  <c r="O23" i="65"/>
  <c r="O24" i="65"/>
  <c r="O25" i="65"/>
  <c r="O26" i="65"/>
  <c r="O27" i="65"/>
  <c r="O28" i="65"/>
  <c r="O29" i="65"/>
  <c r="O30" i="65"/>
  <c r="O31" i="65"/>
  <c r="O32" i="65"/>
  <c r="O33" i="65"/>
  <c r="O34" i="65"/>
  <c r="O35" i="65"/>
  <c r="O36" i="65"/>
  <c r="O37" i="65"/>
  <c r="O38" i="65"/>
  <c r="O39" i="65"/>
  <c r="O14" i="65"/>
  <c r="O10" i="65"/>
  <c r="O9" i="65"/>
  <c r="O15" i="63"/>
  <c r="O16" i="63"/>
  <c r="O17" i="63"/>
  <c r="O18" i="63"/>
  <c r="O19" i="63"/>
  <c r="O20" i="63"/>
  <c r="O21" i="63"/>
  <c r="O22" i="63"/>
  <c r="O23" i="63"/>
  <c r="O24" i="63"/>
  <c r="O25" i="63"/>
  <c r="O26" i="63"/>
  <c r="O27" i="63"/>
  <c r="O28" i="63"/>
  <c r="O29" i="63"/>
  <c r="O30" i="63"/>
  <c r="O31" i="63"/>
  <c r="O32" i="63"/>
  <c r="O33" i="63"/>
  <c r="O34" i="63"/>
  <c r="O35" i="63"/>
  <c r="O36" i="63"/>
  <c r="O37" i="63"/>
  <c r="O38" i="63"/>
  <c r="O39" i="63"/>
  <c r="O14" i="63"/>
  <c r="O10" i="63"/>
  <c r="O9" i="63"/>
  <c r="O11" i="63" s="1"/>
  <c r="O15" i="67"/>
  <c r="O16" i="67"/>
  <c r="O17" i="67"/>
  <c r="O18" i="67"/>
  <c r="O19" i="67"/>
  <c r="O20" i="67"/>
  <c r="O21" i="67"/>
  <c r="O22" i="67"/>
  <c r="O23" i="67"/>
  <c r="O24" i="67"/>
  <c r="O25" i="67"/>
  <c r="O26" i="67"/>
  <c r="O27" i="67"/>
  <c r="O28" i="67"/>
  <c r="O29" i="67"/>
  <c r="O30" i="67"/>
  <c r="O31" i="67"/>
  <c r="S31" i="67" s="1"/>
  <c r="O32" i="67"/>
  <c r="O33" i="67"/>
  <c r="O34" i="67"/>
  <c r="O35" i="67"/>
  <c r="O36" i="67"/>
  <c r="O37" i="67"/>
  <c r="S37" i="67" s="1"/>
  <c r="O38" i="67"/>
  <c r="O39" i="67"/>
  <c r="O14" i="67"/>
  <c r="O10" i="67"/>
  <c r="O9" i="67"/>
  <c r="O11" i="67" s="1"/>
  <c r="O15" i="62"/>
  <c r="O16" i="62"/>
  <c r="O17" i="62"/>
  <c r="O18" i="62"/>
  <c r="O19" i="62"/>
  <c r="O20" i="62"/>
  <c r="O21" i="62"/>
  <c r="O22" i="62"/>
  <c r="O23" i="62"/>
  <c r="O24" i="62"/>
  <c r="O25" i="62"/>
  <c r="O26" i="62"/>
  <c r="O27" i="62"/>
  <c r="O28" i="62"/>
  <c r="O29" i="62"/>
  <c r="O30" i="62"/>
  <c r="O31" i="62"/>
  <c r="O32" i="62"/>
  <c r="O33" i="62"/>
  <c r="O34" i="62"/>
  <c r="O35" i="62"/>
  <c r="O36" i="62"/>
  <c r="O37" i="62"/>
  <c r="O38" i="62"/>
  <c r="O39" i="62"/>
  <c r="O14" i="62"/>
  <c r="O11" i="62"/>
  <c r="O10" i="62"/>
  <c r="O9" i="62"/>
  <c r="O15" i="61"/>
  <c r="O16" i="61"/>
  <c r="O17" i="61"/>
  <c r="O18" i="61"/>
  <c r="O19" i="61"/>
  <c r="O20" i="61"/>
  <c r="O21" i="61"/>
  <c r="O22" i="61"/>
  <c r="O23" i="61"/>
  <c r="O24" i="61"/>
  <c r="O25" i="61"/>
  <c r="O26" i="61"/>
  <c r="O27" i="61"/>
  <c r="O28" i="61"/>
  <c r="O29" i="61"/>
  <c r="O30" i="61"/>
  <c r="O31" i="61"/>
  <c r="O32" i="61"/>
  <c r="O33" i="61"/>
  <c r="O34" i="61"/>
  <c r="O35" i="61"/>
  <c r="O36" i="61"/>
  <c r="O37" i="61"/>
  <c r="O38" i="61"/>
  <c r="O39" i="61"/>
  <c r="O14" i="61"/>
  <c r="O10" i="61"/>
  <c r="O9" i="61"/>
  <c r="O11" i="61" s="1"/>
  <c r="O15" i="60"/>
  <c r="O16" i="60"/>
  <c r="O17" i="60"/>
  <c r="O18" i="60"/>
  <c r="O19" i="60"/>
  <c r="O20" i="60"/>
  <c r="O21" i="60"/>
  <c r="O22" i="60"/>
  <c r="O23" i="60"/>
  <c r="O24" i="60"/>
  <c r="O25" i="60"/>
  <c r="O26" i="60"/>
  <c r="O27" i="60"/>
  <c r="O28" i="60"/>
  <c r="O29" i="60"/>
  <c r="O30" i="60"/>
  <c r="O31" i="60"/>
  <c r="O32" i="60"/>
  <c r="O33" i="60"/>
  <c r="O34" i="60"/>
  <c r="O35" i="60"/>
  <c r="O36" i="60"/>
  <c r="O37" i="60"/>
  <c r="O38" i="60"/>
  <c r="O39" i="60"/>
  <c r="O14" i="60"/>
  <c r="O10" i="60"/>
  <c r="O9" i="60"/>
  <c r="O15" i="58"/>
  <c r="O16" i="58"/>
  <c r="O17" i="58"/>
  <c r="O18" i="58"/>
  <c r="O19" i="58"/>
  <c r="O20" i="58"/>
  <c r="O21" i="58"/>
  <c r="O22" i="58"/>
  <c r="O23" i="58"/>
  <c r="O24" i="58"/>
  <c r="O25" i="58"/>
  <c r="O26" i="58"/>
  <c r="O27" i="58"/>
  <c r="O28" i="58"/>
  <c r="O29" i="58"/>
  <c r="O30" i="58"/>
  <c r="O31" i="58"/>
  <c r="O32" i="58"/>
  <c r="O33" i="58"/>
  <c r="O34" i="58"/>
  <c r="O35" i="58"/>
  <c r="O36" i="58"/>
  <c r="O37" i="58"/>
  <c r="O38" i="58"/>
  <c r="O39" i="58"/>
  <c r="O14" i="58"/>
  <c r="O10" i="58"/>
  <c r="O9" i="58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14" i="56"/>
  <c r="O10" i="56"/>
  <c r="O9" i="56"/>
  <c r="O11" i="56" s="1"/>
  <c r="P15" i="55"/>
  <c r="P16" i="55"/>
  <c r="P17" i="55"/>
  <c r="P18" i="55"/>
  <c r="P19" i="55"/>
  <c r="P20" i="55"/>
  <c r="P21" i="55"/>
  <c r="P22" i="55"/>
  <c r="P23" i="55"/>
  <c r="P24" i="55"/>
  <c r="P25" i="55"/>
  <c r="P26" i="55"/>
  <c r="P27" i="55"/>
  <c r="P28" i="55"/>
  <c r="P29" i="55"/>
  <c r="P30" i="55"/>
  <c r="P31" i="55"/>
  <c r="P32" i="55"/>
  <c r="P33" i="55"/>
  <c r="P34" i="55"/>
  <c r="P35" i="55"/>
  <c r="P36" i="55"/>
  <c r="P37" i="55"/>
  <c r="P38" i="55"/>
  <c r="P39" i="55"/>
  <c r="P14" i="55"/>
  <c r="P10" i="55"/>
  <c r="P9" i="55"/>
  <c r="O15" i="57"/>
  <c r="O16" i="57"/>
  <c r="O17" i="57"/>
  <c r="O18" i="57"/>
  <c r="O19" i="57"/>
  <c r="O20" i="57"/>
  <c r="O21" i="57"/>
  <c r="O22" i="57"/>
  <c r="O23" i="57"/>
  <c r="O24" i="57"/>
  <c r="O25" i="57"/>
  <c r="O26" i="57"/>
  <c r="O27" i="57"/>
  <c r="O28" i="57"/>
  <c r="O29" i="57"/>
  <c r="O30" i="57"/>
  <c r="O31" i="57"/>
  <c r="O32" i="57"/>
  <c r="O33" i="57"/>
  <c r="O34" i="57"/>
  <c r="O35" i="57"/>
  <c r="O36" i="57"/>
  <c r="O37" i="57"/>
  <c r="O38" i="57"/>
  <c r="O39" i="57"/>
  <c r="O14" i="57"/>
  <c r="O10" i="57"/>
  <c r="O9" i="57"/>
  <c r="P15" i="53"/>
  <c r="P16" i="53"/>
  <c r="P17" i="53"/>
  <c r="P18" i="53"/>
  <c r="P19" i="53"/>
  <c r="P20" i="53"/>
  <c r="P21" i="53"/>
  <c r="P22" i="53"/>
  <c r="P23" i="53"/>
  <c r="P24" i="53"/>
  <c r="P25" i="53"/>
  <c r="P26" i="53"/>
  <c r="P27" i="53"/>
  <c r="P28" i="53"/>
  <c r="P29" i="53"/>
  <c r="P30" i="53"/>
  <c r="P31" i="53"/>
  <c r="P32" i="53"/>
  <c r="P33" i="53"/>
  <c r="P34" i="53"/>
  <c r="P35" i="53"/>
  <c r="P36" i="53"/>
  <c r="P37" i="53"/>
  <c r="P38" i="53"/>
  <c r="P39" i="53"/>
  <c r="P14" i="53"/>
  <c r="P15" i="52"/>
  <c r="P16" i="52"/>
  <c r="P17" i="52"/>
  <c r="P18" i="52"/>
  <c r="P19" i="52"/>
  <c r="P20" i="52"/>
  <c r="P21" i="52"/>
  <c r="P22" i="52"/>
  <c r="P23" i="52"/>
  <c r="P24" i="52"/>
  <c r="P25" i="52"/>
  <c r="P26" i="52"/>
  <c r="P27" i="52"/>
  <c r="P28" i="52"/>
  <c r="P29" i="52"/>
  <c r="P30" i="52"/>
  <c r="P31" i="52"/>
  <c r="P32" i="52"/>
  <c r="P33" i="52"/>
  <c r="P34" i="52"/>
  <c r="P35" i="52"/>
  <c r="P36" i="52"/>
  <c r="P37" i="52"/>
  <c r="P38" i="52"/>
  <c r="P39" i="52"/>
  <c r="P14" i="52"/>
  <c r="P10" i="52"/>
  <c r="P9" i="52"/>
  <c r="P15" i="50"/>
  <c r="P16" i="50"/>
  <c r="P17" i="50"/>
  <c r="P18" i="50"/>
  <c r="P19" i="50"/>
  <c r="P20" i="50"/>
  <c r="P21" i="50"/>
  <c r="P22" i="50"/>
  <c r="P23" i="50"/>
  <c r="P24" i="50"/>
  <c r="P25" i="50"/>
  <c r="P26" i="50"/>
  <c r="P27" i="50"/>
  <c r="P28" i="50"/>
  <c r="P29" i="50"/>
  <c r="P30" i="50"/>
  <c r="P31" i="50"/>
  <c r="P32" i="50"/>
  <c r="P33" i="50"/>
  <c r="P34" i="50"/>
  <c r="P35" i="50"/>
  <c r="P36" i="50"/>
  <c r="P37" i="50"/>
  <c r="P38" i="50"/>
  <c r="P39" i="50"/>
  <c r="P14" i="50"/>
  <c r="P10" i="50"/>
  <c r="P9" i="50"/>
  <c r="P16" i="47"/>
  <c r="P17" i="47"/>
  <c r="P18" i="47"/>
  <c r="P19" i="47"/>
  <c r="P20" i="47"/>
  <c r="P21" i="47"/>
  <c r="P22" i="47"/>
  <c r="P23" i="47"/>
  <c r="P24" i="47"/>
  <c r="P25" i="47"/>
  <c r="P26" i="47"/>
  <c r="P27" i="47"/>
  <c r="P28" i="47"/>
  <c r="P29" i="47"/>
  <c r="P30" i="47"/>
  <c r="P31" i="47"/>
  <c r="P32" i="47"/>
  <c r="P33" i="47"/>
  <c r="P34" i="47"/>
  <c r="P35" i="47"/>
  <c r="P36" i="47"/>
  <c r="P37" i="47"/>
  <c r="P38" i="47"/>
  <c r="P39" i="47"/>
  <c r="P40" i="47"/>
  <c r="P15" i="47"/>
  <c r="P11" i="47"/>
  <c r="P10" i="47"/>
  <c r="P16" i="48"/>
  <c r="P17" i="48"/>
  <c r="P18" i="48"/>
  <c r="P19" i="48"/>
  <c r="P20" i="48"/>
  <c r="P21" i="48"/>
  <c r="P22" i="48"/>
  <c r="P23" i="48"/>
  <c r="P24" i="48"/>
  <c r="P25" i="48"/>
  <c r="P26" i="48"/>
  <c r="P27" i="48"/>
  <c r="P28" i="48"/>
  <c r="P29" i="48"/>
  <c r="P30" i="48"/>
  <c r="P31" i="48"/>
  <c r="P32" i="48"/>
  <c r="P33" i="48"/>
  <c r="P34" i="48"/>
  <c r="P35" i="48"/>
  <c r="P36" i="48"/>
  <c r="P37" i="48"/>
  <c r="P38" i="48"/>
  <c r="P39" i="48"/>
  <c r="P40" i="48"/>
  <c r="P15" i="48"/>
  <c r="P11" i="48"/>
  <c r="P10" i="48"/>
  <c r="P12" i="48" s="1"/>
  <c r="P15" i="44"/>
  <c r="P16" i="44"/>
  <c r="P17" i="44"/>
  <c r="P18" i="44"/>
  <c r="P19" i="44"/>
  <c r="P20" i="44"/>
  <c r="P21" i="44"/>
  <c r="P22" i="44"/>
  <c r="P23" i="44"/>
  <c r="P24" i="44"/>
  <c r="P25" i="44"/>
  <c r="P26" i="44"/>
  <c r="P27" i="44"/>
  <c r="P28" i="44"/>
  <c r="P29" i="44"/>
  <c r="P30" i="44"/>
  <c r="P31" i="44"/>
  <c r="P32" i="44"/>
  <c r="P33" i="44"/>
  <c r="P34" i="44"/>
  <c r="P35" i="44"/>
  <c r="P36" i="44"/>
  <c r="P37" i="44"/>
  <c r="P38" i="44"/>
  <c r="P39" i="44"/>
  <c r="P10" i="44"/>
  <c r="P9" i="44"/>
  <c r="P11" i="44" s="1"/>
  <c r="P15" i="43"/>
  <c r="P16" i="43"/>
  <c r="P17" i="43"/>
  <c r="P18" i="43"/>
  <c r="P19" i="43"/>
  <c r="P20" i="43"/>
  <c r="P21" i="43"/>
  <c r="P22" i="43"/>
  <c r="P23" i="43"/>
  <c r="P24" i="43"/>
  <c r="P25" i="43"/>
  <c r="P26" i="43"/>
  <c r="P27" i="43"/>
  <c r="P28" i="43"/>
  <c r="P29" i="43"/>
  <c r="P30" i="43"/>
  <c r="P31" i="43"/>
  <c r="P32" i="43"/>
  <c r="P33" i="43"/>
  <c r="P34" i="43"/>
  <c r="P35" i="43"/>
  <c r="P36" i="43"/>
  <c r="P37" i="43"/>
  <c r="P38" i="43"/>
  <c r="P39" i="43"/>
  <c r="P14" i="43"/>
  <c r="P10" i="43"/>
  <c r="P9" i="43"/>
  <c r="P11" i="43" s="1"/>
  <c r="C42" i="43"/>
  <c r="C52" i="43" s="1"/>
  <c r="C59" i="43" s="1"/>
  <c r="Q15" i="38"/>
  <c r="Q16" i="38"/>
  <c r="Q17" i="38"/>
  <c r="Q18" i="38"/>
  <c r="Q19" i="38"/>
  <c r="Q20" i="38"/>
  <c r="Q21" i="38"/>
  <c r="Q22" i="38"/>
  <c r="Q23" i="38"/>
  <c r="Q24" i="38"/>
  <c r="Q25" i="38"/>
  <c r="Q26" i="38"/>
  <c r="Q27" i="38"/>
  <c r="Q28" i="38"/>
  <c r="Q29" i="38"/>
  <c r="Q30" i="38"/>
  <c r="Q31" i="38"/>
  <c r="Q32" i="38"/>
  <c r="Q33" i="38"/>
  <c r="Q34" i="38"/>
  <c r="Q35" i="38"/>
  <c r="Q36" i="38"/>
  <c r="Q37" i="38"/>
  <c r="Q38" i="38"/>
  <c r="Q39" i="38"/>
  <c r="Q14" i="38"/>
  <c r="Q10" i="38"/>
  <c r="Q9" i="38"/>
  <c r="Q15" i="28"/>
  <c r="Q16" i="28"/>
  <c r="Q17" i="28"/>
  <c r="Q18" i="28"/>
  <c r="Q19" i="28"/>
  <c r="Q20" i="28"/>
  <c r="Q21" i="28"/>
  <c r="Q22" i="28"/>
  <c r="Q23" i="28"/>
  <c r="Q24" i="28"/>
  <c r="Q25" i="28"/>
  <c r="Q26" i="28"/>
  <c r="Q27" i="28"/>
  <c r="Q28" i="28"/>
  <c r="Q29" i="28"/>
  <c r="Q30" i="28"/>
  <c r="Q31" i="28"/>
  <c r="Q32" i="28"/>
  <c r="Q33" i="28"/>
  <c r="Q34" i="28"/>
  <c r="Q35" i="28"/>
  <c r="Q36" i="28"/>
  <c r="Q37" i="28"/>
  <c r="Q38" i="28"/>
  <c r="Q39" i="28"/>
  <c r="Q14" i="28"/>
  <c r="Q10" i="28"/>
  <c r="Q9" i="28"/>
  <c r="Q15" i="33"/>
  <c r="Q16" i="33"/>
  <c r="Q17" i="33"/>
  <c r="Q18" i="33"/>
  <c r="Q19" i="33"/>
  <c r="Q20" i="33"/>
  <c r="Q21" i="33"/>
  <c r="Q22" i="33"/>
  <c r="Q23" i="33"/>
  <c r="Q24" i="33"/>
  <c r="Q25" i="33"/>
  <c r="Q26" i="33"/>
  <c r="Q27" i="33"/>
  <c r="Q28" i="33"/>
  <c r="Q29" i="33"/>
  <c r="Q30" i="33"/>
  <c r="Q31" i="33"/>
  <c r="Q32" i="33"/>
  <c r="Q33" i="33"/>
  <c r="Q34" i="33"/>
  <c r="Q35" i="33"/>
  <c r="Q36" i="33"/>
  <c r="Q37" i="33"/>
  <c r="Q38" i="33"/>
  <c r="Q39" i="33"/>
  <c r="Q14" i="33"/>
  <c r="V14" i="33" s="1"/>
  <c r="Q10" i="33"/>
  <c r="Q9" i="33"/>
  <c r="Q39" i="26"/>
  <c r="Q38" i="26"/>
  <c r="Q37" i="26"/>
  <c r="Q36" i="26"/>
  <c r="Q35" i="26"/>
  <c r="Q34" i="26"/>
  <c r="Q33" i="26"/>
  <c r="Q32" i="26"/>
  <c r="Q31" i="26"/>
  <c r="Q30" i="26"/>
  <c r="Q29" i="26"/>
  <c r="Q28" i="26"/>
  <c r="Q27" i="26"/>
  <c r="Q26" i="26"/>
  <c r="Q25" i="26"/>
  <c r="Q24" i="26"/>
  <c r="Q23" i="26"/>
  <c r="Q22" i="26"/>
  <c r="Q21" i="26"/>
  <c r="Q20" i="26"/>
  <c r="Q19" i="26"/>
  <c r="Q18" i="26"/>
  <c r="Q17" i="26"/>
  <c r="Q16" i="26"/>
  <c r="Q15" i="26"/>
  <c r="Q14" i="26"/>
  <c r="Q10" i="26"/>
  <c r="Q9" i="26"/>
  <c r="R42" i="8"/>
  <c r="R13" i="8"/>
  <c r="D40" i="26"/>
  <c r="D48" i="26" s="1"/>
  <c r="D44" i="26"/>
  <c r="D46" i="26"/>
  <c r="E47" i="8"/>
  <c r="E49" i="8"/>
  <c r="E43" i="8"/>
  <c r="E51" i="8" s="1"/>
  <c r="E14" i="8"/>
  <c r="D42" i="22"/>
  <c r="D50" i="22" s="1"/>
  <c r="Q19" i="22"/>
  <c r="Q20" i="22"/>
  <c r="Q22" i="22"/>
  <c r="Q23" i="22"/>
  <c r="Q25" i="22"/>
  <c r="Q30" i="22"/>
  <c r="Q33" i="22"/>
  <c r="Q34" i="22"/>
  <c r="Q35" i="22"/>
  <c r="Q37" i="22"/>
  <c r="Q38" i="22"/>
  <c r="Q39" i="22"/>
  <c r="Q16" i="22"/>
  <c r="N11" i="67"/>
  <c r="S12" i="67"/>
  <c r="S13" i="67"/>
  <c r="S25" i="67"/>
  <c r="N40" i="67"/>
  <c r="N50" i="67" s="1"/>
  <c r="S41" i="67"/>
  <c r="S43" i="67"/>
  <c r="N44" i="67"/>
  <c r="S45" i="67"/>
  <c r="N46" i="67"/>
  <c r="S47" i="67"/>
  <c r="N48" i="67"/>
  <c r="S49" i="67"/>
  <c r="S51" i="67"/>
  <c r="B46" i="66"/>
  <c r="B44" i="66"/>
  <c r="B40" i="66"/>
  <c r="B48" i="66" s="1"/>
  <c r="O48" i="66" s="1"/>
  <c r="P48" i="66" s="1"/>
  <c r="B11" i="66"/>
  <c r="B46" i="65"/>
  <c r="B44" i="65"/>
  <c r="B40" i="65"/>
  <c r="B48" i="65" s="1"/>
  <c r="B11" i="65"/>
  <c r="B46" i="63"/>
  <c r="B44" i="63"/>
  <c r="B40" i="63"/>
  <c r="B50" i="63" s="1"/>
  <c r="B11" i="63"/>
  <c r="C46" i="60"/>
  <c r="C44" i="60"/>
  <c r="C40" i="60"/>
  <c r="C48" i="60" s="1"/>
  <c r="C11" i="60"/>
  <c r="C46" i="58"/>
  <c r="C44" i="58"/>
  <c r="C40" i="58"/>
  <c r="C48" i="58" s="1"/>
  <c r="C11" i="58"/>
  <c r="B46" i="56"/>
  <c r="B44" i="56"/>
  <c r="B40" i="56"/>
  <c r="B50" i="56" s="1"/>
  <c r="B11" i="56"/>
  <c r="B46" i="57"/>
  <c r="B44" i="57"/>
  <c r="B40" i="57"/>
  <c r="B48" i="57" s="1"/>
  <c r="B11" i="57"/>
  <c r="X15" i="18"/>
  <c r="X16" i="18"/>
  <c r="X44" i="18"/>
  <c r="X46" i="18"/>
  <c r="X48" i="18"/>
  <c r="X50" i="18"/>
  <c r="X52" i="18"/>
  <c r="X54" i="18"/>
  <c r="U12" i="55"/>
  <c r="U13" i="55"/>
  <c r="U41" i="55"/>
  <c r="U43" i="55"/>
  <c r="U45" i="55"/>
  <c r="U47" i="55"/>
  <c r="U49" i="55"/>
  <c r="U51" i="55"/>
  <c r="U12" i="53"/>
  <c r="U13" i="53"/>
  <c r="U41" i="53"/>
  <c r="U43" i="53"/>
  <c r="U45" i="53"/>
  <c r="U47" i="53"/>
  <c r="U49" i="53"/>
  <c r="U51" i="53"/>
  <c r="U13" i="52"/>
  <c r="U14" i="52"/>
  <c r="U42" i="52"/>
  <c r="U44" i="52"/>
  <c r="U46" i="52"/>
  <c r="U48" i="52"/>
  <c r="U50" i="52"/>
  <c r="U52" i="52"/>
  <c r="U12" i="50"/>
  <c r="U13" i="50"/>
  <c r="U41" i="50"/>
  <c r="U43" i="50"/>
  <c r="U45" i="50"/>
  <c r="U47" i="50"/>
  <c r="U49" i="50"/>
  <c r="U51" i="50"/>
  <c r="U13" i="47"/>
  <c r="U14" i="47"/>
  <c r="U42" i="47"/>
  <c r="U44" i="47"/>
  <c r="U46" i="47"/>
  <c r="U48" i="47"/>
  <c r="U50" i="47"/>
  <c r="U52" i="47"/>
  <c r="U13" i="48"/>
  <c r="U14" i="48"/>
  <c r="U42" i="48"/>
  <c r="U44" i="48"/>
  <c r="U46" i="48"/>
  <c r="U48" i="48"/>
  <c r="U50" i="48"/>
  <c r="U52" i="48"/>
  <c r="U12" i="44"/>
  <c r="U13" i="44"/>
  <c r="U41" i="44"/>
  <c r="U43" i="44"/>
  <c r="U45" i="44"/>
  <c r="U47" i="44"/>
  <c r="U49" i="44"/>
  <c r="U51" i="44"/>
  <c r="U12" i="43"/>
  <c r="U13" i="43"/>
  <c r="U41" i="43"/>
  <c r="U43" i="43"/>
  <c r="U45" i="43"/>
  <c r="U47" i="43"/>
  <c r="U49" i="43"/>
  <c r="U51" i="43"/>
  <c r="V12" i="38"/>
  <c r="V13" i="38"/>
  <c r="V41" i="38"/>
  <c r="V43" i="38"/>
  <c r="V45" i="38"/>
  <c r="V47" i="38"/>
  <c r="V49" i="38"/>
  <c r="V51" i="38"/>
  <c r="V12" i="28"/>
  <c r="V13" i="28"/>
  <c r="V41" i="28"/>
  <c r="V43" i="28"/>
  <c r="V45" i="28"/>
  <c r="V47" i="28"/>
  <c r="V49" i="28"/>
  <c r="V51" i="28"/>
  <c r="V12" i="33"/>
  <c r="V13" i="33"/>
  <c r="V41" i="33"/>
  <c r="V43" i="33"/>
  <c r="V45" i="33"/>
  <c r="V47" i="33"/>
  <c r="V49" i="33"/>
  <c r="V51" i="33"/>
  <c r="V12" i="26"/>
  <c r="V13" i="26"/>
  <c r="V41" i="26"/>
  <c r="V43" i="26"/>
  <c r="V45" i="26"/>
  <c r="V47" i="26"/>
  <c r="V49" i="26"/>
  <c r="V51" i="26"/>
  <c r="W15" i="8"/>
  <c r="W16" i="8"/>
  <c r="W44" i="8"/>
  <c r="W46" i="8"/>
  <c r="W48" i="8"/>
  <c r="W50" i="8"/>
  <c r="W52" i="8"/>
  <c r="W54" i="8"/>
  <c r="O11" i="65" l="1"/>
  <c r="P16" i="66"/>
  <c r="P23" i="66"/>
  <c r="P29" i="66"/>
  <c r="P37" i="66"/>
  <c r="P18" i="66"/>
  <c r="P24" i="66"/>
  <c r="P31" i="66"/>
  <c r="P38" i="66"/>
  <c r="P19" i="66"/>
  <c r="P25" i="66"/>
  <c r="P32" i="66"/>
  <c r="P39" i="66"/>
  <c r="P20" i="66"/>
  <c r="P26" i="66"/>
  <c r="P33" i="66"/>
  <c r="P14" i="66"/>
  <c r="P21" i="66"/>
  <c r="P27" i="66"/>
  <c r="P34" i="66"/>
  <c r="P15" i="66"/>
  <c r="P22" i="66"/>
  <c r="P28" i="66"/>
  <c r="P36" i="66"/>
  <c r="P30" i="66"/>
  <c r="P35" i="66"/>
  <c r="P17" i="66"/>
  <c r="X16" i="22"/>
  <c r="P12" i="47"/>
  <c r="S19" i="67"/>
  <c r="O40" i="66"/>
  <c r="P40" i="66" s="1"/>
  <c r="O40" i="67"/>
  <c r="O11" i="60"/>
  <c r="O40" i="60"/>
  <c r="O11" i="58"/>
  <c r="O40" i="58"/>
  <c r="C50" i="58"/>
  <c r="C57" i="58" s="1"/>
  <c r="O40" i="56"/>
  <c r="P11" i="55"/>
  <c r="O40" i="57"/>
  <c r="P40" i="53"/>
  <c r="P40" i="52"/>
  <c r="P11" i="52"/>
  <c r="P40" i="50"/>
  <c r="P11" i="50"/>
  <c r="Q40" i="38"/>
  <c r="Q11" i="38"/>
  <c r="D42" i="26"/>
  <c r="Q11" i="26"/>
  <c r="E45" i="8"/>
  <c r="E53" i="8"/>
  <c r="E61" i="8" s="1"/>
  <c r="D52" i="22"/>
  <c r="D50" i="26"/>
  <c r="D52" i="26" s="1"/>
  <c r="S38" i="67"/>
  <c r="S32" i="67"/>
  <c r="S26" i="67"/>
  <c r="S20" i="67"/>
  <c r="S39" i="67"/>
  <c r="S33" i="67"/>
  <c r="S27" i="67"/>
  <c r="S21" i="67"/>
  <c r="S15" i="67"/>
  <c r="S10" i="67"/>
  <c r="S34" i="67"/>
  <c r="S28" i="67"/>
  <c r="S16" i="67"/>
  <c r="N57" i="67"/>
  <c r="S36" i="67"/>
  <c r="S30" i="67"/>
  <c r="S24" i="67"/>
  <c r="S18" i="67"/>
  <c r="N42" i="67"/>
  <c r="N52" i="67" s="1"/>
  <c r="S35" i="67"/>
  <c r="S29" i="67"/>
  <c r="S23" i="67"/>
  <c r="S17" i="67"/>
  <c r="S22" i="67"/>
  <c r="S14" i="67"/>
  <c r="S9" i="67"/>
  <c r="J57" i="61"/>
  <c r="C50" i="60"/>
  <c r="B50" i="66"/>
  <c r="O50" i="66" s="1"/>
  <c r="P50" i="66" s="1"/>
  <c r="B42" i="66"/>
  <c r="B50" i="65"/>
  <c r="B57" i="65" s="1"/>
  <c r="B42" i="65"/>
  <c r="B42" i="63"/>
  <c r="B48" i="63"/>
  <c r="C42" i="60"/>
  <c r="C42" i="58"/>
  <c r="B42" i="56"/>
  <c r="B48" i="56"/>
  <c r="B57" i="56" s="1"/>
  <c r="B50" i="57"/>
  <c r="B57" i="57"/>
  <c r="B42" i="57"/>
  <c r="U9" i="55"/>
  <c r="B11" i="55"/>
  <c r="B42" i="55" s="1"/>
  <c r="D11" i="55"/>
  <c r="E11" i="55"/>
  <c r="F11" i="55"/>
  <c r="G11" i="55"/>
  <c r="H11" i="55"/>
  <c r="I11" i="55"/>
  <c r="J11" i="55"/>
  <c r="K11" i="55"/>
  <c r="L11" i="55"/>
  <c r="M11" i="55"/>
  <c r="N11" i="55"/>
  <c r="O11" i="55"/>
  <c r="O42" i="55" s="1"/>
  <c r="U15" i="55"/>
  <c r="U16" i="55"/>
  <c r="U17" i="55"/>
  <c r="U18" i="55"/>
  <c r="U20" i="55"/>
  <c r="U21" i="55"/>
  <c r="U22" i="55"/>
  <c r="U23" i="55"/>
  <c r="U24" i="55"/>
  <c r="U26" i="55"/>
  <c r="U27" i="55"/>
  <c r="U28" i="55"/>
  <c r="U29" i="55"/>
  <c r="U30" i="55"/>
  <c r="U32" i="55"/>
  <c r="U33" i="55"/>
  <c r="U34" i="55"/>
  <c r="U35" i="55"/>
  <c r="U36" i="55"/>
  <c r="U38" i="55"/>
  <c r="U39" i="55"/>
  <c r="B40" i="55"/>
  <c r="D40" i="55"/>
  <c r="D48" i="55" s="1"/>
  <c r="E40" i="55"/>
  <c r="E50" i="55" s="1"/>
  <c r="F40" i="55"/>
  <c r="F50" i="55" s="1"/>
  <c r="G40" i="55"/>
  <c r="G50" i="55" s="1"/>
  <c r="H40" i="55"/>
  <c r="H50" i="55" s="1"/>
  <c r="I40" i="55"/>
  <c r="I50" i="55" s="1"/>
  <c r="J40" i="55"/>
  <c r="J50" i="55" s="1"/>
  <c r="K40" i="55"/>
  <c r="K50" i="55" s="1"/>
  <c r="L40" i="55"/>
  <c r="L50" i="55" s="1"/>
  <c r="M40" i="55"/>
  <c r="N40" i="55"/>
  <c r="N48" i="55" s="1"/>
  <c r="O40" i="55"/>
  <c r="O48" i="55" s="1"/>
  <c r="B44" i="55"/>
  <c r="D44" i="55"/>
  <c r="E44" i="55"/>
  <c r="F44" i="55"/>
  <c r="G44" i="55"/>
  <c r="H44" i="55"/>
  <c r="I44" i="55"/>
  <c r="J44" i="55"/>
  <c r="K44" i="55"/>
  <c r="L44" i="55"/>
  <c r="M44" i="55"/>
  <c r="N44" i="55"/>
  <c r="O44" i="55"/>
  <c r="B46" i="55"/>
  <c r="D46" i="55"/>
  <c r="E46" i="55"/>
  <c r="F46" i="55"/>
  <c r="G46" i="55"/>
  <c r="H46" i="55"/>
  <c r="I46" i="55"/>
  <c r="J46" i="55"/>
  <c r="K46" i="55"/>
  <c r="L46" i="55"/>
  <c r="M46" i="55"/>
  <c r="N46" i="55"/>
  <c r="O46" i="55"/>
  <c r="L48" i="55"/>
  <c r="M50" i="55"/>
  <c r="O50" i="55"/>
  <c r="O46" i="44"/>
  <c r="O46" i="43"/>
  <c r="O44" i="43"/>
  <c r="P21" i="60" l="1"/>
  <c r="P14" i="60"/>
  <c r="E48" i="55"/>
  <c r="B57" i="66"/>
  <c r="B57" i="63"/>
  <c r="J59" i="61"/>
  <c r="C57" i="60"/>
  <c r="C52" i="58"/>
  <c r="C59" i="58" s="1"/>
  <c r="L42" i="55"/>
  <c r="K42" i="55"/>
  <c r="E42" i="55"/>
  <c r="E52" i="55" s="1"/>
  <c r="P46" i="55"/>
  <c r="U46" i="55" s="1"/>
  <c r="K48" i="55"/>
  <c r="F48" i="55"/>
  <c r="P44" i="55"/>
  <c r="F42" i="55"/>
  <c r="N42" i="55"/>
  <c r="N50" i="55"/>
  <c r="N52" i="55" s="1"/>
  <c r="D42" i="55"/>
  <c r="E55" i="8"/>
  <c r="E63" i="8"/>
  <c r="B52" i="66"/>
  <c r="B52" i="65"/>
  <c r="N59" i="67"/>
  <c r="C52" i="60"/>
  <c r="B52" i="57"/>
  <c r="B59" i="57" s="1"/>
  <c r="B52" i="63"/>
  <c r="B52" i="56"/>
  <c r="B59" i="56" s="1"/>
  <c r="D50" i="55"/>
  <c r="B50" i="55"/>
  <c r="J48" i="55"/>
  <c r="J42" i="55"/>
  <c r="I48" i="55"/>
  <c r="B48" i="55"/>
  <c r="I42" i="55"/>
  <c r="M42" i="55"/>
  <c r="G42" i="55"/>
  <c r="P40" i="55"/>
  <c r="U40" i="55" s="1"/>
  <c r="U14" i="55"/>
  <c r="H48" i="55"/>
  <c r="H42" i="55"/>
  <c r="U37" i="55"/>
  <c r="U31" i="55"/>
  <c r="U25" i="55"/>
  <c r="U19" i="55"/>
  <c r="M48" i="55"/>
  <c r="G48" i="55"/>
  <c r="Q37" i="55"/>
  <c r="U10" i="55"/>
  <c r="O52" i="55"/>
  <c r="Q24" i="55"/>
  <c r="Q36" i="55"/>
  <c r="Q39" i="55"/>
  <c r="Q14" i="55"/>
  <c r="Q26" i="55"/>
  <c r="Q29" i="55"/>
  <c r="Q22" i="55"/>
  <c r="Q16" i="55"/>
  <c r="L52" i="55"/>
  <c r="F52" i="55"/>
  <c r="K52" i="55"/>
  <c r="B46" i="67"/>
  <c r="B44" i="67"/>
  <c r="B40" i="67"/>
  <c r="R40" i="67" s="1"/>
  <c r="B11" i="67"/>
  <c r="O40" i="52"/>
  <c r="O47" i="48"/>
  <c r="O45" i="48"/>
  <c r="C38" i="17"/>
  <c r="R44" i="67" l="1"/>
  <c r="O44" i="67"/>
  <c r="B52" i="55"/>
  <c r="R46" i="67"/>
  <c r="O46" i="67"/>
  <c r="S11" i="67"/>
  <c r="R11" i="67"/>
  <c r="P48" i="55"/>
  <c r="H52" i="55"/>
  <c r="I52" i="55"/>
  <c r="B59" i="66"/>
  <c r="B59" i="65"/>
  <c r="B59" i="63"/>
  <c r="C59" i="60"/>
  <c r="G52" i="55"/>
  <c r="J52" i="55"/>
  <c r="P42" i="55"/>
  <c r="D52" i="55"/>
  <c r="P50" i="55"/>
  <c r="Q50" i="55" s="1"/>
  <c r="Q35" i="55"/>
  <c r="Q27" i="55"/>
  <c r="Q25" i="55"/>
  <c r="Q46" i="55"/>
  <c r="Q34" i="55"/>
  <c r="Q32" i="55"/>
  <c r="Q21" i="55"/>
  <c r="Q44" i="55"/>
  <c r="Q38" i="55"/>
  <c r="Q23" i="55"/>
  <c r="Q18" i="55"/>
  <c r="Q31" i="55"/>
  <c r="Q28" i="55"/>
  <c r="Q20" i="55"/>
  <c r="Q30" i="55"/>
  <c r="U11" i="55"/>
  <c r="B50" i="67"/>
  <c r="S40" i="67"/>
  <c r="S44" i="67"/>
  <c r="Q48" i="55"/>
  <c r="U48" i="55"/>
  <c r="M52" i="55"/>
  <c r="Q17" i="55"/>
  <c r="Q33" i="55"/>
  <c r="Q15" i="55"/>
  <c r="U44" i="55"/>
  <c r="Q19" i="55"/>
  <c r="Q40" i="55"/>
  <c r="B42" i="67"/>
  <c r="B48" i="67"/>
  <c r="R48" i="67" l="1"/>
  <c r="O48" i="67"/>
  <c r="R42" i="67"/>
  <c r="O42" i="67"/>
  <c r="R50" i="67"/>
  <c r="O50" i="67"/>
  <c r="U50" i="55"/>
  <c r="P52" i="55"/>
  <c r="Q52" i="55" s="1"/>
  <c r="S46" i="67"/>
  <c r="B57" i="67"/>
  <c r="Q42" i="55"/>
  <c r="U42" i="55"/>
  <c r="P14" i="6"/>
  <c r="P43" i="6"/>
  <c r="B52" i="67"/>
  <c r="S48" i="67" l="1"/>
  <c r="R52" i="67"/>
  <c r="O52" i="67"/>
  <c r="U52" i="55"/>
  <c r="S50" i="67"/>
  <c r="O57" i="67"/>
  <c r="S42" i="67"/>
  <c r="B59" i="67"/>
  <c r="N45" i="48"/>
  <c r="R51" i="66"/>
  <c r="S51" i="66" s="1"/>
  <c r="R49" i="66"/>
  <c r="S49" i="66" s="1"/>
  <c r="R47" i="66"/>
  <c r="S47" i="66" s="1"/>
  <c r="R45" i="66"/>
  <c r="S45" i="66" s="1"/>
  <c r="R43" i="66"/>
  <c r="S43" i="66" s="1"/>
  <c r="R41" i="66"/>
  <c r="S41" i="66" s="1"/>
  <c r="R39" i="66"/>
  <c r="R38" i="66"/>
  <c r="R37" i="66"/>
  <c r="R36" i="66"/>
  <c r="R35" i="66"/>
  <c r="R34" i="66"/>
  <c r="R33" i="66"/>
  <c r="R32" i="66"/>
  <c r="R31" i="66"/>
  <c r="R30" i="66"/>
  <c r="R29" i="66"/>
  <c r="R28" i="66"/>
  <c r="R27" i="66"/>
  <c r="R26" i="66"/>
  <c r="R25" i="66"/>
  <c r="R24" i="66"/>
  <c r="R23" i="66"/>
  <c r="R22" i="66"/>
  <c r="R21" i="66"/>
  <c r="R20" i="66"/>
  <c r="R19" i="66"/>
  <c r="R18" i="66"/>
  <c r="R17" i="66"/>
  <c r="R16" i="66"/>
  <c r="R15" i="66"/>
  <c r="R14" i="66"/>
  <c r="R13" i="66"/>
  <c r="S13" i="66" s="1"/>
  <c r="R12" i="66"/>
  <c r="S12" i="66" s="1"/>
  <c r="R11" i="66"/>
  <c r="R10" i="66"/>
  <c r="R9" i="66"/>
  <c r="R51" i="65"/>
  <c r="S51" i="65" s="1"/>
  <c r="R49" i="65"/>
  <c r="S49" i="65" s="1"/>
  <c r="R47" i="65"/>
  <c r="S47" i="65" s="1"/>
  <c r="N46" i="65"/>
  <c r="M46" i="65"/>
  <c r="R45" i="65"/>
  <c r="S45" i="65" s="1"/>
  <c r="N44" i="65"/>
  <c r="M44" i="65"/>
  <c r="O44" i="65" s="1"/>
  <c r="R43" i="65"/>
  <c r="S43" i="65" s="1"/>
  <c r="R41" i="65"/>
  <c r="S41" i="65" s="1"/>
  <c r="N40" i="65"/>
  <c r="M40" i="65"/>
  <c r="R39" i="65"/>
  <c r="R38" i="65"/>
  <c r="S38" i="65" s="1"/>
  <c r="R37" i="65"/>
  <c r="R36" i="65"/>
  <c r="R35" i="65"/>
  <c r="S35" i="65" s="1"/>
  <c r="R34" i="65"/>
  <c r="S34" i="65" s="1"/>
  <c r="R33" i="65"/>
  <c r="R32" i="65"/>
  <c r="S32" i="65" s="1"/>
  <c r="R31" i="65"/>
  <c r="R30" i="65"/>
  <c r="R29" i="65"/>
  <c r="S29" i="65" s="1"/>
  <c r="R28" i="65"/>
  <c r="S28" i="65" s="1"/>
  <c r="R27" i="65"/>
  <c r="R26" i="65"/>
  <c r="S26" i="65" s="1"/>
  <c r="R25" i="65"/>
  <c r="R24" i="65"/>
  <c r="R23" i="65"/>
  <c r="S23" i="65" s="1"/>
  <c r="R22" i="65"/>
  <c r="S22" i="65" s="1"/>
  <c r="R21" i="65"/>
  <c r="R20" i="65"/>
  <c r="S20" i="65" s="1"/>
  <c r="R19" i="65"/>
  <c r="R18" i="65"/>
  <c r="R17" i="65"/>
  <c r="S17" i="65" s="1"/>
  <c r="R16" i="65"/>
  <c r="S16" i="65" s="1"/>
  <c r="R15" i="65"/>
  <c r="R14" i="65"/>
  <c r="R13" i="65"/>
  <c r="S13" i="65" s="1"/>
  <c r="R12" i="65"/>
  <c r="S12" i="65" s="1"/>
  <c r="R10" i="65"/>
  <c r="R9" i="65"/>
  <c r="N46" i="44"/>
  <c r="N46" i="43"/>
  <c r="N44" i="43"/>
  <c r="S52" i="67" l="1"/>
  <c r="M48" i="65"/>
  <c r="N50" i="65"/>
  <c r="R46" i="66"/>
  <c r="O46" i="66"/>
  <c r="P46" i="66" s="1"/>
  <c r="R44" i="66"/>
  <c r="O44" i="66"/>
  <c r="P44" i="66" s="1"/>
  <c r="R46" i="65"/>
  <c r="O46" i="65"/>
  <c r="O59" i="67"/>
  <c r="S9" i="66"/>
  <c r="S22" i="66"/>
  <c r="S25" i="66"/>
  <c r="S28" i="66"/>
  <c r="S34" i="66"/>
  <c r="S10" i="66"/>
  <c r="S14" i="66"/>
  <c r="S20" i="66"/>
  <c r="S26" i="66"/>
  <c r="S29" i="66"/>
  <c r="S35" i="66"/>
  <c r="S16" i="66"/>
  <c r="S30" i="66"/>
  <c r="S21" i="66"/>
  <c r="S18" i="66"/>
  <c r="S27" i="66"/>
  <c r="S39" i="66"/>
  <c r="S38" i="66"/>
  <c r="S33" i="66"/>
  <c r="S15" i="66"/>
  <c r="S24" i="66"/>
  <c r="S11" i="66"/>
  <c r="S25" i="65"/>
  <c r="S31" i="65"/>
  <c r="S36" i="66"/>
  <c r="S37" i="66"/>
  <c r="N42" i="65"/>
  <c r="S17" i="66"/>
  <c r="S19" i="66"/>
  <c r="S23" i="66"/>
  <c r="S31" i="66"/>
  <c r="S32" i="66"/>
  <c r="O42" i="66"/>
  <c r="P42" i="66" s="1"/>
  <c r="R40" i="66"/>
  <c r="O40" i="65"/>
  <c r="S19" i="65"/>
  <c r="S37" i="65"/>
  <c r="S15" i="65"/>
  <c r="S21" i="65"/>
  <c r="S27" i="65"/>
  <c r="S33" i="65"/>
  <c r="S39" i="65"/>
  <c r="S18" i="65"/>
  <c r="S24" i="65"/>
  <c r="S30" i="65"/>
  <c r="S36" i="65"/>
  <c r="S14" i="65"/>
  <c r="S10" i="65"/>
  <c r="S9" i="65"/>
  <c r="M50" i="65"/>
  <c r="O50" i="65" s="1"/>
  <c r="M42" i="65"/>
  <c r="S46" i="65"/>
  <c r="R44" i="65"/>
  <c r="S44" i="65" s="1"/>
  <c r="R40" i="65"/>
  <c r="N48" i="65"/>
  <c r="R48" i="65" s="1"/>
  <c r="R11" i="65"/>
  <c r="L44" i="52"/>
  <c r="K44" i="52"/>
  <c r="J44" i="52"/>
  <c r="G48" i="22"/>
  <c r="B48" i="22"/>
  <c r="I47" i="8"/>
  <c r="S10" i="50"/>
  <c r="S12" i="50"/>
  <c r="S13" i="50"/>
  <c r="S14" i="50"/>
  <c r="S15" i="50"/>
  <c r="S16" i="50"/>
  <c r="S17" i="50"/>
  <c r="S18" i="50"/>
  <c r="S19" i="50"/>
  <c r="S20" i="50"/>
  <c r="S21" i="50"/>
  <c r="S22" i="50"/>
  <c r="S23" i="50"/>
  <c r="S24" i="50"/>
  <c r="S25" i="50"/>
  <c r="S26" i="50"/>
  <c r="S27" i="50"/>
  <c r="S28" i="50"/>
  <c r="S29" i="50"/>
  <c r="S30" i="50"/>
  <c r="S31" i="50"/>
  <c r="S32" i="50"/>
  <c r="S33" i="50"/>
  <c r="S34" i="50"/>
  <c r="S35" i="50"/>
  <c r="S36" i="50"/>
  <c r="S37" i="50"/>
  <c r="S38" i="50"/>
  <c r="S39" i="50"/>
  <c r="S41" i="50"/>
  <c r="S43" i="50"/>
  <c r="S45" i="50"/>
  <c r="S47" i="50"/>
  <c r="S49" i="50"/>
  <c r="S51" i="50"/>
  <c r="S9" i="50"/>
  <c r="N57" i="65" l="1"/>
  <c r="M57" i="65"/>
  <c r="S46" i="66"/>
  <c r="O57" i="66"/>
  <c r="O48" i="65"/>
  <c r="S48" i="65" s="1"/>
  <c r="O42" i="65"/>
  <c r="S40" i="66"/>
  <c r="S40" i="65"/>
  <c r="N52" i="65"/>
  <c r="R48" i="66"/>
  <c r="S48" i="66" s="1"/>
  <c r="O52" i="66"/>
  <c r="P52" i="66" s="1"/>
  <c r="M52" i="65"/>
  <c r="R50" i="65"/>
  <c r="R42" i="66"/>
  <c r="R50" i="66"/>
  <c r="S44" i="66"/>
  <c r="S11" i="65"/>
  <c r="R42" i="65"/>
  <c r="M59" i="65" l="1"/>
  <c r="N59" i="65"/>
  <c r="O59" i="66"/>
  <c r="O52" i="65"/>
  <c r="O57" i="65"/>
  <c r="R52" i="66"/>
  <c r="S50" i="65"/>
  <c r="S50" i="66"/>
  <c r="S42" i="66"/>
  <c r="S42" i="65"/>
  <c r="R52" i="65"/>
  <c r="R51" i="63"/>
  <c r="S51" i="63" s="1"/>
  <c r="R49" i="63"/>
  <c r="S49" i="63" s="1"/>
  <c r="R47" i="63"/>
  <c r="S47" i="63" s="1"/>
  <c r="O46" i="63"/>
  <c r="R45" i="63"/>
  <c r="S45" i="63" s="1"/>
  <c r="R43" i="63"/>
  <c r="S43" i="63" s="1"/>
  <c r="R41" i="63"/>
  <c r="S41" i="63" s="1"/>
  <c r="R39" i="63"/>
  <c r="R38" i="63"/>
  <c r="R37" i="63"/>
  <c r="R36" i="63"/>
  <c r="R35" i="63"/>
  <c r="R34" i="63"/>
  <c r="R33" i="63"/>
  <c r="R32" i="63"/>
  <c r="R31" i="63"/>
  <c r="R30" i="63"/>
  <c r="R29" i="63"/>
  <c r="R28" i="63"/>
  <c r="R27" i="63"/>
  <c r="R26" i="63"/>
  <c r="R25" i="63"/>
  <c r="R24" i="63"/>
  <c r="R23" i="63"/>
  <c r="R22" i="63"/>
  <c r="R21" i="63"/>
  <c r="R20" i="63"/>
  <c r="R19" i="63"/>
  <c r="R18" i="63"/>
  <c r="R17" i="63"/>
  <c r="R16" i="63"/>
  <c r="R15" i="63"/>
  <c r="R14" i="63"/>
  <c r="R13" i="63"/>
  <c r="S13" i="63" s="1"/>
  <c r="R12" i="63"/>
  <c r="S12" i="63" s="1"/>
  <c r="R10" i="63"/>
  <c r="R9" i="63"/>
  <c r="M47" i="48"/>
  <c r="N47" i="48"/>
  <c r="M45" i="48"/>
  <c r="M46" i="44"/>
  <c r="U9" i="43"/>
  <c r="O44" i="63" l="1"/>
  <c r="O59" i="65"/>
  <c r="S26" i="63"/>
  <c r="S24" i="63"/>
  <c r="R46" i="63"/>
  <c r="S46" i="63" s="1"/>
  <c r="S30" i="63"/>
  <c r="S38" i="63"/>
  <c r="S32" i="63"/>
  <c r="S52" i="66"/>
  <c r="S20" i="63"/>
  <c r="S36" i="63"/>
  <c r="S18" i="63"/>
  <c r="O40" i="63"/>
  <c r="S52" i="65"/>
  <c r="S34" i="63"/>
  <c r="S28" i="63"/>
  <c r="S22" i="63"/>
  <c r="S16" i="63"/>
  <c r="R40" i="63"/>
  <c r="S10" i="63"/>
  <c r="O42" i="63"/>
  <c r="S17" i="63"/>
  <c r="S23" i="63"/>
  <c r="S29" i="63"/>
  <c r="S35" i="63"/>
  <c r="S15" i="63"/>
  <c r="S21" i="63"/>
  <c r="S27" i="63"/>
  <c r="S33" i="63"/>
  <c r="S39" i="63"/>
  <c r="M57" i="63"/>
  <c r="S19" i="63"/>
  <c r="S25" i="63"/>
  <c r="S31" i="63"/>
  <c r="S37" i="63"/>
  <c r="R11" i="63"/>
  <c r="S11" i="63" s="1"/>
  <c r="R44" i="63"/>
  <c r="S44" i="63" s="1"/>
  <c r="N57" i="63"/>
  <c r="S9" i="63"/>
  <c r="S14" i="63"/>
  <c r="L12" i="47"/>
  <c r="K47" i="48"/>
  <c r="L47" i="48"/>
  <c r="K45" i="48"/>
  <c r="L45" i="48"/>
  <c r="L46" i="44"/>
  <c r="L44" i="44"/>
  <c r="M44" i="44"/>
  <c r="N44" i="44"/>
  <c r="O44" i="44"/>
  <c r="O48" i="63" l="1"/>
  <c r="O50" i="63"/>
  <c r="L57" i="63"/>
  <c r="L59" i="63"/>
  <c r="N14" i="6"/>
  <c r="S40" i="63"/>
  <c r="M59" i="63"/>
  <c r="N59" i="63"/>
  <c r="R50" i="63"/>
  <c r="R48" i="63"/>
  <c r="R42" i="63"/>
  <c r="O57" i="63" l="1"/>
  <c r="O52" i="63"/>
  <c r="R52" i="63"/>
  <c r="S50" i="63"/>
  <c r="S48" i="63"/>
  <c r="S42" i="63"/>
  <c r="O59" i="63" l="1"/>
  <c r="S52" i="63"/>
  <c r="K12" i="47" l="1"/>
  <c r="R51" i="62" l="1"/>
  <c r="S51" i="62" s="1"/>
  <c r="R49" i="62"/>
  <c r="S49" i="62" s="1"/>
  <c r="R47" i="62"/>
  <c r="S47" i="62" s="1"/>
  <c r="B46" i="62"/>
  <c r="R45" i="62"/>
  <c r="S45" i="62" s="1"/>
  <c r="B44" i="62"/>
  <c r="R43" i="62"/>
  <c r="S43" i="62" s="1"/>
  <c r="R41" i="62"/>
  <c r="S41" i="62" s="1"/>
  <c r="B40" i="62"/>
  <c r="B48" i="62" s="1"/>
  <c r="R39" i="62"/>
  <c r="R38" i="62"/>
  <c r="R37" i="62"/>
  <c r="R36" i="62"/>
  <c r="R35" i="62"/>
  <c r="R34" i="62"/>
  <c r="R33" i="62"/>
  <c r="R32" i="62"/>
  <c r="R31" i="62"/>
  <c r="R30" i="62"/>
  <c r="R29" i="62"/>
  <c r="R28" i="62"/>
  <c r="R27" i="62"/>
  <c r="R26" i="62"/>
  <c r="R25" i="62"/>
  <c r="R24" i="62"/>
  <c r="R23" i="62"/>
  <c r="R22" i="62"/>
  <c r="R21" i="62"/>
  <c r="R20" i="62"/>
  <c r="R19" i="62"/>
  <c r="R18" i="62"/>
  <c r="R17" i="62"/>
  <c r="R16" i="62"/>
  <c r="R15" i="62"/>
  <c r="R14" i="62"/>
  <c r="R13" i="62"/>
  <c r="S13" i="62" s="1"/>
  <c r="R12" i="62"/>
  <c r="S12" i="62" s="1"/>
  <c r="B11" i="62"/>
  <c r="R10" i="62"/>
  <c r="R9" i="62"/>
  <c r="S9" i="62" s="1"/>
  <c r="R51" i="61"/>
  <c r="S51" i="61" s="1"/>
  <c r="R49" i="61"/>
  <c r="S49" i="61" s="1"/>
  <c r="R47" i="61"/>
  <c r="S47" i="61" s="1"/>
  <c r="B46" i="61"/>
  <c r="O46" i="61" s="1"/>
  <c r="R45" i="61"/>
  <c r="S45" i="61" s="1"/>
  <c r="B44" i="61"/>
  <c r="O44" i="61" s="1"/>
  <c r="R43" i="61"/>
  <c r="S43" i="61" s="1"/>
  <c r="R41" i="61"/>
  <c r="S41" i="61" s="1"/>
  <c r="B40" i="61"/>
  <c r="B48" i="61" s="1"/>
  <c r="R39" i="61"/>
  <c r="R38" i="61"/>
  <c r="R37" i="61"/>
  <c r="R36" i="61"/>
  <c r="R35" i="61"/>
  <c r="R34" i="61"/>
  <c r="R33" i="61"/>
  <c r="R32" i="61"/>
  <c r="R31" i="61"/>
  <c r="R30" i="61"/>
  <c r="R29" i="61"/>
  <c r="R28" i="61"/>
  <c r="S28" i="61" s="1"/>
  <c r="R27" i="61"/>
  <c r="R26" i="61"/>
  <c r="S26" i="61" s="1"/>
  <c r="R25" i="61"/>
  <c r="R24" i="61"/>
  <c r="R23" i="61"/>
  <c r="R22" i="61"/>
  <c r="R21" i="61"/>
  <c r="R20" i="61"/>
  <c r="R19" i="61"/>
  <c r="R18" i="61"/>
  <c r="R17" i="61"/>
  <c r="R16" i="61"/>
  <c r="R15" i="61"/>
  <c r="R14" i="61"/>
  <c r="R13" i="61"/>
  <c r="S13" i="61" s="1"/>
  <c r="R12" i="61"/>
  <c r="S12" i="61" s="1"/>
  <c r="B11" i="61"/>
  <c r="R10" i="61"/>
  <c r="S10" i="61" s="1"/>
  <c r="R9" i="61"/>
  <c r="O46" i="62" l="1"/>
  <c r="O44" i="62"/>
  <c r="R44" i="62"/>
  <c r="S44" i="62"/>
  <c r="R44" i="61"/>
  <c r="S44" i="61" s="1"/>
  <c r="B42" i="62"/>
  <c r="L57" i="61"/>
  <c r="S27" i="61"/>
  <c r="S16" i="61"/>
  <c r="S22" i="61"/>
  <c r="S33" i="61"/>
  <c r="S39" i="61"/>
  <c r="O48" i="61"/>
  <c r="S15" i="61"/>
  <c r="S21" i="61"/>
  <c r="S24" i="61"/>
  <c r="S29" i="61"/>
  <c r="S35" i="61"/>
  <c r="S19" i="61"/>
  <c r="S25" i="61"/>
  <c r="S30" i="61"/>
  <c r="R46" i="61"/>
  <c r="S46" i="61" s="1"/>
  <c r="S9" i="61"/>
  <c r="S17" i="61"/>
  <c r="S34" i="61"/>
  <c r="S38" i="61"/>
  <c r="S10" i="62"/>
  <c r="S14" i="62"/>
  <c r="S17" i="62"/>
  <c r="S20" i="62"/>
  <c r="S23" i="62"/>
  <c r="S26" i="62"/>
  <c r="S29" i="62"/>
  <c r="S32" i="62"/>
  <c r="S35" i="62"/>
  <c r="S38" i="62"/>
  <c r="R11" i="62"/>
  <c r="S11" i="62" s="1"/>
  <c r="S15" i="62"/>
  <c r="S18" i="62"/>
  <c r="S21" i="62"/>
  <c r="S27" i="62"/>
  <c r="S30" i="62"/>
  <c r="S33" i="62"/>
  <c r="S36" i="62"/>
  <c r="S39" i="62"/>
  <c r="S16" i="62"/>
  <c r="S19" i="62"/>
  <c r="S22" i="62"/>
  <c r="S25" i="62"/>
  <c r="S28" i="62"/>
  <c r="S31" i="62"/>
  <c r="S34" i="62"/>
  <c r="S37" i="62"/>
  <c r="O40" i="62"/>
  <c r="S24" i="62"/>
  <c r="S20" i="61"/>
  <c r="S36" i="61"/>
  <c r="S14" i="61"/>
  <c r="B42" i="61"/>
  <c r="O42" i="61" s="1"/>
  <c r="S23" i="61"/>
  <c r="S18" i="61"/>
  <c r="S37" i="61"/>
  <c r="S31" i="61"/>
  <c r="S32" i="61"/>
  <c r="O40" i="61"/>
  <c r="R46" i="62"/>
  <c r="R40" i="62"/>
  <c r="B50" i="62"/>
  <c r="O50" i="62" s="1"/>
  <c r="M57" i="61"/>
  <c r="R11" i="61"/>
  <c r="S11" i="61" s="1"/>
  <c r="N57" i="61"/>
  <c r="R40" i="61"/>
  <c r="B50" i="61"/>
  <c r="O48" i="62" l="1"/>
  <c r="O57" i="62" s="1"/>
  <c r="O42" i="62"/>
  <c r="O50" i="61"/>
  <c r="O57" i="61" s="1"/>
  <c r="N59" i="61"/>
  <c r="R48" i="62"/>
  <c r="M59" i="61"/>
  <c r="R48" i="61"/>
  <c r="S48" i="61" s="1"/>
  <c r="K57" i="61"/>
  <c r="B52" i="62"/>
  <c r="L59" i="61"/>
  <c r="R50" i="62"/>
  <c r="S40" i="62"/>
  <c r="B52" i="61"/>
  <c r="O52" i="61" s="1"/>
  <c r="S40" i="61"/>
  <c r="S46" i="62"/>
  <c r="R42" i="62"/>
  <c r="B57" i="62"/>
  <c r="R50" i="61"/>
  <c r="B57" i="61"/>
  <c r="R42" i="61"/>
  <c r="O52" i="62" l="1"/>
  <c r="O59" i="62" s="1"/>
  <c r="S48" i="62"/>
  <c r="B59" i="61"/>
  <c r="S50" i="62"/>
  <c r="K59" i="61"/>
  <c r="O59" i="61"/>
  <c r="B59" i="62"/>
  <c r="S42" i="62"/>
  <c r="R52" i="62"/>
  <c r="S50" i="61"/>
  <c r="S42" i="61"/>
  <c r="R52" i="61"/>
  <c r="S52" i="62" l="1"/>
  <c r="S52" i="61"/>
  <c r="J12" i="47" l="1"/>
  <c r="U10" i="47"/>
  <c r="U14" i="44"/>
  <c r="R51" i="60" l="1"/>
  <c r="S51" i="60" s="1"/>
  <c r="R49" i="60"/>
  <c r="S49" i="60" s="1"/>
  <c r="R47" i="60"/>
  <c r="S47" i="60" s="1"/>
  <c r="N46" i="60"/>
  <c r="G46" i="60"/>
  <c r="F46" i="60"/>
  <c r="E46" i="60"/>
  <c r="D46" i="60"/>
  <c r="B46" i="60"/>
  <c r="R45" i="60"/>
  <c r="S45" i="60" s="1"/>
  <c r="N44" i="60"/>
  <c r="G44" i="60"/>
  <c r="F44" i="60"/>
  <c r="E44" i="60"/>
  <c r="D44" i="60"/>
  <c r="B44" i="60"/>
  <c r="R43" i="60"/>
  <c r="S43" i="60" s="1"/>
  <c r="R41" i="60"/>
  <c r="S41" i="60" s="1"/>
  <c r="N40" i="60"/>
  <c r="N50" i="60" s="1"/>
  <c r="G40" i="60"/>
  <c r="G50" i="60" s="1"/>
  <c r="F40" i="60"/>
  <c r="F48" i="60" s="1"/>
  <c r="E40" i="60"/>
  <c r="E50" i="60" s="1"/>
  <c r="D40" i="60"/>
  <c r="D48" i="60" s="1"/>
  <c r="B40" i="60"/>
  <c r="B48" i="60" s="1"/>
  <c r="R39" i="60"/>
  <c r="S39" i="60" s="1"/>
  <c r="R38" i="60"/>
  <c r="R37" i="60"/>
  <c r="R36" i="60"/>
  <c r="R35" i="60"/>
  <c r="R34" i="60"/>
  <c r="R33" i="60"/>
  <c r="R32" i="60"/>
  <c r="R31" i="60"/>
  <c r="R30" i="60"/>
  <c r="R29" i="60"/>
  <c r="R28" i="60"/>
  <c r="R27" i="60"/>
  <c r="S27" i="60" s="1"/>
  <c r="R26" i="60"/>
  <c r="R25" i="60"/>
  <c r="R24" i="60"/>
  <c r="R23" i="60"/>
  <c r="R22" i="60"/>
  <c r="R21" i="60"/>
  <c r="S21" i="60" s="1"/>
  <c r="R20" i="60"/>
  <c r="R19" i="60"/>
  <c r="R18" i="60"/>
  <c r="R17" i="60"/>
  <c r="R16" i="60"/>
  <c r="R15" i="60"/>
  <c r="R14" i="60"/>
  <c r="R13" i="60"/>
  <c r="S13" i="60" s="1"/>
  <c r="R12" i="60"/>
  <c r="S12" i="60" s="1"/>
  <c r="N11" i="60"/>
  <c r="G11" i="60"/>
  <c r="F11" i="60"/>
  <c r="E11" i="60"/>
  <c r="D11" i="60"/>
  <c r="B11" i="60"/>
  <c r="R10" i="60"/>
  <c r="R9" i="60"/>
  <c r="O44" i="60" l="1"/>
  <c r="O46" i="60"/>
  <c r="S30" i="60"/>
  <c r="S18" i="60"/>
  <c r="S24" i="60"/>
  <c r="S36" i="60"/>
  <c r="F42" i="60"/>
  <c r="E42" i="60"/>
  <c r="D42" i="60"/>
  <c r="S33" i="60"/>
  <c r="S15" i="60"/>
  <c r="R44" i="60"/>
  <c r="S44" i="60" s="1"/>
  <c r="G48" i="60"/>
  <c r="G57" i="60" s="1"/>
  <c r="S10" i="60"/>
  <c r="N48" i="60"/>
  <c r="N57" i="60" s="1"/>
  <c r="S16" i="60"/>
  <c r="S19" i="60"/>
  <c r="S22" i="60"/>
  <c r="S25" i="60"/>
  <c r="S28" i="60"/>
  <c r="S31" i="60"/>
  <c r="S34" i="60"/>
  <c r="S37" i="60"/>
  <c r="G42" i="60"/>
  <c r="S9" i="60"/>
  <c r="S14" i="60"/>
  <c r="S17" i="60"/>
  <c r="S20" i="60"/>
  <c r="S23" i="60"/>
  <c r="S26" i="60"/>
  <c r="S29" i="60"/>
  <c r="S32" i="60"/>
  <c r="S35" i="60"/>
  <c r="S38" i="60"/>
  <c r="E48" i="60"/>
  <c r="F50" i="60"/>
  <c r="N42" i="60"/>
  <c r="R46" i="60"/>
  <c r="R11" i="60"/>
  <c r="B42" i="60"/>
  <c r="B50" i="60"/>
  <c r="D50" i="60"/>
  <c r="R40" i="60"/>
  <c r="J47" i="48"/>
  <c r="J45" i="48"/>
  <c r="O48" i="60" l="1"/>
  <c r="P48" i="60" s="1"/>
  <c r="D57" i="60"/>
  <c r="O50" i="60"/>
  <c r="P50" i="60" s="1"/>
  <c r="O42" i="60"/>
  <c r="P42" i="60" s="1"/>
  <c r="S46" i="60"/>
  <c r="S11" i="60"/>
  <c r="P18" i="60"/>
  <c r="P24" i="60"/>
  <c r="P30" i="60"/>
  <c r="P36" i="60"/>
  <c r="P19" i="60"/>
  <c r="P25" i="60"/>
  <c r="P31" i="60"/>
  <c r="P37" i="60"/>
  <c r="P20" i="60"/>
  <c r="P26" i="60"/>
  <c r="P32" i="60"/>
  <c r="P38" i="60"/>
  <c r="P15" i="60"/>
  <c r="P27" i="60"/>
  <c r="P33" i="60"/>
  <c r="P39" i="60"/>
  <c r="P16" i="60"/>
  <c r="P22" i="60"/>
  <c r="P28" i="60"/>
  <c r="P34" i="60"/>
  <c r="P40" i="60"/>
  <c r="P17" i="60"/>
  <c r="P23" i="60"/>
  <c r="P29" i="60"/>
  <c r="P35" i="60"/>
  <c r="P46" i="60"/>
  <c r="P44" i="60"/>
  <c r="F52" i="60"/>
  <c r="E52" i="60"/>
  <c r="N52" i="60"/>
  <c r="N59" i="60" s="1"/>
  <c r="D52" i="60"/>
  <c r="S40" i="60"/>
  <c r="B57" i="60"/>
  <c r="R48" i="60"/>
  <c r="E57" i="60"/>
  <c r="F57" i="60"/>
  <c r="B52" i="60"/>
  <c r="G52" i="60"/>
  <c r="G59" i="60" s="1"/>
  <c r="R42" i="60"/>
  <c r="R50" i="60"/>
  <c r="L43" i="6"/>
  <c r="D59" i="60" l="1"/>
  <c r="O52" i="60"/>
  <c r="P52" i="60" s="1"/>
  <c r="S48" i="60"/>
  <c r="F59" i="60"/>
  <c r="E59" i="60"/>
  <c r="R52" i="60"/>
  <c r="S42" i="60"/>
  <c r="B59" i="60"/>
  <c r="S50" i="60"/>
  <c r="O57" i="60"/>
  <c r="K43" i="6"/>
  <c r="S52" i="60" l="1"/>
  <c r="O59" i="60"/>
  <c r="U32" i="50"/>
  <c r="U33" i="50"/>
  <c r="T33" i="50" l="1"/>
  <c r="T32" i="50"/>
  <c r="B44" i="46" l="1"/>
  <c r="E40" i="59"/>
  <c r="D40" i="59"/>
  <c r="C40" i="59"/>
  <c r="B40" i="59"/>
  <c r="O9" i="46" l="1"/>
  <c r="V9" i="26"/>
  <c r="M15" i="59" l="1"/>
  <c r="M16" i="59"/>
  <c r="M17" i="59"/>
  <c r="M18" i="59"/>
  <c r="M19" i="59"/>
  <c r="M20" i="59"/>
  <c r="M21" i="59"/>
  <c r="M22" i="59"/>
  <c r="M23" i="59"/>
  <c r="M24" i="59"/>
  <c r="M25" i="59"/>
  <c r="M26" i="59"/>
  <c r="M27" i="59"/>
  <c r="M28" i="59"/>
  <c r="M29" i="59"/>
  <c r="M30" i="59"/>
  <c r="M31" i="59"/>
  <c r="M32" i="59"/>
  <c r="M33" i="59"/>
  <c r="M34" i="59"/>
  <c r="M35" i="59"/>
  <c r="M36" i="59"/>
  <c r="M37" i="59"/>
  <c r="M38" i="59"/>
  <c r="M39" i="59"/>
  <c r="M14" i="59"/>
  <c r="M10" i="59"/>
  <c r="M9" i="59"/>
  <c r="J12" i="48"/>
  <c r="K12" i="48"/>
  <c r="L12" i="48"/>
  <c r="M12" i="48"/>
  <c r="N12" i="48"/>
  <c r="O12" i="48"/>
  <c r="O15" i="42"/>
  <c r="O16" i="42"/>
  <c r="O17" i="42"/>
  <c r="O18" i="42"/>
  <c r="O19" i="42"/>
  <c r="O20" i="42"/>
  <c r="O21" i="42"/>
  <c r="O22" i="42"/>
  <c r="O23" i="42"/>
  <c r="O24" i="42"/>
  <c r="O25" i="42"/>
  <c r="O26" i="42"/>
  <c r="O27" i="42"/>
  <c r="O28" i="42"/>
  <c r="O29" i="42"/>
  <c r="O30" i="42"/>
  <c r="O31" i="42"/>
  <c r="O32" i="42"/>
  <c r="O33" i="42"/>
  <c r="O34" i="42"/>
  <c r="O35" i="42"/>
  <c r="O36" i="42"/>
  <c r="O37" i="42"/>
  <c r="O38" i="42"/>
  <c r="O39" i="42"/>
  <c r="O14" i="42"/>
  <c r="O10" i="42"/>
  <c r="O9" i="42"/>
  <c r="O15" i="41"/>
  <c r="O16" i="41"/>
  <c r="O17" i="41"/>
  <c r="O18" i="41"/>
  <c r="O19" i="41"/>
  <c r="O20" i="41"/>
  <c r="O21" i="41"/>
  <c r="O22" i="41"/>
  <c r="O23" i="41"/>
  <c r="O24" i="41"/>
  <c r="O25" i="41"/>
  <c r="O26" i="41"/>
  <c r="O27" i="41"/>
  <c r="O28" i="41"/>
  <c r="O29" i="41"/>
  <c r="O30" i="41"/>
  <c r="O31" i="41"/>
  <c r="O32" i="41"/>
  <c r="O33" i="41"/>
  <c r="O34" i="41"/>
  <c r="O35" i="41"/>
  <c r="O36" i="41"/>
  <c r="O37" i="41"/>
  <c r="O38" i="41"/>
  <c r="O39" i="41"/>
  <c r="O14" i="41"/>
  <c r="O10" i="41"/>
  <c r="O9" i="41"/>
  <c r="M40" i="59" l="1"/>
  <c r="U11" i="52"/>
  <c r="U10" i="52" l="1"/>
  <c r="S31" i="52" l="1"/>
  <c r="P51" i="59"/>
  <c r="Q51" i="59" s="1"/>
  <c r="P49" i="59"/>
  <c r="Q49" i="59" s="1"/>
  <c r="P47" i="59"/>
  <c r="Q47" i="59" s="1"/>
  <c r="P45" i="59"/>
  <c r="Q45" i="59" s="1"/>
  <c r="P43" i="59"/>
  <c r="Q43" i="59" s="1"/>
  <c r="P41" i="59"/>
  <c r="Q41" i="59" s="1"/>
  <c r="P39" i="59"/>
  <c r="P38" i="59"/>
  <c r="P37" i="59"/>
  <c r="P36" i="59"/>
  <c r="P35" i="59"/>
  <c r="P34" i="59"/>
  <c r="P33" i="59"/>
  <c r="P32" i="59"/>
  <c r="P31" i="59"/>
  <c r="P30" i="59"/>
  <c r="P29" i="59"/>
  <c r="P28" i="59"/>
  <c r="P27" i="59"/>
  <c r="P26" i="59"/>
  <c r="P25" i="59"/>
  <c r="P24" i="59"/>
  <c r="P23" i="59"/>
  <c r="P22" i="59"/>
  <c r="P21" i="59"/>
  <c r="P20" i="59"/>
  <c r="P19" i="59"/>
  <c r="P18" i="59"/>
  <c r="P17" i="59"/>
  <c r="P16" i="59"/>
  <c r="P15" i="59"/>
  <c r="P14" i="59"/>
  <c r="P13" i="59"/>
  <c r="Q13" i="59" s="1"/>
  <c r="P12" i="59"/>
  <c r="Q12" i="59" s="1"/>
  <c r="P10" i="59"/>
  <c r="P9" i="59"/>
  <c r="R51" i="58"/>
  <c r="S51" i="58" s="1"/>
  <c r="R49" i="58"/>
  <c r="S49" i="58" s="1"/>
  <c r="R47" i="58"/>
  <c r="S47" i="58" s="1"/>
  <c r="R45" i="58"/>
  <c r="S45" i="58" s="1"/>
  <c r="R43" i="58"/>
  <c r="S43" i="58" s="1"/>
  <c r="R41" i="58"/>
  <c r="S41" i="58" s="1"/>
  <c r="R39" i="58"/>
  <c r="R38" i="58"/>
  <c r="R37" i="58"/>
  <c r="R36" i="58"/>
  <c r="R35" i="58"/>
  <c r="R34" i="58"/>
  <c r="R33" i="58"/>
  <c r="R32" i="58"/>
  <c r="R31" i="58"/>
  <c r="R30" i="58"/>
  <c r="R29" i="58"/>
  <c r="R28" i="58"/>
  <c r="R27" i="58"/>
  <c r="R26" i="58"/>
  <c r="R25" i="58"/>
  <c r="R24" i="58"/>
  <c r="R23" i="58"/>
  <c r="R22" i="58"/>
  <c r="R21" i="58"/>
  <c r="R20" i="58"/>
  <c r="R19" i="58"/>
  <c r="R18" i="58"/>
  <c r="R17" i="58"/>
  <c r="R16" i="58"/>
  <c r="R15" i="58"/>
  <c r="R14" i="58"/>
  <c r="R13" i="58"/>
  <c r="S13" i="58" s="1"/>
  <c r="R12" i="58"/>
  <c r="S12" i="58" s="1"/>
  <c r="R10" i="58"/>
  <c r="R9" i="58"/>
  <c r="R51" i="56"/>
  <c r="S51" i="56" s="1"/>
  <c r="R49" i="56"/>
  <c r="S49" i="56" s="1"/>
  <c r="R47" i="56"/>
  <c r="S47" i="56" s="1"/>
  <c r="R45" i="56"/>
  <c r="S45" i="56" s="1"/>
  <c r="R43" i="56"/>
  <c r="S43" i="56" s="1"/>
  <c r="R41" i="56"/>
  <c r="S41" i="56" s="1"/>
  <c r="R39" i="56"/>
  <c r="R38" i="56"/>
  <c r="R37" i="56"/>
  <c r="R36" i="56"/>
  <c r="R35" i="56"/>
  <c r="R34" i="56"/>
  <c r="R33" i="56"/>
  <c r="R32" i="56"/>
  <c r="R31" i="56"/>
  <c r="R30" i="56"/>
  <c r="R29" i="56"/>
  <c r="R28" i="56"/>
  <c r="R27" i="56"/>
  <c r="R26" i="56"/>
  <c r="R25" i="56"/>
  <c r="R24" i="56"/>
  <c r="R23" i="56"/>
  <c r="R22" i="56"/>
  <c r="R21" i="56"/>
  <c r="R20" i="56"/>
  <c r="R19" i="56"/>
  <c r="R18" i="56"/>
  <c r="R17" i="56"/>
  <c r="R16" i="56"/>
  <c r="R15" i="56"/>
  <c r="R14" i="56"/>
  <c r="R13" i="56"/>
  <c r="S13" i="56" s="1"/>
  <c r="R12" i="56"/>
  <c r="S12" i="56" s="1"/>
  <c r="R10" i="56"/>
  <c r="R9" i="56"/>
  <c r="S51" i="55"/>
  <c r="T51" i="55" s="1"/>
  <c r="S49" i="55"/>
  <c r="T49" i="55" s="1"/>
  <c r="S47" i="55"/>
  <c r="T47" i="55" s="1"/>
  <c r="S45" i="55"/>
  <c r="T45" i="55" s="1"/>
  <c r="S43" i="55"/>
  <c r="T43" i="55" s="1"/>
  <c r="S41" i="55"/>
  <c r="T41" i="55" s="1"/>
  <c r="S39" i="55"/>
  <c r="S38" i="55"/>
  <c r="S37" i="55"/>
  <c r="S36" i="55"/>
  <c r="S35" i="55"/>
  <c r="S34" i="55"/>
  <c r="S33" i="55"/>
  <c r="S32" i="55"/>
  <c r="S31" i="55"/>
  <c r="S30" i="55"/>
  <c r="S29" i="55"/>
  <c r="S28" i="55"/>
  <c r="S27" i="55"/>
  <c r="S26" i="55"/>
  <c r="S25" i="55"/>
  <c r="S24" i="55"/>
  <c r="S23" i="55"/>
  <c r="S22" i="55"/>
  <c r="S21" i="55"/>
  <c r="S20" i="55"/>
  <c r="S19" i="55"/>
  <c r="S18" i="55"/>
  <c r="S17" i="55"/>
  <c r="S16" i="55"/>
  <c r="S15" i="55"/>
  <c r="S14" i="55"/>
  <c r="S13" i="55"/>
  <c r="T13" i="55" s="1"/>
  <c r="S12" i="55"/>
  <c r="T12" i="55" s="1"/>
  <c r="S10" i="55"/>
  <c r="S9" i="55"/>
  <c r="R51" i="57"/>
  <c r="S51" i="57" s="1"/>
  <c r="R49" i="57"/>
  <c r="S49" i="57" s="1"/>
  <c r="R47" i="57"/>
  <c r="S47" i="57" s="1"/>
  <c r="R45" i="57"/>
  <c r="S45" i="57" s="1"/>
  <c r="R43" i="57"/>
  <c r="S43" i="57" s="1"/>
  <c r="R41" i="57"/>
  <c r="S41" i="57" s="1"/>
  <c r="R39" i="57"/>
  <c r="R38" i="57"/>
  <c r="R37" i="57"/>
  <c r="R36" i="57"/>
  <c r="R35" i="57"/>
  <c r="R34" i="57"/>
  <c r="R33" i="57"/>
  <c r="R32" i="57"/>
  <c r="R31" i="57"/>
  <c r="R30" i="57"/>
  <c r="R29" i="57"/>
  <c r="R28" i="57"/>
  <c r="R27" i="57"/>
  <c r="R26" i="57"/>
  <c r="R25" i="57"/>
  <c r="R24" i="57"/>
  <c r="R23" i="57"/>
  <c r="R22" i="57"/>
  <c r="R21" i="57"/>
  <c r="R20" i="57"/>
  <c r="R19" i="57"/>
  <c r="R18" i="57"/>
  <c r="R17" i="57"/>
  <c r="R16" i="57"/>
  <c r="R15" i="57"/>
  <c r="R14" i="57"/>
  <c r="R13" i="57"/>
  <c r="S13" i="57" s="1"/>
  <c r="R12" i="57"/>
  <c r="S12" i="57" s="1"/>
  <c r="R10" i="57"/>
  <c r="R9" i="57"/>
  <c r="S10" i="52"/>
  <c r="S12" i="52"/>
  <c r="S13" i="52"/>
  <c r="S14" i="52"/>
  <c r="S15" i="52"/>
  <c r="S16" i="52"/>
  <c r="S17" i="52"/>
  <c r="S18" i="52"/>
  <c r="S19" i="52"/>
  <c r="S20" i="52"/>
  <c r="S21" i="52"/>
  <c r="S22" i="52"/>
  <c r="S23" i="52"/>
  <c r="S24" i="52"/>
  <c r="S25" i="52"/>
  <c r="S26" i="52"/>
  <c r="S27" i="52"/>
  <c r="S28" i="52"/>
  <c r="S29" i="52"/>
  <c r="S30" i="52"/>
  <c r="S32" i="52"/>
  <c r="S33" i="52"/>
  <c r="S34" i="52"/>
  <c r="S35" i="52"/>
  <c r="S36" i="52"/>
  <c r="S37" i="52"/>
  <c r="S38" i="52"/>
  <c r="S39" i="52"/>
  <c r="S41" i="52"/>
  <c r="S43" i="52"/>
  <c r="S45" i="52"/>
  <c r="S47" i="52"/>
  <c r="S49" i="52"/>
  <c r="S51" i="52"/>
  <c r="S9" i="52"/>
  <c r="R10" i="51"/>
  <c r="R12" i="51"/>
  <c r="R13" i="51"/>
  <c r="R14" i="51"/>
  <c r="R15" i="51"/>
  <c r="R16" i="51"/>
  <c r="R17" i="51"/>
  <c r="R18" i="51"/>
  <c r="R19" i="51"/>
  <c r="R20" i="51"/>
  <c r="R21" i="51"/>
  <c r="R22" i="51"/>
  <c r="R23" i="51"/>
  <c r="R24" i="51"/>
  <c r="R25" i="51"/>
  <c r="R26" i="51"/>
  <c r="R27" i="51"/>
  <c r="R28" i="51"/>
  <c r="R29" i="51"/>
  <c r="R30" i="51"/>
  <c r="R31" i="51"/>
  <c r="R32" i="51"/>
  <c r="R33" i="51"/>
  <c r="R34" i="51"/>
  <c r="R35" i="51"/>
  <c r="R36" i="51"/>
  <c r="R37" i="51"/>
  <c r="R38" i="51"/>
  <c r="R39" i="51"/>
  <c r="R41" i="51"/>
  <c r="R43" i="51"/>
  <c r="R45" i="51"/>
  <c r="R47" i="51"/>
  <c r="R49" i="51"/>
  <c r="R51" i="51"/>
  <c r="R9" i="51"/>
  <c r="S11" i="47"/>
  <c r="S13" i="47"/>
  <c r="S14" i="47"/>
  <c r="S15" i="47"/>
  <c r="S16" i="47"/>
  <c r="S17" i="47"/>
  <c r="S18" i="47"/>
  <c r="S19" i="47"/>
  <c r="S20" i="47"/>
  <c r="S21" i="47"/>
  <c r="S22" i="47"/>
  <c r="S23" i="47"/>
  <c r="S24" i="47"/>
  <c r="S25" i="47"/>
  <c r="S26" i="47"/>
  <c r="S27" i="47"/>
  <c r="S28" i="47"/>
  <c r="S29" i="47"/>
  <c r="S30" i="47"/>
  <c r="S31" i="47"/>
  <c r="S32" i="47"/>
  <c r="S33" i="47"/>
  <c r="S34" i="47"/>
  <c r="S35" i="47"/>
  <c r="S36" i="47"/>
  <c r="S37" i="47"/>
  <c r="S38" i="47"/>
  <c r="S39" i="47"/>
  <c r="S40" i="47"/>
  <c r="S42" i="47"/>
  <c r="S44" i="47"/>
  <c r="S46" i="47"/>
  <c r="S48" i="47"/>
  <c r="S50" i="47"/>
  <c r="S52" i="47"/>
  <c r="S10" i="47"/>
  <c r="R10" i="46"/>
  <c r="R12" i="46"/>
  <c r="R13" i="46"/>
  <c r="R14" i="46"/>
  <c r="R15" i="46"/>
  <c r="R16" i="46"/>
  <c r="R17" i="46"/>
  <c r="R18" i="46"/>
  <c r="R19" i="46"/>
  <c r="R20" i="46"/>
  <c r="R21" i="46"/>
  <c r="R22" i="46"/>
  <c r="R23" i="46"/>
  <c r="R24" i="46"/>
  <c r="R25" i="46"/>
  <c r="R26" i="46"/>
  <c r="R27" i="46"/>
  <c r="R28" i="46"/>
  <c r="R29" i="46"/>
  <c r="R30" i="46"/>
  <c r="R31" i="46"/>
  <c r="R32" i="46"/>
  <c r="R33" i="46"/>
  <c r="R34" i="46"/>
  <c r="R35" i="46"/>
  <c r="R36" i="46"/>
  <c r="R37" i="46"/>
  <c r="R38" i="46"/>
  <c r="R39" i="46"/>
  <c r="R41" i="46"/>
  <c r="R43" i="46"/>
  <c r="R45" i="46"/>
  <c r="R47" i="46"/>
  <c r="R49" i="46"/>
  <c r="R51" i="46"/>
  <c r="R9" i="46"/>
  <c r="S11" i="48"/>
  <c r="S13" i="48"/>
  <c r="S14" i="48"/>
  <c r="S15" i="48"/>
  <c r="S16" i="48"/>
  <c r="S17" i="48"/>
  <c r="S18" i="48"/>
  <c r="S19" i="48"/>
  <c r="S20" i="48"/>
  <c r="S21" i="48"/>
  <c r="S22" i="48"/>
  <c r="S23" i="48"/>
  <c r="S24" i="48"/>
  <c r="S25" i="48"/>
  <c r="S26" i="48"/>
  <c r="S27" i="48"/>
  <c r="S28" i="48"/>
  <c r="S29" i="48"/>
  <c r="S30" i="48"/>
  <c r="S31" i="48"/>
  <c r="S32" i="48"/>
  <c r="S33" i="48"/>
  <c r="S34" i="48"/>
  <c r="S35" i="48"/>
  <c r="S36" i="48"/>
  <c r="S37" i="48"/>
  <c r="S38" i="48"/>
  <c r="S39" i="48"/>
  <c r="S40" i="48"/>
  <c r="S42" i="48"/>
  <c r="S44" i="48"/>
  <c r="S46" i="48"/>
  <c r="S48" i="48"/>
  <c r="S50" i="48"/>
  <c r="S52" i="48"/>
  <c r="S10" i="48"/>
  <c r="S10" i="44"/>
  <c r="S12" i="44"/>
  <c r="S13" i="44"/>
  <c r="S14" i="44"/>
  <c r="S15" i="44"/>
  <c r="S16" i="44"/>
  <c r="S17" i="44"/>
  <c r="S18" i="44"/>
  <c r="S19" i="44"/>
  <c r="S20" i="44"/>
  <c r="S21" i="44"/>
  <c r="S22" i="44"/>
  <c r="S23" i="44"/>
  <c r="S24" i="44"/>
  <c r="S25" i="44"/>
  <c r="S26" i="44"/>
  <c r="S27" i="44"/>
  <c r="S28" i="44"/>
  <c r="S29" i="44"/>
  <c r="S30" i="44"/>
  <c r="S31" i="44"/>
  <c r="S32" i="44"/>
  <c r="S33" i="44"/>
  <c r="S34" i="44"/>
  <c r="S35" i="44"/>
  <c r="S36" i="44"/>
  <c r="S37" i="44"/>
  <c r="S38" i="44"/>
  <c r="S39" i="44"/>
  <c r="S41" i="44"/>
  <c r="S43" i="44"/>
  <c r="S45" i="44"/>
  <c r="S47" i="44"/>
  <c r="S49" i="44"/>
  <c r="S51" i="44"/>
  <c r="S9" i="44"/>
  <c r="S15" i="43"/>
  <c r="S16" i="43"/>
  <c r="S17" i="43"/>
  <c r="S18" i="43"/>
  <c r="S19" i="43"/>
  <c r="S20" i="43"/>
  <c r="S21" i="43"/>
  <c r="S22" i="43"/>
  <c r="S23" i="43"/>
  <c r="S24" i="43"/>
  <c r="S25" i="43"/>
  <c r="S26" i="43"/>
  <c r="S27" i="43"/>
  <c r="S28" i="43"/>
  <c r="S29" i="43"/>
  <c r="S30" i="43"/>
  <c r="S31" i="43"/>
  <c r="S32" i="43"/>
  <c r="S33" i="43"/>
  <c r="S34" i="43"/>
  <c r="S35" i="43"/>
  <c r="S36" i="43"/>
  <c r="S37" i="43"/>
  <c r="S38" i="43"/>
  <c r="S39" i="43"/>
  <c r="S41" i="43"/>
  <c r="S43" i="43"/>
  <c r="S45" i="43"/>
  <c r="S47" i="43"/>
  <c r="S49" i="43"/>
  <c r="S51" i="43"/>
  <c r="S14" i="43"/>
  <c r="S10" i="43"/>
  <c r="S9" i="43"/>
  <c r="T19" i="22"/>
  <c r="T20" i="22"/>
  <c r="T21" i="22"/>
  <c r="T22" i="22"/>
  <c r="T23" i="22"/>
  <c r="T25" i="22"/>
  <c r="T30" i="22"/>
  <c r="T33" i="22"/>
  <c r="T34" i="22"/>
  <c r="T37" i="22"/>
  <c r="T38" i="22"/>
  <c r="T39" i="22"/>
  <c r="T43" i="22"/>
  <c r="T45" i="22"/>
  <c r="T47" i="22"/>
  <c r="T49" i="22"/>
  <c r="T51" i="22"/>
  <c r="T53" i="22"/>
  <c r="T16" i="22"/>
  <c r="V16" i="22" s="1"/>
  <c r="H49" i="8" l="1"/>
  <c r="B40" i="53" l="1"/>
  <c r="B40" i="52"/>
  <c r="C40" i="51"/>
  <c r="B40" i="51"/>
  <c r="B40" i="50"/>
  <c r="B41" i="47"/>
  <c r="B40" i="46"/>
  <c r="B41" i="48"/>
  <c r="B40" i="44"/>
  <c r="B43" i="8"/>
  <c r="B40" i="37"/>
  <c r="B43" i="14"/>
  <c r="B40" i="26"/>
  <c r="B44" i="43"/>
  <c r="B40" i="43"/>
  <c r="C44" i="38"/>
  <c r="B40" i="38"/>
  <c r="B40" i="33"/>
  <c r="B40" i="28"/>
  <c r="L46" i="59"/>
  <c r="K46" i="59"/>
  <c r="J46" i="59"/>
  <c r="I46" i="59"/>
  <c r="H46" i="59"/>
  <c r="G46" i="59"/>
  <c r="F46" i="59"/>
  <c r="E46" i="59"/>
  <c r="D46" i="59"/>
  <c r="C46" i="59"/>
  <c r="B46" i="59"/>
  <c r="L44" i="59"/>
  <c r="K44" i="59"/>
  <c r="J44" i="59"/>
  <c r="I44" i="59"/>
  <c r="H44" i="59"/>
  <c r="G44" i="59"/>
  <c r="F44" i="59"/>
  <c r="E44" i="59"/>
  <c r="D44" i="59"/>
  <c r="C44" i="59"/>
  <c r="L40" i="59"/>
  <c r="L50" i="59" s="1"/>
  <c r="K40" i="59"/>
  <c r="K48" i="59" s="1"/>
  <c r="J40" i="59"/>
  <c r="J50" i="59" s="1"/>
  <c r="I40" i="59"/>
  <c r="I50" i="59" s="1"/>
  <c r="H40" i="59"/>
  <c r="H50" i="59" s="1"/>
  <c r="G40" i="59"/>
  <c r="G50" i="59" s="1"/>
  <c r="F40" i="59"/>
  <c r="E50" i="59"/>
  <c r="D50" i="59"/>
  <c r="C50" i="59"/>
  <c r="Q39" i="59"/>
  <c r="Q38" i="59"/>
  <c r="Q37" i="59"/>
  <c r="Q36" i="59"/>
  <c r="Q35" i="59"/>
  <c r="Q34" i="59"/>
  <c r="Q33" i="59"/>
  <c r="Q32" i="59"/>
  <c r="Q31" i="59"/>
  <c r="Q30" i="59"/>
  <c r="Q29" i="59"/>
  <c r="Q28" i="59"/>
  <c r="Q27" i="59"/>
  <c r="Q26" i="59"/>
  <c r="Q25" i="59"/>
  <c r="Q24" i="59"/>
  <c r="Q23" i="59"/>
  <c r="Q22" i="59"/>
  <c r="Q21" i="59"/>
  <c r="Q20" i="59"/>
  <c r="Q19" i="59"/>
  <c r="Q18" i="59"/>
  <c r="Q17" i="59"/>
  <c r="Q16" i="59"/>
  <c r="Q15" i="59"/>
  <c r="Q14" i="59"/>
  <c r="L11" i="59"/>
  <c r="K11" i="59"/>
  <c r="K42" i="59" s="1"/>
  <c r="J11" i="59"/>
  <c r="I11" i="59"/>
  <c r="I42" i="59" s="1"/>
  <c r="H11" i="59"/>
  <c r="G11" i="59"/>
  <c r="F11" i="59"/>
  <c r="E11" i="59"/>
  <c r="E42" i="59" s="1"/>
  <c r="D11" i="59"/>
  <c r="D42" i="59" s="1"/>
  <c r="C11" i="59"/>
  <c r="B11" i="59"/>
  <c r="Q9" i="59"/>
  <c r="N46" i="58"/>
  <c r="L46" i="58"/>
  <c r="K46" i="58"/>
  <c r="J46" i="58"/>
  <c r="I46" i="58"/>
  <c r="H46" i="58"/>
  <c r="G46" i="58"/>
  <c r="F46" i="58"/>
  <c r="E46" i="58"/>
  <c r="D46" i="58"/>
  <c r="B46" i="58"/>
  <c r="N44" i="58"/>
  <c r="L44" i="58"/>
  <c r="K44" i="58"/>
  <c r="J44" i="58"/>
  <c r="I44" i="58"/>
  <c r="H44" i="58"/>
  <c r="G44" i="58"/>
  <c r="F44" i="58"/>
  <c r="E44" i="58"/>
  <c r="D44" i="58"/>
  <c r="B44" i="58"/>
  <c r="N40" i="58"/>
  <c r="N50" i="58" s="1"/>
  <c r="L40" i="58"/>
  <c r="L50" i="58" s="1"/>
  <c r="K40" i="58"/>
  <c r="K48" i="58" s="1"/>
  <c r="J40" i="58"/>
  <c r="I40" i="58"/>
  <c r="I50" i="58" s="1"/>
  <c r="H40" i="58"/>
  <c r="H50" i="58" s="1"/>
  <c r="G40" i="58"/>
  <c r="G50" i="58" s="1"/>
  <c r="F40" i="58"/>
  <c r="F48" i="58" s="1"/>
  <c r="E40" i="58"/>
  <c r="E48" i="58" s="1"/>
  <c r="D40" i="58"/>
  <c r="B40" i="58"/>
  <c r="N11" i="58"/>
  <c r="L11" i="58"/>
  <c r="K11" i="58"/>
  <c r="J11" i="58"/>
  <c r="I11" i="58"/>
  <c r="H11" i="58"/>
  <c r="G11" i="58"/>
  <c r="F11" i="58"/>
  <c r="E11" i="58"/>
  <c r="D11" i="58"/>
  <c r="B11" i="58"/>
  <c r="S10" i="58"/>
  <c r="M46" i="57"/>
  <c r="L46" i="57"/>
  <c r="K46" i="57"/>
  <c r="J46" i="57"/>
  <c r="I46" i="57"/>
  <c r="H46" i="57"/>
  <c r="G46" i="57"/>
  <c r="F46" i="57"/>
  <c r="E46" i="57"/>
  <c r="D46" i="57"/>
  <c r="C46" i="57"/>
  <c r="M44" i="57"/>
  <c r="L44" i="57"/>
  <c r="K44" i="57"/>
  <c r="J44" i="57"/>
  <c r="I44" i="57"/>
  <c r="H44" i="57"/>
  <c r="G44" i="57"/>
  <c r="F44" i="57"/>
  <c r="E44" i="57"/>
  <c r="D44" i="57"/>
  <c r="C44" i="57"/>
  <c r="M40" i="57"/>
  <c r="L40" i="57"/>
  <c r="L50" i="57" s="1"/>
  <c r="K40" i="57"/>
  <c r="K50" i="57" s="1"/>
  <c r="J40" i="57"/>
  <c r="J50" i="57" s="1"/>
  <c r="I40" i="57"/>
  <c r="I50" i="57" s="1"/>
  <c r="H40" i="57"/>
  <c r="G40" i="57"/>
  <c r="F40" i="57"/>
  <c r="F48" i="57" s="1"/>
  <c r="E40" i="57"/>
  <c r="E50" i="57" s="1"/>
  <c r="D40" i="57"/>
  <c r="D50" i="57" s="1"/>
  <c r="C40" i="57"/>
  <c r="S39" i="57"/>
  <c r="S38" i="57"/>
  <c r="S37" i="57"/>
  <c r="S36" i="57"/>
  <c r="S35" i="57"/>
  <c r="S34" i="57"/>
  <c r="S33" i="57"/>
  <c r="S32" i="57"/>
  <c r="S31" i="57"/>
  <c r="S30" i="57"/>
  <c r="S29" i="57"/>
  <c r="S28" i="57"/>
  <c r="S27" i="57"/>
  <c r="S26" i="57"/>
  <c r="S25" i="57"/>
  <c r="S24" i="57"/>
  <c r="S23" i="57"/>
  <c r="S22" i="57"/>
  <c r="S21" i="57"/>
  <c r="S20" i="57"/>
  <c r="S19" i="57"/>
  <c r="S18" i="57"/>
  <c r="S17" i="57"/>
  <c r="S16" i="57"/>
  <c r="S15" i="57"/>
  <c r="S14" i="57"/>
  <c r="M11" i="57"/>
  <c r="L11" i="57"/>
  <c r="K11" i="57"/>
  <c r="J11" i="57"/>
  <c r="I11" i="57"/>
  <c r="H11" i="57"/>
  <c r="G11" i="57"/>
  <c r="F11" i="57"/>
  <c r="E11" i="57"/>
  <c r="D11" i="57"/>
  <c r="C11" i="57"/>
  <c r="S10" i="57"/>
  <c r="N11" i="43"/>
  <c r="O11" i="43"/>
  <c r="N40" i="43"/>
  <c r="O40" i="43"/>
  <c r="U14" i="43"/>
  <c r="O44" i="57" l="1"/>
  <c r="O46" i="58"/>
  <c r="O44" i="58"/>
  <c r="O46" i="57"/>
  <c r="R12" i="6"/>
  <c r="Y13" i="6" s="1"/>
  <c r="M42" i="57"/>
  <c r="N42" i="43"/>
  <c r="U10" i="43"/>
  <c r="O48" i="43"/>
  <c r="O50" i="43"/>
  <c r="N48" i="43"/>
  <c r="N50" i="43"/>
  <c r="O42" i="43"/>
  <c r="I42" i="58"/>
  <c r="K48" i="57"/>
  <c r="K57" i="57" s="1"/>
  <c r="M46" i="59"/>
  <c r="M44" i="59"/>
  <c r="I48" i="59"/>
  <c r="I57" i="59" s="1"/>
  <c r="F50" i="59"/>
  <c r="F42" i="59"/>
  <c r="K50" i="59"/>
  <c r="K52" i="59" s="1"/>
  <c r="G48" i="58"/>
  <c r="G57" i="58" s="1"/>
  <c r="L42" i="57"/>
  <c r="F50" i="58"/>
  <c r="F57" i="58" s="1"/>
  <c r="F50" i="57"/>
  <c r="F57" i="57" s="1"/>
  <c r="R11" i="57"/>
  <c r="B50" i="58"/>
  <c r="R40" i="58"/>
  <c r="P40" i="59"/>
  <c r="J48" i="57"/>
  <c r="J57" i="57" s="1"/>
  <c r="G50" i="57"/>
  <c r="S17" i="58"/>
  <c r="S23" i="58"/>
  <c r="S29" i="58"/>
  <c r="S35" i="58"/>
  <c r="R44" i="58"/>
  <c r="R46" i="58"/>
  <c r="M11" i="59"/>
  <c r="Q10" i="59"/>
  <c r="P44" i="59"/>
  <c r="P46" i="59"/>
  <c r="F48" i="59"/>
  <c r="S16" i="58"/>
  <c r="G42" i="57"/>
  <c r="S36" i="58"/>
  <c r="S19" i="58"/>
  <c r="S25" i="58"/>
  <c r="S31" i="58"/>
  <c r="S37" i="58"/>
  <c r="B48" i="43"/>
  <c r="S28" i="58"/>
  <c r="C48" i="57"/>
  <c r="R40" i="57"/>
  <c r="S18" i="58"/>
  <c r="S30" i="58"/>
  <c r="K50" i="58"/>
  <c r="K57" i="58" s="1"/>
  <c r="O11" i="57"/>
  <c r="S9" i="57"/>
  <c r="R44" i="57"/>
  <c r="R46" i="57"/>
  <c r="E48" i="57"/>
  <c r="L48" i="57"/>
  <c r="R11" i="58"/>
  <c r="S14" i="58"/>
  <c r="S20" i="58"/>
  <c r="S26" i="58"/>
  <c r="S32" i="58"/>
  <c r="S38" i="58"/>
  <c r="L48" i="58"/>
  <c r="L57" i="58" s="1"/>
  <c r="B50" i="59"/>
  <c r="B50" i="43"/>
  <c r="G48" i="57"/>
  <c r="S22" i="58"/>
  <c r="S34" i="58"/>
  <c r="P36" i="58"/>
  <c r="S9" i="58"/>
  <c r="S24" i="58"/>
  <c r="P11" i="59"/>
  <c r="S15" i="58"/>
  <c r="S21" i="58"/>
  <c r="S27" i="58"/>
  <c r="S33" i="58"/>
  <c r="S39" i="58"/>
  <c r="E50" i="58"/>
  <c r="C48" i="59"/>
  <c r="C57" i="59" s="1"/>
  <c r="C42" i="59"/>
  <c r="D48" i="57"/>
  <c r="D57" i="57" s="1"/>
  <c r="J42" i="59"/>
  <c r="G48" i="59"/>
  <c r="G57" i="59" s="1"/>
  <c r="L48" i="59"/>
  <c r="L57" i="59" s="1"/>
  <c r="B48" i="59"/>
  <c r="H48" i="59"/>
  <c r="H57" i="59" s="1"/>
  <c r="G42" i="59"/>
  <c r="L42" i="59"/>
  <c r="D48" i="59"/>
  <c r="D52" i="59" s="1"/>
  <c r="J48" i="59"/>
  <c r="J57" i="59" s="1"/>
  <c r="B42" i="59"/>
  <c r="H42" i="59"/>
  <c r="E48" i="59"/>
  <c r="E57" i="59" s="1"/>
  <c r="B42" i="58"/>
  <c r="D42" i="58"/>
  <c r="E42" i="58"/>
  <c r="K42" i="58"/>
  <c r="H48" i="58"/>
  <c r="H57" i="58" s="1"/>
  <c r="N48" i="58"/>
  <c r="N57" i="58" s="1"/>
  <c r="F42" i="58"/>
  <c r="B48" i="58"/>
  <c r="O48" i="58" s="1"/>
  <c r="I48" i="58"/>
  <c r="I57" i="58" s="1"/>
  <c r="G42" i="58"/>
  <c r="L42" i="58"/>
  <c r="D48" i="58"/>
  <c r="J48" i="58"/>
  <c r="H42" i="58"/>
  <c r="N42" i="58"/>
  <c r="D50" i="58"/>
  <c r="J50" i="58"/>
  <c r="J42" i="58"/>
  <c r="C50" i="57"/>
  <c r="C42" i="57"/>
  <c r="I42" i="57"/>
  <c r="D42" i="57"/>
  <c r="J42" i="57"/>
  <c r="E42" i="57"/>
  <c r="K42" i="57"/>
  <c r="K52" i="57" s="1"/>
  <c r="H48" i="57"/>
  <c r="M48" i="57"/>
  <c r="M52" i="57" s="1"/>
  <c r="F42" i="57"/>
  <c r="I48" i="57"/>
  <c r="I57" i="57" s="1"/>
  <c r="H50" i="57"/>
  <c r="M50" i="57"/>
  <c r="H42" i="57"/>
  <c r="B50" i="52"/>
  <c r="B48" i="52"/>
  <c r="D44" i="52"/>
  <c r="B44" i="52"/>
  <c r="D40" i="52"/>
  <c r="D50" i="52" s="1"/>
  <c r="B50" i="51"/>
  <c r="B48" i="51"/>
  <c r="B44" i="50"/>
  <c r="D11" i="52"/>
  <c r="B11" i="52"/>
  <c r="C44" i="51"/>
  <c r="D46" i="52"/>
  <c r="E46" i="52"/>
  <c r="F46" i="52"/>
  <c r="G46" i="52"/>
  <c r="H46" i="52"/>
  <c r="I46" i="52"/>
  <c r="J46" i="52"/>
  <c r="K46" i="52"/>
  <c r="L46" i="52"/>
  <c r="M46" i="52"/>
  <c r="N46" i="52"/>
  <c r="O46" i="52"/>
  <c r="E44" i="52"/>
  <c r="F44" i="52"/>
  <c r="G44" i="52"/>
  <c r="H44" i="52"/>
  <c r="I44" i="52"/>
  <c r="M44" i="52"/>
  <c r="N44" i="52"/>
  <c r="O44" i="52"/>
  <c r="O9" i="51"/>
  <c r="O57" i="43" l="1"/>
  <c r="B52" i="59"/>
  <c r="P21" i="57"/>
  <c r="P44" i="52"/>
  <c r="U45" i="52" s="1"/>
  <c r="O42" i="58"/>
  <c r="P42" i="58" s="1"/>
  <c r="O50" i="58"/>
  <c r="P50" i="58" s="1"/>
  <c r="O50" i="57"/>
  <c r="P50" i="57" s="1"/>
  <c r="O48" i="57"/>
  <c r="P48" i="57" s="1"/>
  <c r="O42" i="57"/>
  <c r="P42" i="57" s="1"/>
  <c r="O52" i="43"/>
  <c r="O59" i="43" s="1"/>
  <c r="L52" i="57"/>
  <c r="N52" i="43"/>
  <c r="N57" i="43"/>
  <c r="N59" i="43" s="1"/>
  <c r="K59" i="57"/>
  <c r="I52" i="59"/>
  <c r="J52" i="57"/>
  <c r="J59" i="57" s="1"/>
  <c r="P40" i="57"/>
  <c r="F57" i="59"/>
  <c r="M50" i="59"/>
  <c r="N50" i="59" s="1"/>
  <c r="C52" i="59"/>
  <c r="G52" i="59"/>
  <c r="G59" i="59" s="1"/>
  <c r="N46" i="59"/>
  <c r="H57" i="57"/>
  <c r="P46" i="57"/>
  <c r="P36" i="57"/>
  <c r="P23" i="57"/>
  <c r="P16" i="57"/>
  <c r="P38" i="57"/>
  <c r="P25" i="57"/>
  <c r="P30" i="57"/>
  <c r="P17" i="57"/>
  <c r="P39" i="57"/>
  <c r="P32" i="57"/>
  <c r="P19" i="57"/>
  <c r="P14" i="57"/>
  <c r="P26" i="57"/>
  <c r="P34" i="57"/>
  <c r="P27" i="57"/>
  <c r="P24" i="57"/>
  <c r="P33" i="57"/>
  <c r="P20" i="57"/>
  <c r="P28" i="57"/>
  <c r="P37" i="57"/>
  <c r="P22" i="57"/>
  <c r="P31" i="57"/>
  <c r="P18" i="57"/>
  <c r="P15" i="57"/>
  <c r="P35" i="57"/>
  <c r="P29" i="57"/>
  <c r="P44" i="57"/>
  <c r="K57" i="59"/>
  <c r="K59" i="59" s="1"/>
  <c r="F52" i="59"/>
  <c r="M42" i="59"/>
  <c r="N42" i="59" s="1"/>
  <c r="G52" i="58"/>
  <c r="G59" i="58" s="1"/>
  <c r="G57" i="57"/>
  <c r="N19" i="59"/>
  <c r="N25" i="59"/>
  <c r="N31" i="59"/>
  <c r="N37" i="59"/>
  <c r="N26" i="59"/>
  <c r="N38" i="59"/>
  <c r="N39" i="59"/>
  <c r="N27" i="59"/>
  <c r="N16" i="59"/>
  <c r="N22" i="59"/>
  <c r="N28" i="59"/>
  <c r="N34" i="59"/>
  <c r="N40" i="59"/>
  <c r="N18" i="59"/>
  <c r="N24" i="59"/>
  <c r="N30" i="59"/>
  <c r="N36" i="59"/>
  <c r="N20" i="59"/>
  <c r="N32" i="59"/>
  <c r="N21" i="59"/>
  <c r="N17" i="59"/>
  <c r="N23" i="59"/>
  <c r="N29" i="59"/>
  <c r="N35" i="59"/>
  <c r="N14" i="59"/>
  <c r="N15" i="59"/>
  <c r="N33" i="59"/>
  <c r="N44" i="59"/>
  <c r="P27" i="58"/>
  <c r="P32" i="58"/>
  <c r="S46" i="58"/>
  <c r="F52" i="57"/>
  <c r="F59" i="57" s="1"/>
  <c r="E52" i="59"/>
  <c r="M48" i="59"/>
  <c r="Q46" i="59"/>
  <c r="D57" i="59"/>
  <c r="E57" i="58"/>
  <c r="E57" i="57"/>
  <c r="P50" i="59"/>
  <c r="I59" i="59"/>
  <c r="P34" i="58"/>
  <c r="P40" i="58"/>
  <c r="P24" i="58"/>
  <c r="P25" i="58"/>
  <c r="L52" i="58"/>
  <c r="F52" i="58"/>
  <c r="F59" i="58" s="1"/>
  <c r="P39" i="58"/>
  <c r="P15" i="58"/>
  <c r="S11" i="57"/>
  <c r="M57" i="57"/>
  <c r="P26" i="58"/>
  <c r="P30" i="58"/>
  <c r="P19" i="58"/>
  <c r="S44" i="58"/>
  <c r="L57" i="57"/>
  <c r="L59" i="57" s="1"/>
  <c r="P21" i="58"/>
  <c r="G52" i="57"/>
  <c r="P20" i="58"/>
  <c r="S44" i="57"/>
  <c r="P37" i="58"/>
  <c r="S40" i="57"/>
  <c r="P29" i="58"/>
  <c r="P46" i="58"/>
  <c r="Q11" i="59"/>
  <c r="P38" i="58"/>
  <c r="P14" i="58"/>
  <c r="P31" i="58"/>
  <c r="E52" i="57"/>
  <c r="H52" i="59"/>
  <c r="H59" i="59" s="1"/>
  <c r="L52" i="59"/>
  <c r="L59" i="59" s="1"/>
  <c r="P44" i="58"/>
  <c r="P33" i="58"/>
  <c r="P22" i="58"/>
  <c r="S11" i="58"/>
  <c r="P23" i="58"/>
  <c r="B57" i="59"/>
  <c r="P48" i="59"/>
  <c r="C57" i="57"/>
  <c r="R50" i="57"/>
  <c r="J57" i="58"/>
  <c r="S46" i="57"/>
  <c r="S40" i="58"/>
  <c r="R50" i="58"/>
  <c r="R48" i="57"/>
  <c r="R42" i="58"/>
  <c r="B52" i="58"/>
  <c r="P16" i="58"/>
  <c r="Q44" i="59"/>
  <c r="F59" i="59"/>
  <c r="S44" i="52"/>
  <c r="N52" i="58"/>
  <c r="N59" i="58" s="1"/>
  <c r="K52" i="58"/>
  <c r="K59" i="58" s="1"/>
  <c r="E59" i="59"/>
  <c r="P35" i="58"/>
  <c r="P17" i="58"/>
  <c r="Q40" i="59"/>
  <c r="L59" i="58"/>
  <c r="P42" i="59"/>
  <c r="B42" i="52"/>
  <c r="D42" i="52"/>
  <c r="R42" i="57"/>
  <c r="H52" i="58"/>
  <c r="H59" i="58" s="1"/>
  <c r="R48" i="58"/>
  <c r="E52" i="58"/>
  <c r="P18" i="58"/>
  <c r="P28" i="58"/>
  <c r="D48" i="52"/>
  <c r="C59" i="59"/>
  <c r="D57" i="58"/>
  <c r="D52" i="57"/>
  <c r="J52" i="59"/>
  <c r="J59" i="59" s="1"/>
  <c r="B57" i="58"/>
  <c r="D52" i="58"/>
  <c r="J52" i="58"/>
  <c r="I52" i="58"/>
  <c r="I59" i="58" s="1"/>
  <c r="H52" i="57"/>
  <c r="I52" i="57"/>
  <c r="I59" i="57" s="1"/>
  <c r="C52" i="57"/>
  <c r="P15" i="25"/>
  <c r="P16" i="25"/>
  <c r="P17" i="25"/>
  <c r="P18" i="25"/>
  <c r="P19" i="25"/>
  <c r="P20" i="25"/>
  <c r="P21" i="25"/>
  <c r="P22" i="25"/>
  <c r="P23" i="25"/>
  <c r="P24" i="25"/>
  <c r="P25" i="25"/>
  <c r="P26" i="25"/>
  <c r="P27" i="25"/>
  <c r="P28" i="25"/>
  <c r="P29" i="25"/>
  <c r="P30" i="25"/>
  <c r="P31" i="25"/>
  <c r="P32" i="25"/>
  <c r="P33" i="25"/>
  <c r="P34" i="25"/>
  <c r="P35" i="25"/>
  <c r="P36" i="25"/>
  <c r="P37" i="25"/>
  <c r="P38" i="25"/>
  <c r="P39" i="25"/>
  <c r="S16" i="25"/>
  <c r="T16" i="25" s="1"/>
  <c r="S15" i="25"/>
  <c r="T15" i="25" s="1"/>
  <c r="D12" i="47"/>
  <c r="S14" i="53"/>
  <c r="S9" i="53"/>
  <c r="R16" i="42"/>
  <c r="R14" i="42"/>
  <c r="R9" i="42"/>
  <c r="R16" i="41"/>
  <c r="R14" i="41"/>
  <c r="R9" i="41"/>
  <c r="T17" i="38"/>
  <c r="T14" i="38"/>
  <c r="T9" i="38"/>
  <c r="S14" i="37"/>
  <c r="S9" i="37"/>
  <c r="S28" i="35"/>
  <c r="S9" i="35"/>
  <c r="S16" i="32"/>
  <c r="S14" i="32"/>
  <c r="S9" i="32"/>
  <c r="T14" i="28"/>
  <c r="T9" i="28"/>
  <c r="T14" i="33"/>
  <c r="T9" i="33"/>
  <c r="S14" i="25"/>
  <c r="S9" i="25"/>
  <c r="T9" i="26"/>
  <c r="S14" i="24"/>
  <c r="S9" i="24"/>
  <c r="S15" i="21"/>
  <c r="S10" i="21"/>
  <c r="S17" i="20"/>
  <c r="S12" i="20"/>
  <c r="U46" i="8"/>
  <c r="U13" i="8"/>
  <c r="U15" i="8"/>
  <c r="U16" i="8"/>
  <c r="U42" i="8"/>
  <c r="U48" i="8"/>
  <c r="U50" i="8"/>
  <c r="U52" i="8"/>
  <c r="U54" i="8"/>
  <c r="S15" i="29"/>
  <c r="S10" i="29"/>
  <c r="T12" i="11"/>
  <c r="T14" i="22"/>
  <c r="T15" i="22"/>
  <c r="H59" i="57" l="1"/>
  <c r="O52" i="58"/>
  <c r="P52" i="58" s="1"/>
  <c r="D59" i="57"/>
  <c r="O52" i="57"/>
  <c r="Q50" i="59"/>
  <c r="M57" i="59"/>
  <c r="G59" i="57"/>
  <c r="M52" i="59"/>
  <c r="N52" i="59" s="1"/>
  <c r="N48" i="59"/>
  <c r="D59" i="59"/>
  <c r="E59" i="58"/>
  <c r="E59" i="57"/>
  <c r="M59" i="57"/>
  <c r="S50" i="57"/>
  <c r="J59" i="58"/>
  <c r="R52" i="57"/>
  <c r="B59" i="59"/>
  <c r="S42" i="58"/>
  <c r="O57" i="58"/>
  <c r="P48" i="58"/>
  <c r="D52" i="52"/>
  <c r="S48" i="58"/>
  <c r="R52" i="58"/>
  <c r="P52" i="59"/>
  <c r="S42" i="57"/>
  <c r="Q42" i="59"/>
  <c r="S50" i="58"/>
  <c r="D57" i="52"/>
  <c r="S48" i="57"/>
  <c r="Q48" i="59"/>
  <c r="D59" i="58"/>
  <c r="O57" i="57"/>
  <c r="B59" i="58"/>
  <c r="C59" i="57"/>
  <c r="U44" i="8"/>
  <c r="R13" i="6"/>
  <c r="D47" i="6"/>
  <c r="D49" i="6"/>
  <c r="D43" i="6"/>
  <c r="D53" i="6" s="1"/>
  <c r="D45" i="48"/>
  <c r="D47" i="48"/>
  <c r="D12" i="48"/>
  <c r="D40" i="43"/>
  <c r="S15" i="56"/>
  <c r="S16" i="56"/>
  <c r="S17" i="56"/>
  <c r="S18" i="56"/>
  <c r="S19" i="56"/>
  <c r="S20" i="56"/>
  <c r="S21" i="56"/>
  <c r="S22" i="56"/>
  <c r="S23" i="56"/>
  <c r="S24" i="56"/>
  <c r="S25" i="56"/>
  <c r="S26" i="56"/>
  <c r="S27" i="56"/>
  <c r="S28" i="56"/>
  <c r="S29" i="56"/>
  <c r="S30" i="56"/>
  <c r="S31" i="56"/>
  <c r="S32" i="56"/>
  <c r="S33" i="56"/>
  <c r="S34" i="56"/>
  <c r="S35" i="56"/>
  <c r="S36" i="56"/>
  <c r="S37" i="56"/>
  <c r="S38" i="56"/>
  <c r="S39" i="56"/>
  <c r="S14" i="56"/>
  <c r="S10" i="56"/>
  <c r="S9" i="56"/>
  <c r="N46" i="56"/>
  <c r="M46" i="56"/>
  <c r="L46" i="56"/>
  <c r="K46" i="56"/>
  <c r="J46" i="56"/>
  <c r="I46" i="56"/>
  <c r="H46" i="56"/>
  <c r="G46" i="56"/>
  <c r="F46" i="56"/>
  <c r="E46" i="56"/>
  <c r="D46" i="56"/>
  <c r="C46" i="56"/>
  <c r="N44" i="56"/>
  <c r="M44" i="56"/>
  <c r="L44" i="56"/>
  <c r="K44" i="56"/>
  <c r="J44" i="56"/>
  <c r="I44" i="56"/>
  <c r="H44" i="56"/>
  <c r="G44" i="56"/>
  <c r="F44" i="56"/>
  <c r="E44" i="56"/>
  <c r="D44" i="56"/>
  <c r="C44" i="56"/>
  <c r="N40" i="56"/>
  <c r="N50" i="56" s="1"/>
  <c r="M40" i="56"/>
  <c r="M48" i="56" s="1"/>
  <c r="L40" i="56"/>
  <c r="L48" i="56" s="1"/>
  <c r="K40" i="56"/>
  <c r="K50" i="56" s="1"/>
  <c r="J40" i="56"/>
  <c r="J50" i="56" s="1"/>
  <c r="I40" i="56"/>
  <c r="I48" i="56" s="1"/>
  <c r="H40" i="56"/>
  <c r="H48" i="56" s="1"/>
  <c r="G40" i="56"/>
  <c r="G50" i="56" s="1"/>
  <c r="F40" i="56"/>
  <c r="F50" i="56" s="1"/>
  <c r="E40" i="56"/>
  <c r="E48" i="56" s="1"/>
  <c r="D40" i="56"/>
  <c r="D48" i="56" s="1"/>
  <c r="C40" i="56"/>
  <c r="N11" i="56"/>
  <c r="M11" i="56"/>
  <c r="L11" i="56"/>
  <c r="K11" i="56"/>
  <c r="J11" i="56"/>
  <c r="I11" i="56"/>
  <c r="H11" i="56"/>
  <c r="G11" i="56"/>
  <c r="F11" i="56"/>
  <c r="E11" i="56"/>
  <c r="D11" i="56"/>
  <c r="C11" i="56"/>
  <c r="O46" i="56" l="1"/>
  <c r="O44" i="56"/>
  <c r="P52" i="57"/>
  <c r="R14" i="6"/>
  <c r="Y14" i="6"/>
  <c r="R44" i="56"/>
  <c r="S44" i="56" s="1"/>
  <c r="R11" i="56"/>
  <c r="M59" i="59"/>
  <c r="S52" i="58"/>
  <c r="O59" i="58"/>
  <c r="S52" i="57"/>
  <c r="R46" i="56"/>
  <c r="S46" i="56" s="1"/>
  <c r="Q52" i="59"/>
  <c r="C50" i="56"/>
  <c r="R40" i="56"/>
  <c r="O59" i="57"/>
  <c r="S11" i="56"/>
  <c r="D51" i="6"/>
  <c r="E42" i="56"/>
  <c r="I42" i="56"/>
  <c r="M42" i="56"/>
  <c r="C48" i="56"/>
  <c r="G48" i="56"/>
  <c r="G57" i="56" s="1"/>
  <c r="K48" i="56"/>
  <c r="K57" i="56" s="1"/>
  <c r="E50" i="56"/>
  <c r="E57" i="56" s="1"/>
  <c r="I50" i="56"/>
  <c r="I57" i="56" s="1"/>
  <c r="M50" i="56"/>
  <c r="M57" i="56" s="1"/>
  <c r="D42" i="56"/>
  <c r="H42" i="56"/>
  <c r="L42" i="56"/>
  <c r="F48" i="56"/>
  <c r="F57" i="56" s="1"/>
  <c r="J48" i="56"/>
  <c r="J57" i="56" s="1"/>
  <c r="N48" i="56"/>
  <c r="N57" i="56" s="1"/>
  <c r="D50" i="56"/>
  <c r="D57" i="56" s="1"/>
  <c r="H50" i="56"/>
  <c r="H57" i="56" s="1"/>
  <c r="L50" i="56"/>
  <c r="L57" i="56" s="1"/>
  <c r="C42" i="56"/>
  <c r="G42" i="56"/>
  <c r="K42" i="56"/>
  <c r="F42" i="56"/>
  <c r="J42" i="56"/>
  <c r="N42" i="56"/>
  <c r="D14" i="6"/>
  <c r="X20" i="18"/>
  <c r="X21" i="18"/>
  <c r="X22" i="18"/>
  <c r="X23" i="18"/>
  <c r="X24" i="18"/>
  <c r="X25" i="18"/>
  <c r="X26" i="18"/>
  <c r="X29" i="18"/>
  <c r="X30" i="18"/>
  <c r="X32" i="18"/>
  <c r="X33" i="18"/>
  <c r="X34" i="18"/>
  <c r="X35" i="18"/>
  <c r="X37" i="18"/>
  <c r="X39" i="18"/>
  <c r="X40" i="18"/>
  <c r="X41" i="18"/>
  <c r="X42" i="18"/>
  <c r="X13" i="18"/>
  <c r="X12" i="18"/>
  <c r="D47" i="18"/>
  <c r="D49" i="18"/>
  <c r="D43" i="18"/>
  <c r="D53" i="18" s="1"/>
  <c r="D14" i="18"/>
  <c r="T10" i="55"/>
  <c r="T9" i="55"/>
  <c r="D40" i="53"/>
  <c r="D50" i="53" s="1"/>
  <c r="E40" i="53"/>
  <c r="E50" i="53" s="1"/>
  <c r="F40" i="53"/>
  <c r="F50" i="53" s="1"/>
  <c r="G40" i="53"/>
  <c r="G50" i="53" s="1"/>
  <c r="H40" i="53"/>
  <c r="H48" i="53" s="1"/>
  <c r="I40" i="53"/>
  <c r="I50" i="53" s="1"/>
  <c r="J40" i="53"/>
  <c r="J50" i="53" s="1"/>
  <c r="K40" i="53"/>
  <c r="K48" i="53" s="1"/>
  <c r="L40" i="53"/>
  <c r="L50" i="53" s="1"/>
  <c r="M40" i="53"/>
  <c r="M50" i="53" s="1"/>
  <c r="D44" i="53"/>
  <c r="E44" i="53"/>
  <c r="F44" i="53"/>
  <c r="G44" i="53"/>
  <c r="H44" i="53"/>
  <c r="I44" i="53"/>
  <c r="J44" i="53"/>
  <c r="K44" i="53"/>
  <c r="L44" i="53"/>
  <c r="M44" i="53"/>
  <c r="D46" i="53"/>
  <c r="E46" i="53"/>
  <c r="F46" i="53"/>
  <c r="G46" i="53"/>
  <c r="H46" i="53"/>
  <c r="I46" i="53"/>
  <c r="J46" i="53"/>
  <c r="K46" i="53"/>
  <c r="L46" i="53"/>
  <c r="M46" i="53"/>
  <c r="U15" i="53"/>
  <c r="U16" i="53"/>
  <c r="U17" i="53"/>
  <c r="U18" i="53"/>
  <c r="U19" i="53"/>
  <c r="U20" i="53"/>
  <c r="U21" i="53"/>
  <c r="U22" i="53"/>
  <c r="U23" i="53"/>
  <c r="U24" i="53"/>
  <c r="U25" i="53"/>
  <c r="U26" i="53"/>
  <c r="U27" i="53"/>
  <c r="U28" i="53"/>
  <c r="U29" i="53"/>
  <c r="U30" i="53"/>
  <c r="U31" i="53"/>
  <c r="U32" i="53"/>
  <c r="U33" i="53"/>
  <c r="U34" i="53"/>
  <c r="U35" i="53"/>
  <c r="U36" i="53"/>
  <c r="U37" i="53"/>
  <c r="U38" i="53"/>
  <c r="U39" i="53"/>
  <c r="U14" i="53"/>
  <c r="U10" i="53"/>
  <c r="U9" i="53"/>
  <c r="D11" i="53"/>
  <c r="E11" i="53"/>
  <c r="F11" i="53"/>
  <c r="G11" i="53"/>
  <c r="H11" i="53"/>
  <c r="I11" i="53"/>
  <c r="J11" i="53"/>
  <c r="K11" i="53"/>
  <c r="L11" i="53"/>
  <c r="M11" i="53"/>
  <c r="T51" i="52"/>
  <c r="T49" i="52"/>
  <c r="T47" i="52"/>
  <c r="B46" i="52"/>
  <c r="T45" i="52"/>
  <c r="T43" i="52"/>
  <c r="T41" i="52"/>
  <c r="N40" i="52"/>
  <c r="N50" i="52" s="1"/>
  <c r="M40" i="52"/>
  <c r="M48" i="52" s="1"/>
  <c r="L40" i="52"/>
  <c r="L50" i="52" s="1"/>
  <c r="K40" i="52"/>
  <c r="K48" i="52" s="1"/>
  <c r="J40" i="52"/>
  <c r="J50" i="52" s="1"/>
  <c r="I40" i="52"/>
  <c r="H40" i="52"/>
  <c r="H50" i="52" s="1"/>
  <c r="G40" i="52"/>
  <c r="G48" i="52" s="1"/>
  <c r="F40" i="52"/>
  <c r="F50" i="52" s="1"/>
  <c r="E40" i="52"/>
  <c r="U40" i="52"/>
  <c r="U39" i="52"/>
  <c r="U38" i="52"/>
  <c r="U37" i="52"/>
  <c r="U36" i="52"/>
  <c r="U35" i="52"/>
  <c r="U34" i="52"/>
  <c r="U33" i="52"/>
  <c r="U32" i="52"/>
  <c r="U31" i="52"/>
  <c r="U30" i="52"/>
  <c r="U29" i="52"/>
  <c r="U28" i="52"/>
  <c r="U27" i="52"/>
  <c r="U26" i="52"/>
  <c r="U25" i="52"/>
  <c r="U24" i="52"/>
  <c r="U22" i="52"/>
  <c r="U21" i="52"/>
  <c r="U20" i="52"/>
  <c r="U19" i="52"/>
  <c r="U18" i="52"/>
  <c r="U17" i="52"/>
  <c r="U16" i="52"/>
  <c r="U15" i="52"/>
  <c r="T13" i="52"/>
  <c r="T12" i="52"/>
  <c r="O11" i="52"/>
  <c r="N11" i="52"/>
  <c r="M11" i="52"/>
  <c r="L11" i="52"/>
  <c r="K11" i="52"/>
  <c r="J11" i="52"/>
  <c r="I11" i="52"/>
  <c r="H11" i="52"/>
  <c r="G11" i="52"/>
  <c r="F11" i="52"/>
  <c r="E11" i="52"/>
  <c r="U12" i="52"/>
  <c r="S51" i="51"/>
  <c r="S49" i="51"/>
  <c r="S47" i="51"/>
  <c r="N46" i="51"/>
  <c r="M46" i="51"/>
  <c r="L46" i="51"/>
  <c r="K46" i="51"/>
  <c r="J46" i="51"/>
  <c r="I46" i="51"/>
  <c r="H46" i="51"/>
  <c r="G46" i="51"/>
  <c r="F46" i="51"/>
  <c r="E46" i="51"/>
  <c r="D46" i="51"/>
  <c r="B46" i="51"/>
  <c r="S45" i="51"/>
  <c r="N44" i="51"/>
  <c r="M44" i="51"/>
  <c r="L44" i="51"/>
  <c r="K44" i="51"/>
  <c r="J44" i="51"/>
  <c r="I44" i="51"/>
  <c r="H44" i="51"/>
  <c r="G44" i="51"/>
  <c r="F44" i="51"/>
  <c r="E44" i="51"/>
  <c r="D44" i="51"/>
  <c r="B44" i="51"/>
  <c r="S43" i="51"/>
  <c r="S41" i="51"/>
  <c r="N40" i="51"/>
  <c r="N50" i="51" s="1"/>
  <c r="M40" i="51"/>
  <c r="M50" i="51" s="1"/>
  <c r="L40" i="51"/>
  <c r="L50" i="51" s="1"/>
  <c r="K40" i="51"/>
  <c r="K50" i="51" s="1"/>
  <c r="J40" i="51"/>
  <c r="I40" i="51"/>
  <c r="I50" i="51" s="1"/>
  <c r="H40" i="51"/>
  <c r="H50" i="51" s="1"/>
  <c r="G40" i="51"/>
  <c r="G50" i="51" s="1"/>
  <c r="F40" i="51"/>
  <c r="F50" i="51" s="1"/>
  <c r="E40" i="51"/>
  <c r="E50" i="51" s="1"/>
  <c r="D40" i="51"/>
  <c r="C50" i="51"/>
  <c r="O39" i="51"/>
  <c r="S39" i="51" s="1"/>
  <c r="O38" i="51"/>
  <c r="O37" i="51"/>
  <c r="O36" i="51"/>
  <c r="O35" i="51"/>
  <c r="O34" i="51"/>
  <c r="O33" i="51"/>
  <c r="S33" i="51" s="1"/>
  <c r="O32" i="51"/>
  <c r="O31" i="51"/>
  <c r="O30" i="51"/>
  <c r="O29" i="51"/>
  <c r="S29" i="51" s="1"/>
  <c r="O28" i="51"/>
  <c r="O27" i="51"/>
  <c r="S27" i="51" s="1"/>
  <c r="O26" i="51"/>
  <c r="O25" i="51"/>
  <c r="O24" i="51"/>
  <c r="O23" i="51"/>
  <c r="S23" i="51" s="1"/>
  <c r="O22" i="51"/>
  <c r="O21" i="51"/>
  <c r="S21" i="51" s="1"/>
  <c r="O20" i="51"/>
  <c r="O19" i="51"/>
  <c r="O18" i="51"/>
  <c r="O17" i="51"/>
  <c r="S17" i="51" s="1"/>
  <c r="O16" i="51"/>
  <c r="O15" i="51"/>
  <c r="S15" i="51" s="1"/>
  <c r="O14" i="51"/>
  <c r="S13" i="51"/>
  <c r="S12" i="51"/>
  <c r="N11" i="51"/>
  <c r="N42" i="51" s="1"/>
  <c r="M11" i="51"/>
  <c r="L11" i="51"/>
  <c r="K11" i="51"/>
  <c r="J11" i="51"/>
  <c r="I11" i="51"/>
  <c r="I42" i="51" s="1"/>
  <c r="H11" i="51"/>
  <c r="H42" i="51" s="1"/>
  <c r="G11" i="51"/>
  <c r="F11" i="51"/>
  <c r="E11" i="51"/>
  <c r="D11" i="51"/>
  <c r="C11" i="51"/>
  <c r="C46" i="51" s="1"/>
  <c r="B11" i="51"/>
  <c r="O10" i="51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8" i="50"/>
  <c r="U29" i="50"/>
  <c r="U30" i="50"/>
  <c r="U31" i="50"/>
  <c r="U34" i="50"/>
  <c r="U35" i="50"/>
  <c r="U36" i="50"/>
  <c r="U37" i="50"/>
  <c r="U38" i="50"/>
  <c r="U39" i="50"/>
  <c r="U10" i="50"/>
  <c r="U9" i="50"/>
  <c r="N44" i="50"/>
  <c r="N46" i="50"/>
  <c r="N40" i="50"/>
  <c r="N11" i="50"/>
  <c r="H44" i="50"/>
  <c r="I44" i="50"/>
  <c r="J44" i="50"/>
  <c r="K44" i="50"/>
  <c r="L44" i="50"/>
  <c r="M44" i="50"/>
  <c r="O44" i="50"/>
  <c r="H46" i="50"/>
  <c r="I46" i="50"/>
  <c r="J46" i="50"/>
  <c r="K46" i="50"/>
  <c r="L46" i="50"/>
  <c r="M46" i="50"/>
  <c r="O46" i="50"/>
  <c r="D44" i="50"/>
  <c r="D46" i="50"/>
  <c r="H40" i="50"/>
  <c r="H50" i="50" s="1"/>
  <c r="I40" i="50"/>
  <c r="I48" i="50" s="1"/>
  <c r="J40" i="50"/>
  <c r="J50" i="50" s="1"/>
  <c r="K40" i="50"/>
  <c r="K50" i="50" s="1"/>
  <c r="L40" i="50"/>
  <c r="L48" i="50" s="1"/>
  <c r="M40" i="50"/>
  <c r="M48" i="50" s="1"/>
  <c r="O40" i="50"/>
  <c r="O50" i="50" s="1"/>
  <c r="D40" i="50"/>
  <c r="D48" i="50" s="1"/>
  <c r="H11" i="50"/>
  <c r="I11" i="50"/>
  <c r="J11" i="50"/>
  <c r="K11" i="50"/>
  <c r="L11" i="50"/>
  <c r="M11" i="50"/>
  <c r="O11" i="50"/>
  <c r="D11" i="50"/>
  <c r="J45" i="47"/>
  <c r="K45" i="47"/>
  <c r="L45" i="47"/>
  <c r="M45" i="47"/>
  <c r="N45" i="47"/>
  <c r="O45" i="47"/>
  <c r="J47" i="47"/>
  <c r="K47" i="47"/>
  <c r="L47" i="47"/>
  <c r="M47" i="47"/>
  <c r="N47" i="47"/>
  <c r="O47" i="47"/>
  <c r="J41" i="47"/>
  <c r="J43" i="47" s="1"/>
  <c r="K41" i="47"/>
  <c r="L41" i="47"/>
  <c r="L49" i="47" s="1"/>
  <c r="M41" i="47"/>
  <c r="M43" i="47" s="1"/>
  <c r="N41" i="47"/>
  <c r="O41" i="47"/>
  <c r="O43" i="47" s="1"/>
  <c r="U16" i="47"/>
  <c r="U17" i="47"/>
  <c r="U18" i="47"/>
  <c r="U19" i="47"/>
  <c r="U20" i="47"/>
  <c r="U21" i="47"/>
  <c r="U22" i="47"/>
  <c r="U23" i="47"/>
  <c r="U24" i="47"/>
  <c r="U25" i="47"/>
  <c r="U26" i="47"/>
  <c r="U27" i="47"/>
  <c r="U28" i="47"/>
  <c r="U29" i="47"/>
  <c r="U30" i="47"/>
  <c r="U31" i="47"/>
  <c r="U32" i="47"/>
  <c r="U33" i="47"/>
  <c r="U34" i="47"/>
  <c r="U35" i="47"/>
  <c r="U36" i="47"/>
  <c r="U37" i="47"/>
  <c r="U38" i="47"/>
  <c r="U39" i="47"/>
  <c r="U40" i="47"/>
  <c r="U15" i="47"/>
  <c r="D45" i="47"/>
  <c r="D47" i="47"/>
  <c r="D41" i="47"/>
  <c r="O15" i="46"/>
  <c r="O16" i="46"/>
  <c r="O17" i="46"/>
  <c r="O18" i="46"/>
  <c r="O19" i="46"/>
  <c r="O20" i="46"/>
  <c r="O21" i="46"/>
  <c r="O22" i="46"/>
  <c r="O23" i="46"/>
  <c r="O24" i="46"/>
  <c r="O25" i="46"/>
  <c r="O26" i="46"/>
  <c r="O27" i="46"/>
  <c r="O28" i="46"/>
  <c r="O29" i="46"/>
  <c r="O30" i="46"/>
  <c r="O31" i="46"/>
  <c r="O32" i="46"/>
  <c r="O33" i="46"/>
  <c r="O34" i="46"/>
  <c r="O35" i="46"/>
  <c r="O36" i="46"/>
  <c r="O37" i="46"/>
  <c r="O38" i="46"/>
  <c r="O39" i="46"/>
  <c r="O14" i="46"/>
  <c r="S14" i="46" s="1"/>
  <c r="O10" i="46"/>
  <c r="J11" i="46"/>
  <c r="K11" i="46"/>
  <c r="L11" i="46"/>
  <c r="M11" i="46"/>
  <c r="N11" i="46"/>
  <c r="C11" i="46"/>
  <c r="J44" i="46"/>
  <c r="K44" i="46"/>
  <c r="L44" i="46"/>
  <c r="M44" i="46"/>
  <c r="N44" i="46"/>
  <c r="J46" i="46"/>
  <c r="K46" i="46"/>
  <c r="L46" i="46"/>
  <c r="M46" i="46"/>
  <c r="N46" i="46"/>
  <c r="C44" i="46"/>
  <c r="C46" i="46"/>
  <c r="J40" i="46"/>
  <c r="J42" i="46" s="1"/>
  <c r="K40" i="46"/>
  <c r="K50" i="46" s="1"/>
  <c r="L40" i="46"/>
  <c r="L48" i="46" s="1"/>
  <c r="M40" i="46"/>
  <c r="M50" i="46" s="1"/>
  <c r="N40" i="46"/>
  <c r="N48" i="46" s="1"/>
  <c r="C40" i="46"/>
  <c r="J41" i="48"/>
  <c r="K41" i="48"/>
  <c r="L41" i="48"/>
  <c r="M41" i="48"/>
  <c r="N41" i="48"/>
  <c r="O41" i="48"/>
  <c r="D41" i="48"/>
  <c r="U16" i="48"/>
  <c r="U17" i="48"/>
  <c r="U18" i="48"/>
  <c r="U19" i="48"/>
  <c r="U20" i="48"/>
  <c r="U21" i="48"/>
  <c r="U22" i="48"/>
  <c r="U23" i="48"/>
  <c r="U24" i="48"/>
  <c r="U25" i="48"/>
  <c r="U26" i="48"/>
  <c r="U27" i="48"/>
  <c r="U28" i="48"/>
  <c r="U29" i="48"/>
  <c r="U30" i="48"/>
  <c r="U31" i="48"/>
  <c r="U32" i="48"/>
  <c r="U33" i="48"/>
  <c r="U34" i="48"/>
  <c r="U35" i="48"/>
  <c r="U36" i="48"/>
  <c r="U37" i="48"/>
  <c r="U38" i="48"/>
  <c r="U39" i="48"/>
  <c r="U40" i="48"/>
  <c r="U15" i="48"/>
  <c r="U11" i="48"/>
  <c r="U10" i="48"/>
  <c r="J46" i="45"/>
  <c r="I46" i="45"/>
  <c r="H46" i="45"/>
  <c r="G46" i="45"/>
  <c r="F46" i="45"/>
  <c r="E46" i="45"/>
  <c r="D46" i="45"/>
  <c r="C46" i="45"/>
  <c r="B46" i="45"/>
  <c r="J44" i="45"/>
  <c r="I44" i="45"/>
  <c r="H44" i="45"/>
  <c r="G44" i="45"/>
  <c r="F44" i="45"/>
  <c r="E44" i="45"/>
  <c r="D44" i="45"/>
  <c r="C44" i="45"/>
  <c r="B44" i="45"/>
  <c r="N40" i="45"/>
  <c r="M40" i="45"/>
  <c r="L40" i="45"/>
  <c r="K40" i="45"/>
  <c r="J40" i="45"/>
  <c r="J50" i="45" s="1"/>
  <c r="I40" i="45"/>
  <c r="I48" i="45" s="1"/>
  <c r="H40" i="45"/>
  <c r="H50" i="45" s="1"/>
  <c r="G40" i="45"/>
  <c r="G48" i="45" s="1"/>
  <c r="F40" i="45"/>
  <c r="F50" i="45" s="1"/>
  <c r="E40" i="45"/>
  <c r="E50" i="45" s="1"/>
  <c r="D40" i="45"/>
  <c r="D50" i="45" s="1"/>
  <c r="C40" i="45"/>
  <c r="C48" i="45" s="1"/>
  <c r="B40" i="45"/>
  <c r="B50" i="45" s="1"/>
  <c r="O39" i="45"/>
  <c r="O38" i="45"/>
  <c r="O37" i="45"/>
  <c r="O36" i="45"/>
  <c r="O35" i="45"/>
  <c r="O34" i="45"/>
  <c r="O33" i="45"/>
  <c r="O32" i="45"/>
  <c r="O31" i="45"/>
  <c r="O30" i="45"/>
  <c r="O29" i="45"/>
  <c r="O28" i="45"/>
  <c r="O27" i="45"/>
  <c r="O26" i="45"/>
  <c r="O25" i="45"/>
  <c r="O24" i="45"/>
  <c r="O23" i="45"/>
  <c r="O22" i="45"/>
  <c r="O21" i="45"/>
  <c r="O20" i="45"/>
  <c r="O19" i="45"/>
  <c r="O18" i="45"/>
  <c r="O17" i="45"/>
  <c r="O16" i="45"/>
  <c r="O15" i="45"/>
  <c r="O14" i="45"/>
  <c r="N11" i="45"/>
  <c r="M11" i="45"/>
  <c r="L11" i="45"/>
  <c r="K11" i="45"/>
  <c r="J11" i="45"/>
  <c r="I11" i="45"/>
  <c r="H11" i="45"/>
  <c r="G11" i="45"/>
  <c r="F11" i="45"/>
  <c r="E11" i="45"/>
  <c r="D11" i="45"/>
  <c r="C11" i="45"/>
  <c r="B11" i="45"/>
  <c r="O10" i="45"/>
  <c r="O9" i="45"/>
  <c r="D44" i="44"/>
  <c r="D46" i="44"/>
  <c r="D40" i="44"/>
  <c r="L40" i="44"/>
  <c r="M40" i="44"/>
  <c r="N40" i="44"/>
  <c r="O40" i="44"/>
  <c r="U15" i="44"/>
  <c r="U16" i="44"/>
  <c r="U17" i="44"/>
  <c r="U18" i="44"/>
  <c r="U19" i="44"/>
  <c r="U20" i="44"/>
  <c r="U21" i="44"/>
  <c r="U22" i="44"/>
  <c r="U23" i="44"/>
  <c r="U24" i="44"/>
  <c r="U25" i="44"/>
  <c r="U26" i="44"/>
  <c r="U27" i="44"/>
  <c r="U28" i="44"/>
  <c r="U29" i="44"/>
  <c r="U30" i="44"/>
  <c r="U31" i="44"/>
  <c r="U32" i="44"/>
  <c r="U33" i="44"/>
  <c r="U34" i="44"/>
  <c r="U35" i="44"/>
  <c r="U36" i="44"/>
  <c r="U37" i="44"/>
  <c r="U38" i="44"/>
  <c r="U39" i="44"/>
  <c r="T14" i="44"/>
  <c r="U10" i="44"/>
  <c r="U9" i="44"/>
  <c r="L11" i="44"/>
  <c r="M11" i="44"/>
  <c r="N11" i="44"/>
  <c r="O11" i="44"/>
  <c r="D11" i="44"/>
  <c r="U15" i="43"/>
  <c r="U16" i="43"/>
  <c r="U17" i="43"/>
  <c r="U18" i="43"/>
  <c r="U19" i="43"/>
  <c r="U20" i="43"/>
  <c r="U21" i="43"/>
  <c r="U22" i="43"/>
  <c r="U23" i="43"/>
  <c r="U24" i="43"/>
  <c r="U25" i="43"/>
  <c r="U26" i="43"/>
  <c r="U27" i="43"/>
  <c r="U28" i="43"/>
  <c r="U29" i="43"/>
  <c r="U30" i="43"/>
  <c r="U31" i="43"/>
  <c r="U32" i="43"/>
  <c r="U33" i="43"/>
  <c r="U34" i="43"/>
  <c r="U35" i="43"/>
  <c r="U36" i="43"/>
  <c r="U37" i="43"/>
  <c r="U38" i="43"/>
  <c r="U39" i="43"/>
  <c r="D46" i="43"/>
  <c r="D44" i="43"/>
  <c r="D48" i="43"/>
  <c r="D11" i="43"/>
  <c r="S16" i="42"/>
  <c r="O11" i="42"/>
  <c r="B40" i="42"/>
  <c r="B48" i="42" s="1"/>
  <c r="B44" i="42"/>
  <c r="B46" i="42"/>
  <c r="B11" i="42"/>
  <c r="B44" i="41"/>
  <c r="B46" i="41"/>
  <c r="B40" i="41"/>
  <c r="S14" i="41"/>
  <c r="B11" i="41"/>
  <c r="C40" i="38"/>
  <c r="C48" i="38" s="1"/>
  <c r="C46" i="38"/>
  <c r="V15" i="38"/>
  <c r="V16" i="38"/>
  <c r="V17" i="38"/>
  <c r="V18" i="38"/>
  <c r="V19" i="38"/>
  <c r="V20" i="38"/>
  <c r="V21" i="38"/>
  <c r="V22" i="38"/>
  <c r="V23" i="38"/>
  <c r="V24" i="38"/>
  <c r="V25" i="38"/>
  <c r="V26" i="38"/>
  <c r="V27" i="38"/>
  <c r="V28" i="38"/>
  <c r="V29" i="38"/>
  <c r="V30" i="38"/>
  <c r="V31" i="38"/>
  <c r="V32" i="38"/>
  <c r="V33" i="38"/>
  <c r="V34" i="38"/>
  <c r="V35" i="38"/>
  <c r="V36" i="38"/>
  <c r="V37" i="38"/>
  <c r="V38" i="38"/>
  <c r="V39" i="38"/>
  <c r="V14" i="38"/>
  <c r="V10" i="38"/>
  <c r="C11" i="38"/>
  <c r="P15" i="37"/>
  <c r="P16" i="37"/>
  <c r="P17" i="37"/>
  <c r="P18" i="37"/>
  <c r="P19" i="37"/>
  <c r="P20" i="37"/>
  <c r="P21" i="37"/>
  <c r="P22" i="37"/>
  <c r="P23" i="37"/>
  <c r="P24" i="37"/>
  <c r="P25" i="37"/>
  <c r="P26" i="37"/>
  <c r="P27" i="37"/>
  <c r="P28" i="37"/>
  <c r="P29" i="37"/>
  <c r="P30" i="37"/>
  <c r="P31" i="37"/>
  <c r="P32" i="37"/>
  <c r="P33" i="37"/>
  <c r="P34" i="37"/>
  <c r="P35" i="37"/>
  <c r="P36" i="37"/>
  <c r="P37" i="37"/>
  <c r="P38" i="37"/>
  <c r="P39" i="37"/>
  <c r="P14" i="37"/>
  <c r="P10" i="37"/>
  <c r="P9" i="37"/>
  <c r="C44" i="37"/>
  <c r="C46" i="37"/>
  <c r="C40" i="37"/>
  <c r="C11" i="37"/>
  <c r="C40" i="35"/>
  <c r="C48" i="35" s="1"/>
  <c r="P15" i="35"/>
  <c r="P16" i="35"/>
  <c r="P17" i="35"/>
  <c r="P18" i="35"/>
  <c r="P19" i="35"/>
  <c r="P20" i="35"/>
  <c r="P21" i="35"/>
  <c r="P22" i="35"/>
  <c r="P23" i="35"/>
  <c r="P24" i="35"/>
  <c r="P25" i="35"/>
  <c r="P26" i="35"/>
  <c r="P27" i="35"/>
  <c r="P28" i="35"/>
  <c r="P29" i="35"/>
  <c r="P30" i="35"/>
  <c r="P31" i="35"/>
  <c r="P32" i="35"/>
  <c r="P33" i="35"/>
  <c r="P34" i="35"/>
  <c r="P35" i="35"/>
  <c r="P36" i="35"/>
  <c r="P37" i="35"/>
  <c r="P38" i="35"/>
  <c r="P39" i="35"/>
  <c r="P14" i="35"/>
  <c r="P10" i="35"/>
  <c r="P9" i="35"/>
  <c r="C44" i="35"/>
  <c r="C46" i="35"/>
  <c r="C11" i="35"/>
  <c r="D11" i="35"/>
  <c r="D40" i="35"/>
  <c r="D50" i="35" s="1"/>
  <c r="D44" i="35"/>
  <c r="D46" i="35"/>
  <c r="B40" i="32"/>
  <c r="C40" i="32"/>
  <c r="C48" i="32" s="1"/>
  <c r="P15" i="32"/>
  <c r="P16" i="32"/>
  <c r="P17" i="32"/>
  <c r="P18" i="32"/>
  <c r="P19" i="32"/>
  <c r="P20" i="32"/>
  <c r="P21" i="32"/>
  <c r="P22" i="32"/>
  <c r="P23" i="32"/>
  <c r="P24" i="32"/>
  <c r="P25" i="32"/>
  <c r="P26" i="32"/>
  <c r="P27" i="32"/>
  <c r="P28" i="32"/>
  <c r="P29" i="32"/>
  <c r="P30" i="32"/>
  <c r="P31" i="32"/>
  <c r="P32" i="32"/>
  <c r="P33" i="32"/>
  <c r="P34" i="32"/>
  <c r="P35" i="32"/>
  <c r="P36" i="32"/>
  <c r="P37" i="32"/>
  <c r="P38" i="32"/>
  <c r="P39" i="32"/>
  <c r="P14" i="32"/>
  <c r="T14" i="32" s="1"/>
  <c r="P10" i="32"/>
  <c r="P9" i="32"/>
  <c r="C44" i="32"/>
  <c r="C46" i="32"/>
  <c r="C50" i="32"/>
  <c r="C11" i="32"/>
  <c r="C42" i="32" s="1"/>
  <c r="V15" i="28"/>
  <c r="V16" i="28"/>
  <c r="V17" i="28"/>
  <c r="V18" i="28"/>
  <c r="V19" i="28"/>
  <c r="V20" i="28"/>
  <c r="V21" i="28"/>
  <c r="V22" i="28"/>
  <c r="V23" i="28"/>
  <c r="V24" i="28"/>
  <c r="V25" i="28"/>
  <c r="V26" i="28"/>
  <c r="V27" i="28"/>
  <c r="V28" i="28"/>
  <c r="V29" i="28"/>
  <c r="V30" i="28"/>
  <c r="V31" i="28"/>
  <c r="V32" i="28"/>
  <c r="V33" i="28"/>
  <c r="V34" i="28"/>
  <c r="V35" i="28"/>
  <c r="V36" i="28"/>
  <c r="V37" i="28"/>
  <c r="V38" i="28"/>
  <c r="V39" i="28"/>
  <c r="V10" i="28"/>
  <c r="V9" i="28"/>
  <c r="C40" i="28"/>
  <c r="C44" i="28"/>
  <c r="C46" i="28"/>
  <c r="C11" i="28"/>
  <c r="C40" i="33"/>
  <c r="C48" i="33" s="1"/>
  <c r="C44" i="33"/>
  <c r="C46" i="33"/>
  <c r="V15" i="33"/>
  <c r="V16" i="33"/>
  <c r="V17" i="33"/>
  <c r="V18" i="33"/>
  <c r="V19" i="33"/>
  <c r="V20" i="33"/>
  <c r="V21" i="33"/>
  <c r="V22" i="33"/>
  <c r="V23" i="33"/>
  <c r="V24" i="33"/>
  <c r="V25" i="33"/>
  <c r="V26" i="33"/>
  <c r="V27" i="33"/>
  <c r="V28" i="33"/>
  <c r="V29" i="33"/>
  <c r="V30" i="33"/>
  <c r="V31" i="33"/>
  <c r="V32" i="33"/>
  <c r="V33" i="33"/>
  <c r="V34" i="33"/>
  <c r="V35" i="33"/>
  <c r="V36" i="33"/>
  <c r="V37" i="33"/>
  <c r="V38" i="33"/>
  <c r="V39" i="33"/>
  <c r="V10" i="33"/>
  <c r="V9" i="33"/>
  <c r="C11" i="33"/>
  <c r="P14" i="25"/>
  <c r="P10" i="25"/>
  <c r="P9" i="25"/>
  <c r="C44" i="25"/>
  <c r="C46" i="25"/>
  <c r="C40" i="25"/>
  <c r="C48" i="25" s="1"/>
  <c r="C11" i="25"/>
  <c r="V15" i="26"/>
  <c r="V16" i="26"/>
  <c r="V17" i="26"/>
  <c r="V18" i="26"/>
  <c r="V19" i="26"/>
  <c r="V20" i="26"/>
  <c r="V21" i="26"/>
  <c r="V22" i="26"/>
  <c r="V23" i="26"/>
  <c r="V24" i="26"/>
  <c r="V25" i="26"/>
  <c r="V26" i="26"/>
  <c r="V27" i="26"/>
  <c r="V28" i="26"/>
  <c r="V29" i="26"/>
  <c r="V30" i="26"/>
  <c r="V31" i="26"/>
  <c r="V32" i="26"/>
  <c r="V33" i="26"/>
  <c r="V34" i="26"/>
  <c r="V35" i="26"/>
  <c r="V36" i="26"/>
  <c r="V37" i="26"/>
  <c r="V38" i="26"/>
  <c r="V39" i="26"/>
  <c r="V14" i="26"/>
  <c r="C44" i="26"/>
  <c r="C46" i="26"/>
  <c r="C40" i="26"/>
  <c r="C11" i="26"/>
  <c r="C40" i="24"/>
  <c r="C48" i="24" s="1"/>
  <c r="C11" i="24"/>
  <c r="C44" i="24"/>
  <c r="C46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14" i="24"/>
  <c r="P10" i="24"/>
  <c r="P9" i="24"/>
  <c r="C45" i="21"/>
  <c r="C47" i="21"/>
  <c r="C41" i="21"/>
  <c r="C49" i="21" s="1"/>
  <c r="C12" i="21"/>
  <c r="P16" i="21"/>
  <c r="P17" i="21"/>
  <c r="P18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P40" i="21"/>
  <c r="P15" i="21"/>
  <c r="P11" i="21"/>
  <c r="P10" i="21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17" i="20"/>
  <c r="P13" i="20"/>
  <c r="P12" i="20"/>
  <c r="C47" i="20"/>
  <c r="C49" i="20"/>
  <c r="C43" i="20"/>
  <c r="C51" i="20" s="1"/>
  <c r="Q42" i="14"/>
  <c r="D47" i="14"/>
  <c r="D49" i="14"/>
  <c r="D43" i="14"/>
  <c r="D51" i="14" s="1"/>
  <c r="D14" i="14"/>
  <c r="D14" i="8"/>
  <c r="D47" i="8"/>
  <c r="D49" i="8"/>
  <c r="D43" i="8"/>
  <c r="D53" i="8" s="1"/>
  <c r="W42" i="8"/>
  <c r="W13" i="8"/>
  <c r="P10" i="29"/>
  <c r="Q12" i="11"/>
  <c r="X19" i="22"/>
  <c r="X20" i="22"/>
  <c r="X21" i="22"/>
  <c r="X22" i="22"/>
  <c r="X23" i="22"/>
  <c r="X25" i="22"/>
  <c r="X30" i="22"/>
  <c r="X33" i="22"/>
  <c r="X34" i="22"/>
  <c r="X37" i="22"/>
  <c r="X38" i="22"/>
  <c r="X39" i="22"/>
  <c r="P18" i="29"/>
  <c r="P19" i="29"/>
  <c r="P20" i="29"/>
  <c r="P21" i="29"/>
  <c r="P24" i="29"/>
  <c r="P29" i="29"/>
  <c r="P31" i="29"/>
  <c r="P32" i="29"/>
  <c r="P33" i="29"/>
  <c r="P34" i="29"/>
  <c r="P36" i="29"/>
  <c r="P37" i="29"/>
  <c r="P38" i="29"/>
  <c r="P15" i="29"/>
  <c r="C40" i="29"/>
  <c r="P40" i="29" s="1"/>
  <c r="C39" i="29"/>
  <c r="P39" i="29" s="1"/>
  <c r="S38" i="29"/>
  <c r="C35" i="29"/>
  <c r="P35" i="29" s="1"/>
  <c r="S32" i="29"/>
  <c r="C30" i="29"/>
  <c r="S30" i="29" s="1"/>
  <c r="C28" i="29"/>
  <c r="P28" i="29" s="1"/>
  <c r="C27" i="29"/>
  <c r="C26" i="29"/>
  <c r="S26" i="29" s="1"/>
  <c r="C25" i="29"/>
  <c r="P25" i="29" s="1"/>
  <c r="S24" i="29"/>
  <c r="C23" i="29"/>
  <c r="C22" i="29"/>
  <c r="P22" i="29" s="1"/>
  <c r="S20" i="29"/>
  <c r="S18" i="29"/>
  <c r="C17" i="29"/>
  <c r="P17" i="29" s="1"/>
  <c r="C16" i="29"/>
  <c r="P16" i="29" s="1"/>
  <c r="C11" i="29"/>
  <c r="S11" i="29" s="1"/>
  <c r="C47" i="29"/>
  <c r="D49" i="11"/>
  <c r="D42" i="11"/>
  <c r="Q42" i="11" s="1"/>
  <c r="D13" i="11"/>
  <c r="Q13" i="11" s="1"/>
  <c r="D47" i="11"/>
  <c r="C41" i="22"/>
  <c r="C40" i="22"/>
  <c r="C36" i="22"/>
  <c r="T35" i="22"/>
  <c r="T32" i="22"/>
  <c r="C31" i="22"/>
  <c r="C29" i="22"/>
  <c r="C28" i="22"/>
  <c r="C27" i="22"/>
  <c r="C26" i="22"/>
  <c r="C24" i="22"/>
  <c r="C18" i="22"/>
  <c r="C17" i="22"/>
  <c r="C12" i="22"/>
  <c r="Q12" i="22" s="1"/>
  <c r="D12" i="22" s="1"/>
  <c r="C11" i="22"/>
  <c r="Q11" i="22" s="1"/>
  <c r="D11" i="22" s="1"/>
  <c r="T36" i="38"/>
  <c r="O11" i="53"/>
  <c r="Q43" i="18"/>
  <c r="M40" i="43"/>
  <c r="O40" i="28"/>
  <c r="S13" i="43"/>
  <c r="R10" i="42"/>
  <c r="R12" i="42"/>
  <c r="R13" i="42"/>
  <c r="R15" i="42"/>
  <c r="R17" i="42"/>
  <c r="R18" i="42"/>
  <c r="R19" i="42"/>
  <c r="R20" i="42"/>
  <c r="R21" i="42"/>
  <c r="R22" i="42"/>
  <c r="R23" i="42"/>
  <c r="R24" i="42"/>
  <c r="R25" i="42"/>
  <c r="R26" i="42"/>
  <c r="R27" i="42"/>
  <c r="R28" i="42"/>
  <c r="R29" i="42"/>
  <c r="R30" i="42"/>
  <c r="R31" i="42"/>
  <c r="R32" i="42"/>
  <c r="R33" i="42"/>
  <c r="R34" i="42"/>
  <c r="R35" i="42"/>
  <c r="R36" i="42"/>
  <c r="R37" i="42"/>
  <c r="R38" i="42"/>
  <c r="R39" i="42"/>
  <c r="R41" i="42"/>
  <c r="R43" i="42"/>
  <c r="R45" i="42"/>
  <c r="R47" i="42"/>
  <c r="R49" i="42"/>
  <c r="R51" i="42"/>
  <c r="R10" i="41"/>
  <c r="R12" i="41"/>
  <c r="R13" i="41"/>
  <c r="R15" i="41"/>
  <c r="R17" i="41"/>
  <c r="R18" i="41"/>
  <c r="R19" i="41"/>
  <c r="R20" i="41"/>
  <c r="R21" i="41"/>
  <c r="R22" i="41"/>
  <c r="R23" i="41"/>
  <c r="R24" i="41"/>
  <c r="R25" i="41"/>
  <c r="R26" i="41"/>
  <c r="R27" i="41"/>
  <c r="R28" i="41"/>
  <c r="R29" i="41"/>
  <c r="R30" i="41"/>
  <c r="R31" i="41"/>
  <c r="R32" i="41"/>
  <c r="R33" i="41"/>
  <c r="R34" i="41"/>
  <c r="R35" i="41"/>
  <c r="R36" i="41"/>
  <c r="R37" i="41"/>
  <c r="R38" i="41"/>
  <c r="R39" i="41"/>
  <c r="R41" i="41"/>
  <c r="T10" i="38"/>
  <c r="T12" i="38"/>
  <c r="T13" i="38"/>
  <c r="T15" i="38"/>
  <c r="T16" i="38"/>
  <c r="T18" i="38"/>
  <c r="T19" i="38"/>
  <c r="T20" i="38"/>
  <c r="T21" i="38"/>
  <c r="T22" i="38"/>
  <c r="T23" i="38"/>
  <c r="T24" i="38"/>
  <c r="T25" i="38"/>
  <c r="T26" i="38"/>
  <c r="T27" i="38"/>
  <c r="T28" i="38"/>
  <c r="T29" i="38"/>
  <c r="T30" i="38"/>
  <c r="T31" i="38"/>
  <c r="T32" i="38"/>
  <c r="T33" i="38"/>
  <c r="T34" i="38"/>
  <c r="T35" i="38"/>
  <c r="T37" i="38"/>
  <c r="T38" i="38"/>
  <c r="T39" i="38"/>
  <c r="T41" i="38"/>
  <c r="T43" i="38"/>
  <c r="T45" i="38"/>
  <c r="T47" i="38"/>
  <c r="T49" i="38"/>
  <c r="T51" i="38"/>
  <c r="S10" i="37"/>
  <c r="S12" i="37"/>
  <c r="S13" i="37"/>
  <c r="S15" i="37"/>
  <c r="S16" i="37"/>
  <c r="S17" i="37"/>
  <c r="S18" i="37"/>
  <c r="S19" i="37"/>
  <c r="S20" i="37"/>
  <c r="S21" i="37"/>
  <c r="S22" i="37"/>
  <c r="S23" i="37"/>
  <c r="S24" i="37"/>
  <c r="S25" i="37"/>
  <c r="S26" i="37"/>
  <c r="S27" i="37"/>
  <c r="S28" i="37"/>
  <c r="S29" i="37"/>
  <c r="S30" i="37"/>
  <c r="S31" i="37"/>
  <c r="S32" i="37"/>
  <c r="S33" i="37"/>
  <c r="S34" i="37"/>
  <c r="S35" i="37"/>
  <c r="S36" i="37"/>
  <c r="S37" i="37"/>
  <c r="S38" i="37"/>
  <c r="S39" i="37"/>
  <c r="S41" i="37"/>
  <c r="S45" i="37"/>
  <c r="S47" i="37"/>
  <c r="S49" i="37"/>
  <c r="S51" i="37"/>
  <c r="S10" i="35"/>
  <c r="S12" i="35"/>
  <c r="S13" i="35"/>
  <c r="S14" i="35"/>
  <c r="S15" i="35"/>
  <c r="S16" i="35"/>
  <c r="S17" i="35"/>
  <c r="S18" i="35"/>
  <c r="S19" i="35"/>
  <c r="S20" i="35"/>
  <c r="S21" i="35"/>
  <c r="S22" i="35"/>
  <c r="S23" i="35"/>
  <c r="S24" i="35"/>
  <c r="S25" i="35"/>
  <c r="S26" i="35"/>
  <c r="S27" i="35"/>
  <c r="S29" i="35"/>
  <c r="S30" i="35"/>
  <c r="S31" i="35"/>
  <c r="S32" i="35"/>
  <c r="S33" i="35"/>
  <c r="S34" i="35"/>
  <c r="S35" i="35"/>
  <c r="S36" i="35"/>
  <c r="S37" i="35"/>
  <c r="S38" i="35"/>
  <c r="S39" i="35"/>
  <c r="S41" i="35"/>
  <c r="S45" i="35"/>
  <c r="S47" i="35"/>
  <c r="S49" i="35"/>
  <c r="S51" i="35"/>
  <c r="S10" i="32"/>
  <c r="S12" i="32"/>
  <c r="S13" i="32"/>
  <c r="S15" i="32"/>
  <c r="S17" i="32"/>
  <c r="S18" i="32"/>
  <c r="S19" i="32"/>
  <c r="S20" i="32"/>
  <c r="S21" i="32"/>
  <c r="S22" i="32"/>
  <c r="S23" i="32"/>
  <c r="S24" i="32"/>
  <c r="S25" i="32"/>
  <c r="S26" i="32"/>
  <c r="S27" i="32"/>
  <c r="S28" i="32"/>
  <c r="S29" i="32"/>
  <c r="S30" i="32"/>
  <c r="S31" i="32"/>
  <c r="S32" i="32"/>
  <c r="S33" i="32"/>
  <c r="S34" i="32"/>
  <c r="S35" i="32"/>
  <c r="S36" i="32"/>
  <c r="S37" i="32"/>
  <c r="S38" i="32"/>
  <c r="S39" i="32"/>
  <c r="S41" i="32"/>
  <c r="S43" i="32"/>
  <c r="S45" i="32"/>
  <c r="S47" i="32"/>
  <c r="S49" i="32"/>
  <c r="S51" i="32"/>
  <c r="T10" i="28"/>
  <c r="T12" i="28"/>
  <c r="T13" i="28"/>
  <c r="T15" i="28"/>
  <c r="T16" i="28"/>
  <c r="T17" i="28"/>
  <c r="T18" i="28"/>
  <c r="T19" i="28"/>
  <c r="T20" i="28"/>
  <c r="T21" i="28"/>
  <c r="T22" i="28"/>
  <c r="T23" i="28"/>
  <c r="T24" i="28"/>
  <c r="T25" i="28"/>
  <c r="T26" i="28"/>
  <c r="T27" i="28"/>
  <c r="T28" i="28"/>
  <c r="T29" i="28"/>
  <c r="T30" i="28"/>
  <c r="T31" i="28"/>
  <c r="T32" i="28"/>
  <c r="T33" i="28"/>
  <c r="T34" i="28"/>
  <c r="T35" i="28"/>
  <c r="T36" i="28"/>
  <c r="T37" i="28"/>
  <c r="T38" i="28"/>
  <c r="T39" i="28"/>
  <c r="T41" i="28"/>
  <c r="T43" i="28"/>
  <c r="T45" i="28"/>
  <c r="T47" i="28"/>
  <c r="T49" i="28"/>
  <c r="T51" i="28"/>
  <c r="T10" i="33"/>
  <c r="T12" i="33"/>
  <c r="T13" i="33"/>
  <c r="T15" i="33"/>
  <c r="T16" i="33"/>
  <c r="T17" i="33"/>
  <c r="T18" i="33"/>
  <c r="T19" i="33"/>
  <c r="T20" i="33"/>
  <c r="T21" i="33"/>
  <c r="T22" i="33"/>
  <c r="T23" i="33"/>
  <c r="T24" i="33"/>
  <c r="T25" i="33"/>
  <c r="T26" i="33"/>
  <c r="T27" i="33"/>
  <c r="T28" i="33"/>
  <c r="T29" i="33"/>
  <c r="T30" i="33"/>
  <c r="T31" i="33"/>
  <c r="T32" i="33"/>
  <c r="T33" i="33"/>
  <c r="T34" i="33"/>
  <c r="T35" i="33"/>
  <c r="T36" i="33"/>
  <c r="T37" i="33"/>
  <c r="T38" i="33"/>
  <c r="T39" i="33"/>
  <c r="T41" i="33"/>
  <c r="T43" i="33"/>
  <c r="T45" i="33"/>
  <c r="T47" i="33"/>
  <c r="T49" i="33"/>
  <c r="T51" i="33"/>
  <c r="T10" i="26"/>
  <c r="T12" i="26"/>
  <c r="T13" i="26"/>
  <c r="T14" i="26"/>
  <c r="T15" i="26"/>
  <c r="T16" i="26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0" i="26"/>
  <c r="T31" i="26"/>
  <c r="T32" i="26"/>
  <c r="T33" i="26"/>
  <c r="T34" i="26"/>
  <c r="T35" i="26"/>
  <c r="T36" i="26"/>
  <c r="T37" i="26"/>
  <c r="T38" i="26"/>
  <c r="T39" i="26"/>
  <c r="T41" i="26"/>
  <c r="T43" i="26"/>
  <c r="T45" i="26"/>
  <c r="T47" i="26"/>
  <c r="T49" i="26"/>
  <c r="T51" i="26"/>
  <c r="S10" i="24"/>
  <c r="S12" i="24"/>
  <c r="S13" i="24"/>
  <c r="S15" i="24"/>
  <c r="S16" i="24"/>
  <c r="S17" i="24"/>
  <c r="S18" i="24"/>
  <c r="S19" i="24"/>
  <c r="S20" i="24"/>
  <c r="S21" i="24"/>
  <c r="S22" i="24"/>
  <c r="S23" i="24"/>
  <c r="S24" i="24"/>
  <c r="S25" i="24"/>
  <c r="S26" i="24"/>
  <c r="S27" i="24"/>
  <c r="S28" i="24"/>
  <c r="S29" i="24"/>
  <c r="S30" i="24"/>
  <c r="S31" i="24"/>
  <c r="S32" i="24"/>
  <c r="S33" i="24"/>
  <c r="S34" i="24"/>
  <c r="S35" i="24"/>
  <c r="S36" i="24"/>
  <c r="S37" i="24"/>
  <c r="S38" i="24"/>
  <c r="S39" i="24"/>
  <c r="S41" i="24"/>
  <c r="S43" i="24"/>
  <c r="S45" i="24"/>
  <c r="S47" i="24"/>
  <c r="S49" i="24"/>
  <c r="S51" i="24"/>
  <c r="S11" i="21"/>
  <c r="S13" i="21"/>
  <c r="S14" i="21"/>
  <c r="S16" i="21"/>
  <c r="S17" i="21"/>
  <c r="S18" i="21"/>
  <c r="S19" i="21"/>
  <c r="S20" i="21"/>
  <c r="S21" i="21"/>
  <c r="S22" i="21"/>
  <c r="S23" i="21"/>
  <c r="S24" i="21"/>
  <c r="S25" i="21"/>
  <c r="S26" i="21"/>
  <c r="S27" i="21"/>
  <c r="S28" i="21"/>
  <c r="S29" i="21"/>
  <c r="S30" i="21"/>
  <c r="S31" i="21"/>
  <c r="S32" i="21"/>
  <c r="S33" i="21"/>
  <c r="S34" i="21"/>
  <c r="S35" i="21"/>
  <c r="S36" i="21"/>
  <c r="S37" i="21"/>
  <c r="S38" i="21"/>
  <c r="S39" i="21"/>
  <c r="S40" i="21"/>
  <c r="S42" i="21"/>
  <c r="S46" i="21"/>
  <c r="S48" i="21"/>
  <c r="S50" i="21"/>
  <c r="S52" i="21"/>
  <c r="S13" i="20"/>
  <c r="S15" i="20"/>
  <c r="S16" i="20"/>
  <c r="S18" i="20"/>
  <c r="S19" i="20"/>
  <c r="S20" i="20"/>
  <c r="S21" i="20"/>
  <c r="S22" i="20"/>
  <c r="S23" i="20"/>
  <c r="S24" i="20"/>
  <c r="S25" i="20"/>
  <c r="S26" i="20"/>
  <c r="S27" i="20"/>
  <c r="S28" i="20"/>
  <c r="S29" i="20"/>
  <c r="S30" i="20"/>
  <c r="S31" i="20"/>
  <c r="S32" i="20"/>
  <c r="S33" i="20"/>
  <c r="S34" i="20"/>
  <c r="S35" i="20"/>
  <c r="S36" i="20"/>
  <c r="S37" i="20"/>
  <c r="S38" i="20"/>
  <c r="S39" i="20"/>
  <c r="S40" i="20"/>
  <c r="S41" i="20"/>
  <c r="S42" i="20"/>
  <c r="S44" i="20"/>
  <c r="S46" i="20"/>
  <c r="S48" i="20"/>
  <c r="S50" i="20"/>
  <c r="S52" i="20"/>
  <c r="S54" i="20"/>
  <c r="T15" i="14"/>
  <c r="T16" i="14"/>
  <c r="T42" i="14"/>
  <c r="T44" i="14"/>
  <c r="T46" i="14"/>
  <c r="T48" i="14"/>
  <c r="T50" i="14"/>
  <c r="T52" i="14"/>
  <c r="T54" i="14"/>
  <c r="S13" i="29"/>
  <c r="S14" i="29"/>
  <c r="S19" i="29"/>
  <c r="S21" i="29"/>
  <c r="S22" i="29"/>
  <c r="S31" i="29"/>
  <c r="S33" i="29"/>
  <c r="S34" i="29"/>
  <c r="S36" i="29"/>
  <c r="S37" i="29"/>
  <c r="S39" i="29"/>
  <c r="S40" i="29"/>
  <c r="S42" i="29"/>
  <c r="S46" i="29"/>
  <c r="S48" i="29"/>
  <c r="S50" i="29"/>
  <c r="S52" i="29"/>
  <c r="T15" i="11"/>
  <c r="T16" i="11"/>
  <c r="T42" i="11"/>
  <c r="T44" i="11"/>
  <c r="T46" i="11"/>
  <c r="T48" i="11"/>
  <c r="T50" i="11"/>
  <c r="T52" i="11"/>
  <c r="T54" i="11"/>
  <c r="T17" i="22" l="1"/>
  <c r="Q17" i="22"/>
  <c r="T29" i="22"/>
  <c r="Q29" i="22"/>
  <c r="T41" i="22"/>
  <c r="Q41" i="22"/>
  <c r="T18" i="22"/>
  <c r="Q18" i="22"/>
  <c r="T31" i="22"/>
  <c r="Q31" i="22"/>
  <c r="P46" i="52"/>
  <c r="U47" i="52" s="1"/>
  <c r="T24" i="22"/>
  <c r="Q24" i="22"/>
  <c r="T26" i="22"/>
  <c r="Q26" i="22"/>
  <c r="D13" i="22"/>
  <c r="D46" i="22"/>
  <c r="D48" i="22"/>
  <c r="T27" i="22"/>
  <c r="Q27" i="22"/>
  <c r="T36" i="22"/>
  <c r="Q36" i="22"/>
  <c r="T28" i="22"/>
  <c r="Q28" i="22"/>
  <c r="T40" i="22"/>
  <c r="Q40" i="22"/>
  <c r="O42" i="56"/>
  <c r="O50" i="56"/>
  <c r="O48" i="56"/>
  <c r="T22" i="52"/>
  <c r="U23" i="52"/>
  <c r="T14" i="50"/>
  <c r="U14" i="50"/>
  <c r="U11" i="47"/>
  <c r="O49" i="48"/>
  <c r="O43" i="48"/>
  <c r="M49" i="48"/>
  <c r="M43" i="48"/>
  <c r="K49" i="48"/>
  <c r="K43" i="48"/>
  <c r="M42" i="44"/>
  <c r="O48" i="44"/>
  <c r="O50" i="44"/>
  <c r="O57" i="44" s="1"/>
  <c r="L42" i="44"/>
  <c r="M50" i="44"/>
  <c r="M48" i="44"/>
  <c r="M57" i="44" s="1"/>
  <c r="O42" i="44"/>
  <c r="V9" i="38"/>
  <c r="U14" i="28"/>
  <c r="V14" i="28"/>
  <c r="U14" i="33"/>
  <c r="R14" i="26"/>
  <c r="V10" i="26"/>
  <c r="N49" i="48"/>
  <c r="N43" i="48"/>
  <c r="N48" i="44"/>
  <c r="N50" i="44"/>
  <c r="N42" i="44"/>
  <c r="N48" i="50"/>
  <c r="L49" i="48"/>
  <c r="L43" i="48"/>
  <c r="L48" i="44"/>
  <c r="L50" i="44"/>
  <c r="Q11" i="33"/>
  <c r="N51" i="48"/>
  <c r="S17" i="29"/>
  <c r="K51" i="48"/>
  <c r="L42" i="53"/>
  <c r="M51" i="48"/>
  <c r="L51" i="48"/>
  <c r="M42" i="53"/>
  <c r="S16" i="29"/>
  <c r="P40" i="44"/>
  <c r="U40" i="44" s="1"/>
  <c r="S25" i="29"/>
  <c r="O51" i="48"/>
  <c r="L42" i="50"/>
  <c r="K42" i="52"/>
  <c r="J51" i="48"/>
  <c r="J49" i="48"/>
  <c r="J43" i="48"/>
  <c r="N42" i="52"/>
  <c r="Q13" i="22"/>
  <c r="C42" i="33"/>
  <c r="Q11" i="28"/>
  <c r="P11" i="37"/>
  <c r="K42" i="53"/>
  <c r="K50" i="53"/>
  <c r="K57" i="53" s="1"/>
  <c r="N42" i="50"/>
  <c r="I42" i="50"/>
  <c r="H50" i="53"/>
  <c r="H57" i="53" s="1"/>
  <c r="H42" i="53"/>
  <c r="H52" i="53" s="1"/>
  <c r="G48" i="53"/>
  <c r="G57" i="53" s="1"/>
  <c r="G42" i="53"/>
  <c r="B42" i="41"/>
  <c r="R46" i="51"/>
  <c r="R14" i="18"/>
  <c r="K52" i="56"/>
  <c r="P14" i="20"/>
  <c r="P11" i="32"/>
  <c r="S44" i="55"/>
  <c r="S28" i="29"/>
  <c r="O11" i="46"/>
  <c r="J52" i="56"/>
  <c r="J59" i="56" s="1"/>
  <c r="D45" i="8"/>
  <c r="D43" i="47"/>
  <c r="B42" i="51"/>
  <c r="R11" i="51"/>
  <c r="R40" i="51"/>
  <c r="S11" i="52"/>
  <c r="B52" i="52"/>
  <c r="S46" i="52"/>
  <c r="T15" i="55"/>
  <c r="T21" i="55"/>
  <c r="T27" i="55"/>
  <c r="T33" i="55"/>
  <c r="T39" i="55"/>
  <c r="T13" i="11"/>
  <c r="C42" i="28"/>
  <c r="C42" i="37"/>
  <c r="C50" i="38"/>
  <c r="C57" i="38" s="1"/>
  <c r="O11" i="45"/>
  <c r="C48" i="46"/>
  <c r="D42" i="50"/>
  <c r="R44" i="51"/>
  <c r="T16" i="55"/>
  <c r="T22" i="55"/>
  <c r="T28" i="55"/>
  <c r="T34" i="55"/>
  <c r="S40" i="55"/>
  <c r="D52" i="56"/>
  <c r="R48" i="56"/>
  <c r="C42" i="38"/>
  <c r="T17" i="55"/>
  <c r="T23" i="55"/>
  <c r="T29" i="55"/>
  <c r="T35" i="55"/>
  <c r="D51" i="8"/>
  <c r="C42" i="24"/>
  <c r="N50" i="46"/>
  <c r="T18" i="55"/>
  <c r="T24" i="55"/>
  <c r="T30" i="55"/>
  <c r="T36" i="55"/>
  <c r="S46" i="55"/>
  <c r="P11" i="24"/>
  <c r="S40" i="52"/>
  <c r="S11" i="55"/>
  <c r="T19" i="55"/>
  <c r="T25" i="55"/>
  <c r="T31" i="55"/>
  <c r="T37" i="55"/>
  <c r="R42" i="56"/>
  <c r="C52" i="56"/>
  <c r="E52" i="56"/>
  <c r="S40" i="56"/>
  <c r="D14" i="11"/>
  <c r="P11" i="25"/>
  <c r="T9" i="25"/>
  <c r="D42" i="45"/>
  <c r="T14" i="55"/>
  <c r="T20" i="55"/>
  <c r="T26" i="55"/>
  <c r="T32" i="55"/>
  <c r="T38" i="55"/>
  <c r="R50" i="56"/>
  <c r="J42" i="52"/>
  <c r="T26" i="52"/>
  <c r="S14" i="51"/>
  <c r="O40" i="51"/>
  <c r="T24" i="52"/>
  <c r="F42" i="53"/>
  <c r="U41" i="52"/>
  <c r="E42" i="52"/>
  <c r="E48" i="52"/>
  <c r="E42" i="53"/>
  <c r="S25" i="51"/>
  <c r="S31" i="51"/>
  <c r="S37" i="51"/>
  <c r="S35" i="51"/>
  <c r="J42" i="51"/>
  <c r="I42" i="52"/>
  <c r="T14" i="35"/>
  <c r="T12" i="22"/>
  <c r="X29" i="22"/>
  <c r="X41" i="22"/>
  <c r="X28" i="22"/>
  <c r="X32" i="22"/>
  <c r="X26" i="22"/>
  <c r="X35" i="22"/>
  <c r="C48" i="22"/>
  <c r="T11" i="22"/>
  <c r="V11" i="22" s="1"/>
  <c r="X27" i="22"/>
  <c r="D51" i="18"/>
  <c r="D61" i="18" s="1"/>
  <c r="S35" i="29"/>
  <c r="P26" i="29"/>
  <c r="D53" i="14"/>
  <c r="D61" i="14" s="1"/>
  <c r="P43" i="20"/>
  <c r="C50" i="24"/>
  <c r="C57" i="24" s="1"/>
  <c r="Q36" i="37"/>
  <c r="Q28" i="37"/>
  <c r="P40" i="37"/>
  <c r="Q40" i="37" s="1"/>
  <c r="Q20" i="37"/>
  <c r="O11" i="41"/>
  <c r="C42" i="51"/>
  <c r="T21" i="52"/>
  <c r="M48" i="53"/>
  <c r="Q34" i="37"/>
  <c r="O44" i="45"/>
  <c r="P11" i="35"/>
  <c r="Q35" i="37"/>
  <c r="Q27" i="37"/>
  <c r="Q19" i="37"/>
  <c r="Q33" i="37"/>
  <c r="Q14" i="11"/>
  <c r="Q14" i="37"/>
  <c r="Q32" i="37"/>
  <c r="Q24" i="37"/>
  <c r="Q16" i="37"/>
  <c r="J50" i="46"/>
  <c r="D42" i="51"/>
  <c r="T15" i="52"/>
  <c r="T27" i="52"/>
  <c r="F48" i="53"/>
  <c r="F57" i="53" s="1"/>
  <c r="P40" i="32"/>
  <c r="Q26" i="37"/>
  <c r="C53" i="20"/>
  <c r="C61" i="20" s="1"/>
  <c r="Q39" i="37"/>
  <c r="Q31" i="37"/>
  <c r="Q23" i="37"/>
  <c r="Q15" i="37"/>
  <c r="D48" i="45"/>
  <c r="D57" i="45" s="1"/>
  <c r="E48" i="53"/>
  <c r="Q18" i="37"/>
  <c r="Q17" i="37"/>
  <c r="P30" i="29"/>
  <c r="Q38" i="37"/>
  <c r="Q30" i="37"/>
  <c r="Q22" i="37"/>
  <c r="H42" i="52"/>
  <c r="Q25" i="37"/>
  <c r="Q37" i="37"/>
  <c r="Q29" i="37"/>
  <c r="Q21" i="37"/>
  <c r="K42" i="46"/>
  <c r="G52" i="56"/>
  <c r="G59" i="56" s="1"/>
  <c r="D55" i="8"/>
  <c r="X17" i="22"/>
  <c r="X40" i="22"/>
  <c r="P27" i="29"/>
  <c r="S27" i="29"/>
  <c r="X31" i="22"/>
  <c r="P23" i="29"/>
  <c r="S23" i="29"/>
  <c r="P11" i="29"/>
  <c r="C45" i="20"/>
  <c r="C55" i="20" s="1"/>
  <c r="C50" i="35"/>
  <c r="C58" i="35" s="1"/>
  <c r="C50" i="37"/>
  <c r="H48" i="45"/>
  <c r="H57" i="45" s="1"/>
  <c r="L50" i="46"/>
  <c r="L57" i="46" s="1"/>
  <c r="K48" i="46"/>
  <c r="K52" i="46" s="1"/>
  <c r="M42" i="46"/>
  <c r="J51" i="47"/>
  <c r="J49" i="47"/>
  <c r="N50" i="50"/>
  <c r="M48" i="46"/>
  <c r="M57" i="46" s="1"/>
  <c r="L51" i="47"/>
  <c r="L58" i="47" s="1"/>
  <c r="L43" i="47"/>
  <c r="C50" i="33"/>
  <c r="C52" i="33" s="1"/>
  <c r="C48" i="37"/>
  <c r="D42" i="44"/>
  <c r="O46" i="45"/>
  <c r="J48" i="45"/>
  <c r="J57" i="45" s="1"/>
  <c r="J48" i="46"/>
  <c r="L42" i="46"/>
  <c r="O51" i="47"/>
  <c r="O49" i="47"/>
  <c r="I50" i="50"/>
  <c r="I57" i="50" s="1"/>
  <c r="S16" i="51"/>
  <c r="S22" i="51"/>
  <c r="S28" i="51"/>
  <c r="S34" i="51"/>
  <c r="E50" i="52"/>
  <c r="D45" i="14"/>
  <c r="N57" i="46"/>
  <c r="N51" i="47"/>
  <c r="N49" i="47"/>
  <c r="N43" i="47"/>
  <c r="O42" i="50"/>
  <c r="H42" i="50"/>
  <c r="L42" i="51"/>
  <c r="G50" i="52"/>
  <c r="G57" i="52" s="1"/>
  <c r="P12" i="21"/>
  <c r="C57" i="32"/>
  <c r="M51" i="47"/>
  <c r="M49" i="47"/>
  <c r="S10" i="51"/>
  <c r="S20" i="51"/>
  <c r="S26" i="51"/>
  <c r="S32" i="51"/>
  <c r="S38" i="51"/>
  <c r="T39" i="52"/>
  <c r="H48" i="52"/>
  <c r="H57" i="52" s="1"/>
  <c r="K50" i="52"/>
  <c r="K57" i="52" s="1"/>
  <c r="G57" i="55"/>
  <c r="D45" i="18"/>
  <c r="D55" i="18" s="1"/>
  <c r="D62" i="6"/>
  <c r="D45" i="6"/>
  <c r="D55" i="6" s="1"/>
  <c r="M50" i="52"/>
  <c r="M57" i="52" s="1"/>
  <c r="N52" i="56"/>
  <c r="N59" i="56" s="1"/>
  <c r="C42" i="35"/>
  <c r="E48" i="45"/>
  <c r="E57" i="45" s="1"/>
  <c r="N42" i="46"/>
  <c r="N52" i="46" s="1"/>
  <c r="K51" i="47"/>
  <c r="K49" i="47"/>
  <c r="K43" i="47"/>
  <c r="S18" i="51"/>
  <c r="S24" i="51"/>
  <c r="S30" i="51"/>
  <c r="S36" i="51"/>
  <c r="O44" i="51"/>
  <c r="G42" i="52"/>
  <c r="M42" i="52"/>
  <c r="T34" i="52"/>
  <c r="T37" i="52"/>
  <c r="N48" i="52"/>
  <c r="L48" i="53"/>
  <c r="J42" i="53"/>
  <c r="T17" i="52"/>
  <c r="D43" i="48"/>
  <c r="D51" i="48"/>
  <c r="D49" i="48"/>
  <c r="T25" i="52"/>
  <c r="T19" i="52"/>
  <c r="T18" i="52"/>
  <c r="D42" i="53"/>
  <c r="O46" i="51"/>
  <c r="D48" i="35"/>
  <c r="D58" i="35" s="1"/>
  <c r="D49" i="47"/>
  <c r="D51" i="47"/>
  <c r="C50" i="46"/>
  <c r="C42" i="46"/>
  <c r="D48" i="44"/>
  <c r="D50" i="44"/>
  <c r="D50" i="50"/>
  <c r="C57" i="56"/>
  <c r="D59" i="56"/>
  <c r="K59" i="56"/>
  <c r="I52" i="56"/>
  <c r="I59" i="56" s="1"/>
  <c r="H52" i="56"/>
  <c r="H59" i="56" s="1"/>
  <c r="M52" i="56"/>
  <c r="M59" i="56" s="1"/>
  <c r="F52" i="56"/>
  <c r="F59" i="56" s="1"/>
  <c r="L52" i="56"/>
  <c r="L59" i="56" s="1"/>
  <c r="Q40" i="28"/>
  <c r="V40" i="28" s="1"/>
  <c r="X18" i="22"/>
  <c r="X36" i="22"/>
  <c r="X24" i="22"/>
  <c r="I57" i="55"/>
  <c r="O57" i="55"/>
  <c r="N57" i="55"/>
  <c r="F57" i="55"/>
  <c r="L57" i="55"/>
  <c r="D57" i="55"/>
  <c r="J57" i="55"/>
  <c r="J48" i="53"/>
  <c r="J57" i="53" s="1"/>
  <c r="D48" i="53"/>
  <c r="I48" i="53"/>
  <c r="I57" i="53" s="1"/>
  <c r="M57" i="53"/>
  <c r="I42" i="53"/>
  <c r="U40" i="53"/>
  <c r="T36" i="52"/>
  <c r="T30" i="52"/>
  <c r="T28" i="52"/>
  <c r="T35" i="52"/>
  <c r="T33" i="52"/>
  <c r="T31" i="52"/>
  <c r="T16" i="52"/>
  <c r="T23" i="52"/>
  <c r="T32" i="52"/>
  <c r="T20" i="52"/>
  <c r="T29" i="52"/>
  <c r="T38" i="52"/>
  <c r="T14" i="52"/>
  <c r="T10" i="52"/>
  <c r="O42" i="52"/>
  <c r="Q21" i="52"/>
  <c r="T9" i="52"/>
  <c r="F42" i="52"/>
  <c r="L42" i="52"/>
  <c r="I48" i="52"/>
  <c r="O48" i="52"/>
  <c r="J48" i="52"/>
  <c r="J57" i="52" s="1"/>
  <c r="B57" i="52"/>
  <c r="I50" i="52"/>
  <c r="O50" i="52"/>
  <c r="F48" i="52"/>
  <c r="F57" i="52" s="1"/>
  <c r="L48" i="52"/>
  <c r="L57" i="52" s="1"/>
  <c r="S19" i="51"/>
  <c r="O11" i="51"/>
  <c r="S9" i="51"/>
  <c r="J50" i="51"/>
  <c r="E42" i="51"/>
  <c r="K42" i="51"/>
  <c r="E48" i="51"/>
  <c r="E57" i="51" s="1"/>
  <c r="K48" i="51"/>
  <c r="K57" i="51" s="1"/>
  <c r="D48" i="51"/>
  <c r="D50" i="51"/>
  <c r="R50" i="51" s="1"/>
  <c r="F42" i="51"/>
  <c r="F48" i="51"/>
  <c r="F57" i="51" s="1"/>
  <c r="L48" i="51"/>
  <c r="L57" i="51" s="1"/>
  <c r="J48" i="51"/>
  <c r="G42" i="51"/>
  <c r="M42" i="51"/>
  <c r="G48" i="51"/>
  <c r="G57" i="51" s="1"/>
  <c r="M48" i="51"/>
  <c r="M57" i="51" s="1"/>
  <c r="B57" i="51"/>
  <c r="H48" i="51"/>
  <c r="H52" i="51" s="1"/>
  <c r="N48" i="51"/>
  <c r="N57" i="51" s="1"/>
  <c r="C48" i="51"/>
  <c r="I48" i="51"/>
  <c r="I57" i="51" s="1"/>
  <c r="U40" i="50"/>
  <c r="J42" i="50"/>
  <c r="O48" i="50"/>
  <c r="O57" i="50" s="1"/>
  <c r="K48" i="50"/>
  <c r="K57" i="50" s="1"/>
  <c r="M42" i="50"/>
  <c r="J48" i="50"/>
  <c r="J57" i="50" s="1"/>
  <c r="M50" i="50"/>
  <c r="H48" i="50"/>
  <c r="H57" i="50" s="1"/>
  <c r="K42" i="50"/>
  <c r="L50" i="50"/>
  <c r="O40" i="46"/>
  <c r="M52" i="46"/>
  <c r="K57" i="46"/>
  <c r="P41" i="48"/>
  <c r="U41" i="48" s="1"/>
  <c r="O40" i="45"/>
  <c r="B48" i="45"/>
  <c r="B57" i="45" s="1"/>
  <c r="E42" i="45"/>
  <c r="G50" i="45"/>
  <c r="G57" i="45" s="1"/>
  <c r="F42" i="45"/>
  <c r="F48" i="45"/>
  <c r="F57" i="45" s="1"/>
  <c r="J42" i="45"/>
  <c r="G42" i="45"/>
  <c r="C50" i="45"/>
  <c r="C57" i="45" s="1"/>
  <c r="I50" i="45"/>
  <c r="I57" i="45" s="1"/>
  <c r="B42" i="45"/>
  <c r="H42" i="45"/>
  <c r="C42" i="45"/>
  <c r="I42" i="45"/>
  <c r="P40" i="43"/>
  <c r="U40" i="43" s="1"/>
  <c r="D50" i="43"/>
  <c r="D42" i="43"/>
  <c r="B42" i="42"/>
  <c r="B50" i="42"/>
  <c r="B58" i="42" s="1"/>
  <c r="B50" i="41"/>
  <c r="B48" i="41"/>
  <c r="O40" i="41"/>
  <c r="V40" i="38"/>
  <c r="P40" i="35"/>
  <c r="D42" i="35"/>
  <c r="C52" i="32"/>
  <c r="C59" i="32" s="1"/>
  <c r="C48" i="28"/>
  <c r="C50" i="28"/>
  <c r="C57" i="33"/>
  <c r="Q40" i="33"/>
  <c r="V40" i="33" s="1"/>
  <c r="C50" i="25"/>
  <c r="C42" i="25"/>
  <c r="Q40" i="26"/>
  <c r="V40" i="26" s="1"/>
  <c r="C50" i="26"/>
  <c r="C48" i="26"/>
  <c r="C42" i="26"/>
  <c r="C52" i="24"/>
  <c r="P41" i="21"/>
  <c r="C51" i="21"/>
  <c r="C43" i="21"/>
  <c r="D61" i="8"/>
  <c r="C41" i="29"/>
  <c r="C51" i="29" s="1"/>
  <c r="C45" i="29"/>
  <c r="C12" i="29"/>
  <c r="D43" i="11"/>
  <c r="D51" i="11" s="1"/>
  <c r="C42" i="22"/>
  <c r="C50" i="22" s="1"/>
  <c r="C46" i="22"/>
  <c r="C13" i="22"/>
  <c r="S51" i="53"/>
  <c r="T51" i="53" s="1"/>
  <c r="S49" i="53"/>
  <c r="T49" i="53" s="1"/>
  <c r="S47" i="53"/>
  <c r="T47" i="53" s="1"/>
  <c r="O46" i="53"/>
  <c r="N46" i="53"/>
  <c r="B46" i="53"/>
  <c r="S45" i="53"/>
  <c r="T45" i="53" s="1"/>
  <c r="O44" i="53"/>
  <c r="N44" i="53"/>
  <c r="P44" i="53" s="1"/>
  <c r="B44" i="53"/>
  <c r="S43" i="53"/>
  <c r="T43" i="53" s="1"/>
  <c r="S41" i="53"/>
  <c r="T41" i="53" s="1"/>
  <c r="O40" i="53"/>
  <c r="N40" i="53"/>
  <c r="N48" i="53" s="1"/>
  <c r="B48" i="53"/>
  <c r="S39" i="53"/>
  <c r="S38" i="53"/>
  <c r="T38" i="53" s="1"/>
  <c r="S37" i="53"/>
  <c r="S36" i="53"/>
  <c r="S35" i="53"/>
  <c r="S34" i="53"/>
  <c r="S33" i="53"/>
  <c r="S32" i="53"/>
  <c r="S31" i="53"/>
  <c r="S30" i="53"/>
  <c r="S29" i="53"/>
  <c r="S28" i="53"/>
  <c r="S27" i="53"/>
  <c r="S26" i="53"/>
  <c r="S25" i="53"/>
  <c r="S24" i="53"/>
  <c r="S23" i="53"/>
  <c r="S22" i="53"/>
  <c r="S21" i="53"/>
  <c r="S20" i="53"/>
  <c r="S19" i="53"/>
  <c r="S18" i="53"/>
  <c r="S17" i="53"/>
  <c r="S16" i="53"/>
  <c r="T16" i="53" s="1"/>
  <c r="S15" i="53"/>
  <c r="S13" i="53"/>
  <c r="T13" i="53" s="1"/>
  <c r="S12" i="53"/>
  <c r="T12" i="53" s="1"/>
  <c r="N11" i="53"/>
  <c r="B11" i="53"/>
  <c r="S10" i="53"/>
  <c r="T10" i="53" s="1"/>
  <c r="D44" i="22" l="1"/>
  <c r="D54" i="22" s="1"/>
  <c r="D60" i="22"/>
  <c r="D62" i="22" s="1"/>
  <c r="P46" i="53"/>
  <c r="Q42" i="22"/>
  <c r="M58" i="48"/>
  <c r="O52" i="56"/>
  <c r="D57" i="53"/>
  <c r="P42" i="52"/>
  <c r="P50" i="52"/>
  <c r="P48" i="52"/>
  <c r="U49" i="52" s="1"/>
  <c r="L52" i="50"/>
  <c r="D57" i="50"/>
  <c r="M53" i="48"/>
  <c r="N53" i="48"/>
  <c r="L57" i="44"/>
  <c r="N57" i="44"/>
  <c r="M52" i="44"/>
  <c r="M59" i="44" s="1"/>
  <c r="Q19" i="50"/>
  <c r="K53" i="48"/>
  <c r="M60" i="48"/>
  <c r="J53" i="48"/>
  <c r="J60" i="48" s="1"/>
  <c r="O53" i="48"/>
  <c r="J58" i="48"/>
  <c r="K58" i="48"/>
  <c r="N52" i="44"/>
  <c r="N59" i="44" s="1"/>
  <c r="O52" i="44"/>
  <c r="O59" i="44" s="1"/>
  <c r="O58" i="48"/>
  <c r="O60" i="48" s="1"/>
  <c r="N52" i="52"/>
  <c r="N58" i="48"/>
  <c r="N57" i="50"/>
  <c r="M52" i="53"/>
  <c r="M59" i="53" s="1"/>
  <c r="L53" i="48"/>
  <c r="L52" i="44"/>
  <c r="L59" i="44" s="1"/>
  <c r="L52" i="53"/>
  <c r="L58" i="48"/>
  <c r="K52" i="53"/>
  <c r="K59" i="53" s="1"/>
  <c r="J57" i="46"/>
  <c r="Q22" i="50"/>
  <c r="C52" i="38"/>
  <c r="C59" i="38" s="1"/>
  <c r="D57" i="51"/>
  <c r="O58" i="47"/>
  <c r="Q36" i="50"/>
  <c r="Q28" i="50"/>
  <c r="Q16" i="50"/>
  <c r="Q24" i="50"/>
  <c r="Q30" i="50"/>
  <c r="Q14" i="50"/>
  <c r="Q38" i="50"/>
  <c r="Q26" i="50"/>
  <c r="Q35" i="50"/>
  <c r="Q40" i="50"/>
  <c r="Q29" i="50"/>
  <c r="Q37" i="50"/>
  <c r="Q25" i="50"/>
  <c r="Q23" i="50"/>
  <c r="Q39" i="50"/>
  <c r="Q31" i="50"/>
  <c r="Q18" i="50"/>
  <c r="Q21" i="50"/>
  <c r="Q17" i="50"/>
  <c r="Q27" i="50"/>
  <c r="Q20" i="50"/>
  <c r="Q34" i="50"/>
  <c r="Q15" i="50"/>
  <c r="B57" i="41"/>
  <c r="O59" i="55"/>
  <c r="D52" i="45"/>
  <c r="D59" i="45" s="1"/>
  <c r="O48" i="51"/>
  <c r="Q33" i="50"/>
  <c r="Q32" i="50"/>
  <c r="C57" i="46"/>
  <c r="G52" i="52"/>
  <c r="G59" i="52" s="1"/>
  <c r="O52" i="50"/>
  <c r="O59" i="50" s="1"/>
  <c r="N52" i="50"/>
  <c r="N59" i="50" s="1"/>
  <c r="I52" i="50"/>
  <c r="I59" i="50" s="1"/>
  <c r="H59" i="53"/>
  <c r="H57" i="55"/>
  <c r="N57" i="52"/>
  <c r="G52" i="53"/>
  <c r="G59" i="55"/>
  <c r="M52" i="52"/>
  <c r="M59" i="52" s="1"/>
  <c r="D64" i="6"/>
  <c r="M57" i="55"/>
  <c r="M59" i="55" s="1"/>
  <c r="D55" i="14"/>
  <c r="C58" i="37"/>
  <c r="J52" i="45"/>
  <c r="J59" i="45" s="1"/>
  <c r="S11" i="53"/>
  <c r="L53" i="47"/>
  <c r="L60" i="47" s="1"/>
  <c r="S44" i="53"/>
  <c r="D57" i="43"/>
  <c r="C57" i="51"/>
  <c r="R48" i="51"/>
  <c r="N58" i="47"/>
  <c r="S50" i="52"/>
  <c r="R52" i="56"/>
  <c r="C52" i="28"/>
  <c r="S42" i="55"/>
  <c r="D58" i="47"/>
  <c r="S42" i="56"/>
  <c r="T44" i="55"/>
  <c r="S48" i="56"/>
  <c r="D53" i="47"/>
  <c r="B57" i="55"/>
  <c r="S50" i="55"/>
  <c r="Q36" i="47"/>
  <c r="S50" i="56"/>
  <c r="J59" i="55"/>
  <c r="J52" i="53"/>
  <c r="J59" i="53" s="1"/>
  <c r="T40" i="55"/>
  <c r="U46" i="53"/>
  <c r="C52" i="26"/>
  <c r="S48" i="52"/>
  <c r="T11" i="55"/>
  <c r="S48" i="55"/>
  <c r="D52" i="50"/>
  <c r="D59" i="50" s="1"/>
  <c r="C59" i="33"/>
  <c r="C52" i="46"/>
  <c r="S42" i="52"/>
  <c r="T46" i="55"/>
  <c r="C52" i="37"/>
  <c r="B52" i="51"/>
  <c r="R42" i="51"/>
  <c r="O57" i="52"/>
  <c r="E52" i="52"/>
  <c r="F52" i="53"/>
  <c r="F59" i="53" s="1"/>
  <c r="E59" i="56"/>
  <c r="C52" i="51"/>
  <c r="E57" i="52"/>
  <c r="E52" i="53"/>
  <c r="E57" i="53"/>
  <c r="Q26" i="47"/>
  <c r="E57" i="55"/>
  <c r="L52" i="51"/>
  <c r="L59" i="51" s="1"/>
  <c r="F52" i="51"/>
  <c r="F59" i="51" s="1"/>
  <c r="E52" i="51"/>
  <c r="E59" i="51" s="1"/>
  <c r="N52" i="51"/>
  <c r="M52" i="51"/>
  <c r="M59" i="51" s="1"/>
  <c r="Q23" i="52"/>
  <c r="Q46" i="52"/>
  <c r="Q36" i="52"/>
  <c r="C52" i="35"/>
  <c r="C60" i="35" s="1"/>
  <c r="H52" i="45"/>
  <c r="H59" i="45" s="1"/>
  <c r="Q28" i="47"/>
  <c r="Q15" i="52"/>
  <c r="K58" i="47"/>
  <c r="H52" i="52"/>
  <c r="H59" i="52" s="1"/>
  <c r="D63" i="8"/>
  <c r="Q35" i="47"/>
  <c r="L57" i="53"/>
  <c r="M53" i="47"/>
  <c r="D63" i="14"/>
  <c r="P41" i="29"/>
  <c r="S44" i="51"/>
  <c r="Q38" i="52"/>
  <c r="O53" i="47"/>
  <c r="C63" i="20"/>
  <c r="S46" i="51"/>
  <c r="Q32" i="52"/>
  <c r="Q28" i="52"/>
  <c r="D63" i="18"/>
  <c r="U44" i="53"/>
  <c r="Q21" i="47"/>
  <c r="K52" i="50"/>
  <c r="K59" i="50" s="1"/>
  <c r="Q14" i="52"/>
  <c r="O52" i="52"/>
  <c r="Q40" i="52"/>
  <c r="J52" i="46"/>
  <c r="J59" i="46" s="1"/>
  <c r="Q27" i="47"/>
  <c r="Q34" i="47"/>
  <c r="Q15" i="47"/>
  <c r="Q38" i="47"/>
  <c r="K53" i="47"/>
  <c r="K52" i="52"/>
  <c r="K59" i="52" s="1"/>
  <c r="N59" i="46"/>
  <c r="Q33" i="47"/>
  <c r="Q40" i="47"/>
  <c r="Q19" i="47"/>
  <c r="Q32" i="47"/>
  <c r="Q24" i="47"/>
  <c r="K57" i="55"/>
  <c r="N53" i="47"/>
  <c r="E52" i="45"/>
  <c r="E59" i="45" s="1"/>
  <c r="Q39" i="47"/>
  <c r="Q17" i="47"/>
  <c r="Q25" i="47"/>
  <c r="H52" i="50"/>
  <c r="H59" i="50" s="1"/>
  <c r="N59" i="51"/>
  <c r="Q30" i="47"/>
  <c r="Q16" i="47"/>
  <c r="Q23" i="47"/>
  <c r="Q31" i="47"/>
  <c r="M52" i="50"/>
  <c r="J57" i="51"/>
  <c r="Q16" i="52"/>
  <c r="Q20" i="52"/>
  <c r="I52" i="52"/>
  <c r="Q19" i="52"/>
  <c r="Q20" i="47"/>
  <c r="M58" i="47"/>
  <c r="C52" i="45"/>
  <c r="C59" i="45" s="1"/>
  <c r="M59" i="46"/>
  <c r="Q22" i="47"/>
  <c r="Q29" i="47"/>
  <c r="Q37" i="47"/>
  <c r="I52" i="51"/>
  <c r="I59" i="51" s="1"/>
  <c r="C59" i="56"/>
  <c r="Q18" i="47"/>
  <c r="L52" i="46"/>
  <c r="L59" i="46" s="1"/>
  <c r="J58" i="47"/>
  <c r="J53" i="47"/>
  <c r="D58" i="48"/>
  <c r="D53" i="48"/>
  <c r="D57" i="44"/>
  <c r="D59" i="52"/>
  <c r="D52" i="53"/>
  <c r="D52" i="35"/>
  <c r="D60" i="35" s="1"/>
  <c r="C59" i="46"/>
  <c r="D52" i="44"/>
  <c r="D52" i="43"/>
  <c r="D59" i="43" s="1"/>
  <c r="D59" i="55"/>
  <c r="O57" i="56"/>
  <c r="N59" i="55"/>
  <c r="L59" i="55"/>
  <c r="I59" i="55"/>
  <c r="I52" i="53"/>
  <c r="I59" i="53" s="1"/>
  <c r="S46" i="53"/>
  <c r="T26" i="53"/>
  <c r="T14" i="53"/>
  <c r="T40" i="52"/>
  <c r="T44" i="52"/>
  <c r="Q33" i="52"/>
  <c r="Q24" i="52"/>
  <c r="Q31" i="52"/>
  <c r="Q35" i="52"/>
  <c r="Q17" i="52"/>
  <c r="T11" i="52"/>
  <c r="Q22" i="52"/>
  <c r="Q27" i="52"/>
  <c r="Q29" i="52"/>
  <c r="Q39" i="52"/>
  <c r="Q44" i="52"/>
  <c r="Q34" i="52"/>
  <c r="Q18" i="52"/>
  <c r="Q26" i="52"/>
  <c r="Q30" i="52"/>
  <c r="Q25" i="52"/>
  <c r="Q37" i="52"/>
  <c r="F52" i="52"/>
  <c r="J52" i="52"/>
  <c r="J59" i="52" s="1"/>
  <c r="I57" i="52"/>
  <c r="L52" i="52"/>
  <c r="L59" i="52" s="1"/>
  <c r="T46" i="52"/>
  <c r="S40" i="51"/>
  <c r="S11" i="51"/>
  <c r="O42" i="51"/>
  <c r="H57" i="51"/>
  <c r="H59" i="51" s="1"/>
  <c r="J52" i="51"/>
  <c r="O50" i="51"/>
  <c r="G52" i="51"/>
  <c r="G59" i="51" s="1"/>
  <c r="D52" i="51"/>
  <c r="D59" i="51" s="1"/>
  <c r="K52" i="51"/>
  <c r="K59" i="51" s="1"/>
  <c r="M57" i="50"/>
  <c r="J52" i="50"/>
  <c r="J59" i="50" s="1"/>
  <c r="L57" i="50"/>
  <c r="L59" i="50" s="1"/>
  <c r="K59" i="46"/>
  <c r="O48" i="45"/>
  <c r="O50" i="45"/>
  <c r="B52" i="45"/>
  <c r="B59" i="45" s="1"/>
  <c r="O42" i="45"/>
  <c r="F52" i="45"/>
  <c r="F59" i="45" s="1"/>
  <c r="I52" i="45"/>
  <c r="I59" i="45" s="1"/>
  <c r="G52" i="45"/>
  <c r="G59" i="45" s="1"/>
  <c r="B52" i="42"/>
  <c r="B60" i="42" s="1"/>
  <c r="B52" i="41"/>
  <c r="R43" i="41"/>
  <c r="R45" i="41"/>
  <c r="C57" i="28"/>
  <c r="C58" i="25"/>
  <c r="C52" i="25"/>
  <c r="C58" i="26"/>
  <c r="C59" i="24"/>
  <c r="C58" i="21"/>
  <c r="C53" i="21"/>
  <c r="C49" i="29"/>
  <c r="C58" i="29" s="1"/>
  <c r="C43" i="29"/>
  <c r="D53" i="11"/>
  <c r="D62" i="11" s="1"/>
  <c r="D45" i="11"/>
  <c r="C52" i="22"/>
  <c r="C44" i="22"/>
  <c r="T30" i="53"/>
  <c r="O48" i="53"/>
  <c r="O42" i="53"/>
  <c r="T36" i="53"/>
  <c r="T32" i="53"/>
  <c r="T20" i="53"/>
  <c r="T18" i="53"/>
  <c r="B50" i="53"/>
  <c r="T22" i="53"/>
  <c r="T28" i="53"/>
  <c r="T23" i="53"/>
  <c r="T34" i="53"/>
  <c r="T24" i="53"/>
  <c r="T35" i="53"/>
  <c r="T19" i="53"/>
  <c r="T17" i="53"/>
  <c r="T29" i="53"/>
  <c r="T9" i="53"/>
  <c r="T15" i="53"/>
  <c r="T27" i="53"/>
  <c r="T39" i="53"/>
  <c r="T21" i="53"/>
  <c r="T33" i="53"/>
  <c r="T31" i="53"/>
  <c r="U11" i="53"/>
  <c r="T25" i="53"/>
  <c r="T37" i="53"/>
  <c r="N42" i="53"/>
  <c r="O50" i="53"/>
  <c r="B42" i="53"/>
  <c r="S40" i="53"/>
  <c r="N50" i="53"/>
  <c r="N57" i="53" s="1"/>
  <c r="T51" i="50"/>
  <c r="T49" i="50"/>
  <c r="T47" i="50"/>
  <c r="G46" i="50"/>
  <c r="F46" i="50"/>
  <c r="E46" i="50"/>
  <c r="P46" i="50" s="1"/>
  <c r="B46" i="50"/>
  <c r="T45" i="50"/>
  <c r="G44" i="50"/>
  <c r="F44" i="50"/>
  <c r="E44" i="50"/>
  <c r="T43" i="50"/>
  <c r="T41" i="50"/>
  <c r="G40" i="50"/>
  <c r="F40" i="50"/>
  <c r="F48" i="50" s="1"/>
  <c r="E40" i="50"/>
  <c r="B48" i="50"/>
  <c r="T13" i="50"/>
  <c r="T12" i="50"/>
  <c r="G11" i="50"/>
  <c r="F11" i="50"/>
  <c r="E11" i="50"/>
  <c r="B11" i="50"/>
  <c r="U12" i="18"/>
  <c r="P42" i="53" l="1"/>
  <c r="K60" i="48"/>
  <c r="C60" i="22"/>
  <c r="P48" i="53"/>
  <c r="U48" i="53" s="1"/>
  <c r="P50" i="53"/>
  <c r="P52" i="52"/>
  <c r="M59" i="50"/>
  <c r="S11" i="50"/>
  <c r="S44" i="50"/>
  <c r="P44" i="50"/>
  <c r="L60" i="48"/>
  <c r="Q50" i="52"/>
  <c r="U51" i="52"/>
  <c r="Q42" i="52"/>
  <c r="U43" i="52"/>
  <c r="E50" i="50"/>
  <c r="S40" i="50"/>
  <c r="U11" i="50"/>
  <c r="S46" i="50"/>
  <c r="K60" i="47"/>
  <c r="O60" i="47"/>
  <c r="N59" i="52"/>
  <c r="N60" i="48"/>
  <c r="L59" i="53"/>
  <c r="K59" i="55"/>
  <c r="O57" i="51"/>
  <c r="C54" i="22"/>
  <c r="D60" i="47"/>
  <c r="J60" i="47"/>
  <c r="C60" i="37"/>
  <c r="B59" i="55"/>
  <c r="G59" i="53"/>
  <c r="T46" i="53"/>
  <c r="T42" i="55"/>
  <c r="O59" i="52"/>
  <c r="P57" i="52"/>
  <c r="N60" i="47"/>
  <c r="T48" i="55"/>
  <c r="S52" i="52"/>
  <c r="R52" i="51"/>
  <c r="S52" i="55"/>
  <c r="T50" i="55"/>
  <c r="Q46" i="53"/>
  <c r="Q14" i="53"/>
  <c r="P57" i="55"/>
  <c r="S52" i="56"/>
  <c r="O52" i="51"/>
  <c r="F59" i="52"/>
  <c r="F59" i="55"/>
  <c r="S50" i="51"/>
  <c r="E59" i="52"/>
  <c r="E59" i="53"/>
  <c r="T44" i="53"/>
  <c r="E59" i="55"/>
  <c r="J59" i="51"/>
  <c r="S48" i="53"/>
  <c r="I59" i="52"/>
  <c r="M60" i="47"/>
  <c r="D60" i="48"/>
  <c r="D59" i="53"/>
  <c r="D59" i="44"/>
  <c r="Q44" i="53"/>
  <c r="Q16" i="53"/>
  <c r="Q20" i="53"/>
  <c r="Q24" i="53"/>
  <c r="Q28" i="53"/>
  <c r="Q32" i="53"/>
  <c r="Q36" i="53"/>
  <c r="Q40" i="53"/>
  <c r="Q15" i="53"/>
  <c r="Q19" i="53"/>
  <c r="Q23" i="53"/>
  <c r="Q27" i="53"/>
  <c r="Q31" i="53"/>
  <c r="Q35" i="53"/>
  <c r="Q39" i="53"/>
  <c r="Q18" i="53"/>
  <c r="Q22" i="53"/>
  <c r="Q26" i="53"/>
  <c r="Q30" i="53"/>
  <c r="Q34" i="53"/>
  <c r="Q38" i="53"/>
  <c r="Q17" i="53"/>
  <c r="Q21" i="53"/>
  <c r="Q25" i="53"/>
  <c r="Q29" i="53"/>
  <c r="Q33" i="53"/>
  <c r="Q37" i="53"/>
  <c r="C59" i="51"/>
  <c r="O59" i="56"/>
  <c r="H59" i="55"/>
  <c r="B57" i="53"/>
  <c r="T48" i="52"/>
  <c r="T50" i="52"/>
  <c r="B59" i="52"/>
  <c r="Q48" i="52"/>
  <c r="T42" i="52"/>
  <c r="B59" i="51"/>
  <c r="S48" i="51"/>
  <c r="S42" i="51"/>
  <c r="T16" i="50"/>
  <c r="T15" i="50"/>
  <c r="T21" i="50"/>
  <c r="T9" i="50"/>
  <c r="T30" i="50"/>
  <c r="T39" i="50"/>
  <c r="T27" i="50"/>
  <c r="T22" i="50"/>
  <c r="T34" i="50"/>
  <c r="T17" i="50"/>
  <c r="T29" i="50"/>
  <c r="T24" i="50"/>
  <c r="O57" i="45"/>
  <c r="O52" i="45"/>
  <c r="B59" i="41"/>
  <c r="C59" i="28"/>
  <c r="C60" i="25"/>
  <c r="C60" i="26"/>
  <c r="C60" i="21"/>
  <c r="C53" i="29"/>
  <c r="C60" i="29" s="1"/>
  <c r="D55" i="11"/>
  <c r="D64" i="11" s="1"/>
  <c r="O52" i="53"/>
  <c r="G48" i="50"/>
  <c r="G42" i="50"/>
  <c r="T28" i="50"/>
  <c r="T11" i="53"/>
  <c r="O57" i="53"/>
  <c r="T40" i="53"/>
  <c r="S42" i="53"/>
  <c r="B52" i="53"/>
  <c r="S50" i="53"/>
  <c r="N52" i="53"/>
  <c r="P52" i="53" s="1"/>
  <c r="T20" i="50"/>
  <c r="T36" i="50"/>
  <c r="T26" i="50"/>
  <c r="T18" i="50"/>
  <c r="T38" i="50"/>
  <c r="T10" i="50"/>
  <c r="T25" i="50"/>
  <c r="T37" i="50"/>
  <c r="B42" i="50"/>
  <c r="T23" i="50"/>
  <c r="T35" i="50"/>
  <c r="T19" i="50"/>
  <c r="T31" i="50"/>
  <c r="E42" i="50"/>
  <c r="F42" i="50"/>
  <c r="B50" i="50"/>
  <c r="E48" i="50"/>
  <c r="F50" i="50"/>
  <c r="F57" i="50" s="1"/>
  <c r="T11" i="50"/>
  <c r="G50" i="50"/>
  <c r="R9" i="27"/>
  <c r="R10" i="27"/>
  <c r="R12" i="27"/>
  <c r="R13" i="27"/>
  <c r="R14" i="27"/>
  <c r="R15" i="27"/>
  <c r="R16" i="27"/>
  <c r="R17" i="27"/>
  <c r="R18" i="27"/>
  <c r="R19" i="27"/>
  <c r="R20" i="27"/>
  <c r="R21" i="27"/>
  <c r="R22" i="27"/>
  <c r="R23" i="27"/>
  <c r="R24" i="27"/>
  <c r="R25" i="27"/>
  <c r="R26" i="27"/>
  <c r="R27" i="27"/>
  <c r="R28" i="27"/>
  <c r="R29" i="27"/>
  <c r="R30" i="27"/>
  <c r="R31" i="27"/>
  <c r="R32" i="27"/>
  <c r="R33" i="27"/>
  <c r="R34" i="27"/>
  <c r="R35" i="27"/>
  <c r="R36" i="27"/>
  <c r="R37" i="27"/>
  <c r="R38" i="27"/>
  <c r="R39" i="27"/>
  <c r="R43" i="27"/>
  <c r="R45" i="27"/>
  <c r="R47" i="27"/>
  <c r="R49" i="27"/>
  <c r="R51" i="27"/>
  <c r="T48" i="53" l="1"/>
  <c r="C62" i="22"/>
  <c r="Q48" i="53"/>
  <c r="P50" i="50"/>
  <c r="S48" i="50"/>
  <c r="P48" i="50"/>
  <c r="P42" i="50"/>
  <c r="Q50" i="53"/>
  <c r="U50" i="53"/>
  <c r="Q42" i="53"/>
  <c r="U42" i="53"/>
  <c r="B57" i="50"/>
  <c r="S50" i="50"/>
  <c r="S42" i="50"/>
  <c r="Q44" i="50"/>
  <c r="U44" i="50"/>
  <c r="Q46" i="50"/>
  <c r="U46" i="50"/>
  <c r="Q52" i="52"/>
  <c r="B52" i="50"/>
  <c r="E52" i="50"/>
  <c r="S52" i="53"/>
  <c r="T52" i="55"/>
  <c r="P57" i="53"/>
  <c r="P59" i="55"/>
  <c r="S52" i="51"/>
  <c r="T52" i="52"/>
  <c r="P59" i="52"/>
  <c r="O59" i="51"/>
  <c r="T46" i="50"/>
  <c r="O59" i="45"/>
  <c r="R47" i="41"/>
  <c r="O59" i="53"/>
  <c r="T44" i="50"/>
  <c r="T50" i="53"/>
  <c r="T42" i="53"/>
  <c r="B59" i="53"/>
  <c r="N59" i="53"/>
  <c r="E57" i="50"/>
  <c r="T40" i="50"/>
  <c r="F52" i="50"/>
  <c r="G57" i="50"/>
  <c r="G52" i="50"/>
  <c r="M43" i="18"/>
  <c r="P52" i="50" l="1"/>
  <c r="Q52" i="53"/>
  <c r="U52" i="53"/>
  <c r="Q42" i="50"/>
  <c r="U42" i="50"/>
  <c r="Q48" i="50"/>
  <c r="U48" i="50"/>
  <c r="S52" i="50"/>
  <c r="Q50" i="50"/>
  <c r="U50" i="50"/>
  <c r="P59" i="53"/>
  <c r="F59" i="50"/>
  <c r="T52" i="53"/>
  <c r="E59" i="50"/>
  <c r="T42" i="50"/>
  <c r="P57" i="50"/>
  <c r="T50" i="50"/>
  <c r="B59" i="50"/>
  <c r="G59" i="50"/>
  <c r="T48" i="50"/>
  <c r="S36" i="25"/>
  <c r="S10" i="25"/>
  <c r="S12" i="25"/>
  <c r="S13" i="25"/>
  <c r="S17" i="25"/>
  <c r="T17" i="25" s="1"/>
  <c r="S18" i="25"/>
  <c r="T18" i="25" s="1"/>
  <c r="S19" i="25"/>
  <c r="T19" i="25" s="1"/>
  <c r="S20" i="25"/>
  <c r="T20" i="25" s="1"/>
  <c r="S21" i="25"/>
  <c r="T21" i="25" s="1"/>
  <c r="S22" i="25"/>
  <c r="T22" i="25" s="1"/>
  <c r="S23" i="25"/>
  <c r="T23" i="25" s="1"/>
  <c r="S24" i="25"/>
  <c r="T24" i="25" s="1"/>
  <c r="S25" i="25"/>
  <c r="T25" i="25" s="1"/>
  <c r="S26" i="25"/>
  <c r="T26" i="25" s="1"/>
  <c r="S27" i="25"/>
  <c r="T27" i="25" s="1"/>
  <c r="S28" i="25"/>
  <c r="T28" i="25" s="1"/>
  <c r="S29" i="25"/>
  <c r="T29" i="25" s="1"/>
  <c r="S30" i="25"/>
  <c r="T30" i="25" s="1"/>
  <c r="S31" i="25"/>
  <c r="T31" i="25" s="1"/>
  <c r="S32" i="25"/>
  <c r="T32" i="25" s="1"/>
  <c r="S33" i="25"/>
  <c r="S34" i="25"/>
  <c r="S35" i="25"/>
  <c r="S37" i="25"/>
  <c r="S38" i="25"/>
  <c r="S39" i="25"/>
  <c r="S41" i="25"/>
  <c r="S43" i="25"/>
  <c r="S45" i="25"/>
  <c r="S47" i="25"/>
  <c r="S49" i="25"/>
  <c r="S51" i="25"/>
  <c r="Q52" i="50" l="1"/>
  <c r="U52" i="50"/>
  <c r="R49" i="41"/>
  <c r="T52" i="50"/>
  <c r="P59" i="50"/>
  <c r="M14" i="6"/>
  <c r="O14" i="6"/>
  <c r="Q14" i="6"/>
  <c r="T52" i="48"/>
  <c r="T50" i="48"/>
  <c r="T48" i="48"/>
  <c r="I47" i="48"/>
  <c r="H47" i="48"/>
  <c r="G47" i="48"/>
  <c r="F47" i="48"/>
  <c r="E47" i="48"/>
  <c r="B47" i="48"/>
  <c r="T46" i="48"/>
  <c r="I45" i="48"/>
  <c r="H45" i="48"/>
  <c r="G45" i="48"/>
  <c r="F45" i="48"/>
  <c r="E45" i="48"/>
  <c r="B45" i="48"/>
  <c r="P45" i="48" s="1"/>
  <c r="T44" i="48"/>
  <c r="T42" i="48"/>
  <c r="I41" i="48"/>
  <c r="I49" i="48" s="1"/>
  <c r="H41" i="48"/>
  <c r="H49" i="48" s="1"/>
  <c r="G41" i="48"/>
  <c r="G51" i="48" s="1"/>
  <c r="F41" i="48"/>
  <c r="F49" i="48" s="1"/>
  <c r="E41" i="48"/>
  <c r="B51" i="48"/>
  <c r="T29" i="48"/>
  <c r="T14" i="48"/>
  <c r="T13" i="48"/>
  <c r="I12" i="48"/>
  <c r="H12" i="48"/>
  <c r="G12" i="48"/>
  <c r="F12" i="48"/>
  <c r="E12" i="48"/>
  <c r="B12" i="48"/>
  <c r="U12" i="48" s="1"/>
  <c r="T52" i="47"/>
  <c r="T50" i="47"/>
  <c r="T48" i="47"/>
  <c r="I47" i="47"/>
  <c r="H47" i="47"/>
  <c r="G47" i="47"/>
  <c r="F47" i="47"/>
  <c r="E47" i="47"/>
  <c r="B47" i="47"/>
  <c r="T46" i="47"/>
  <c r="I45" i="47"/>
  <c r="H45" i="47"/>
  <c r="G45" i="47"/>
  <c r="F45" i="47"/>
  <c r="E45" i="47"/>
  <c r="B45" i="47"/>
  <c r="T44" i="47"/>
  <c r="T42" i="47"/>
  <c r="I41" i="47"/>
  <c r="I51" i="47" s="1"/>
  <c r="H41" i="47"/>
  <c r="H51" i="47" s="1"/>
  <c r="G41" i="47"/>
  <c r="G51" i="47" s="1"/>
  <c r="F41" i="47"/>
  <c r="F51" i="47" s="1"/>
  <c r="E41" i="47"/>
  <c r="B51" i="47"/>
  <c r="T40" i="47"/>
  <c r="T34" i="47"/>
  <c r="T28" i="47"/>
  <c r="T22" i="47"/>
  <c r="T16" i="47"/>
  <c r="T14" i="47"/>
  <c r="T13" i="47"/>
  <c r="I12" i="47"/>
  <c r="H12" i="47"/>
  <c r="G12" i="47"/>
  <c r="F12" i="47"/>
  <c r="E12" i="47"/>
  <c r="B12" i="47"/>
  <c r="P47" i="48" l="1"/>
  <c r="P45" i="47"/>
  <c r="P47" i="47"/>
  <c r="B43" i="47"/>
  <c r="U12" i="47"/>
  <c r="S45" i="47"/>
  <c r="S12" i="48"/>
  <c r="S47" i="48"/>
  <c r="S41" i="47"/>
  <c r="S47" i="47"/>
  <c r="S41" i="48"/>
  <c r="S12" i="47"/>
  <c r="T12" i="47" s="1"/>
  <c r="S45" i="48"/>
  <c r="U47" i="48"/>
  <c r="U45" i="48"/>
  <c r="T25" i="47"/>
  <c r="T37" i="47"/>
  <c r="T39" i="47"/>
  <c r="T17" i="47"/>
  <c r="T29" i="47"/>
  <c r="T35" i="47"/>
  <c r="T40" i="48"/>
  <c r="T27" i="48"/>
  <c r="T39" i="48"/>
  <c r="T25" i="48"/>
  <c r="T23" i="48"/>
  <c r="T35" i="48"/>
  <c r="T11" i="48"/>
  <c r="T34" i="48"/>
  <c r="T10" i="48"/>
  <c r="T18" i="47"/>
  <c r="I43" i="48"/>
  <c r="T17" i="48"/>
  <c r="T22" i="48"/>
  <c r="T31" i="48"/>
  <c r="G43" i="48"/>
  <c r="T33" i="47"/>
  <c r="F43" i="48"/>
  <c r="F51" i="48"/>
  <c r="F58" i="48" s="1"/>
  <c r="L14" i="6"/>
  <c r="E51" i="47"/>
  <c r="P51" i="47" s="1"/>
  <c r="E49" i="48"/>
  <c r="T21" i="48"/>
  <c r="T37" i="48"/>
  <c r="T19" i="48"/>
  <c r="E51" i="48"/>
  <c r="E43" i="48"/>
  <c r="T31" i="47"/>
  <c r="T15" i="48"/>
  <c r="T33" i="48"/>
  <c r="T18" i="48"/>
  <c r="T16" i="48"/>
  <c r="T28" i="48"/>
  <c r="T26" i="48"/>
  <c r="T38" i="48"/>
  <c r="T20" i="48"/>
  <c r="T32" i="48"/>
  <c r="T30" i="48"/>
  <c r="T24" i="48"/>
  <c r="T36" i="48"/>
  <c r="B49" i="48"/>
  <c r="H43" i="48"/>
  <c r="B43" i="48"/>
  <c r="H51" i="48"/>
  <c r="H58" i="48" s="1"/>
  <c r="I51" i="48"/>
  <c r="G49" i="48"/>
  <c r="T21" i="47"/>
  <c r="T19" i="47"/>
  <c r="T32" i="47"/>
  <c r="T38" i="47"/>
  <c r="P41" i="47"/>
  <c r="U41" i="47" s="1"/>
  <c r="T20" i="47"/>
  <c r="T30" i="47"/>
  <c r="T23" i="47"/>
  <c r="T26" i="47"/>
  <c r="T27" i="47"/>
  <c r="T24" i="47"/>
  <c r="T36" i="47"/>
  <c r="T15" i="47"/>
  <c r="T10" i="47"/>
  <c r="G43" i="47"/>
  <c r="T11" i="47"/>
  <c r="F43" i="47"/>
  <c r="F49" i="47"/>
  <c r="F58" i="47" s="1"/>
  <c r="E43" i="47"/>
  <c r="E49" i="47"/>
  <c r="G49" i="47"/>
  <c r="H43" i="47"/>
  <c r="H49" i="47"/>
  <c r="H58" i="47" s="1"/>
  <c r="I43" i="47"/>
  <c r="I49" i="47"/>
  <c r="I58" i="47" s="1"/>
  <c r="B49" i="47"/>
  <c r="P49" i="47" l="1"/>
  <c r="P43" i="47"/>
  <c r="U43" i="47" s="1"/>
  <c r="P49" i="48"/>
  <c r="U49" i="48" s="1"/>
  <c r="P43" i="48"/>
  <c r="U43" i="48" s="1"/>
  <c r="P51" i="48"/>
  <c r="U51" i="48" s="1"/>
  <c r="Q47" i="47"/>
  <c r="U47" i="47"/>
  <c r="Q51" i="47"/>
  <c r="U51" i="47"/>
  <c r="Q45" i="47"/>
  <c r="U45" i="47"/>
  <c r="T47" i="48"/>
  <c r="T45" i="48"/>
  <c r="T47" i="47"/>
  <c r="S49" i="47"/>
  <c r="S51" i="48"/>
  <c r="Q41" i="47"/>
  <c r="S43" i="48"/>
  <c r="S43" i="47"/>
  <c r="B53" i="47"/>
  <c r="E53" i="47"/>
  <c r="B58" i="48"/>
  <c r="S49" i="48"/>
  <c r="S51" i="47"/>
  <c r="T51" i="47" s="1"/>
  <c r="E58" i="47"/>
  <c r="T45" i="47"/>
  <c r="T12" i="48"/>
  <c r="E58" i="48"/>
  <c r="R51" i="41"/>
  <c r="I53" i="48"/>
  <c r="I58" i="48"/>
  <c r="G53" i="48"/>
  <c r="G53" i="47"/>
  <c r="F53" i="48"/>
  <c r="E53" i="48"/>
  <c r="T41" i="48"/>
  <c r="H53" i="48"/>
  <c r="B53" i="48"/>
  <c r="G58" i="48"/>
  <c r="T41" i="47"/>
  <c r="G58" i="47"/>
  <c r="B58" i="47"/>
  <c r="F53" i="47"/>
  <c r="H53" i="47"/>
  <c r="I53" i="47"/>
  <c r="I60" i="47" s="1"/>
  <c r="S51" i="46"/>
  <c r="S49" i="46"/>
  <c r="S47" i="46"/>
  <c r="I46" i="46"/>
  <c r="H46" i="46"/>
  <c r="G46" i="46"/>
  <c r="F46" i="46"/>
  <c r="E46" i="46"/>
  <c r="D46" i="46"/>
  <c r="B46" i="46"/>
  <c r="S45" i="46"/>
  <c r="I44" i="46"/>
  <c r="H44" i="46"/>
  <c r="G44" i="46"/>
  <c r="F44" i="46"/>
  <c r="E44" i="46"/>
  <c r="D44" i="46"/>
  <c r="S43" i="46"/>
  <c r="S41" i="46"/>
  <c r="I40" i="46"/>
  <c r="I50" i="46" s="1"/>
  <c r="H40" i="46"/>
  <c r="H50" i="46" s="1"/>
  <c r="G40" i="46"/>
  <c r="F40" i="46"/>
  <c r="E40" i="46"/>
  <c r="D40" i="46"/>
  <c r="B50" i="46"/>
  <c r="S13" i="46"/>
  <c r="S12" i="46"/>
  <c r="I11" i="46"/>
  <c r="H11" i="46"/>
  <c r="G11" i="46"/>
  <c r="F11" i="46"/>
  <c r="E11" i="46"/>
  <c r="D11" i="46"/>
  <c r="B11" i="46"/>
  <c r="O44" i="46" l="1"/>
  <c r="O46" i="46"/>
  <c r="Q43" i="47"/>
  <c r="P53" i="47"/>
  <c r="P53" i="48"/>
  <c r="U53" i="48" s="1"/>
  <c r="Q49" i="47"/>
  <c r="U49" i="47"/>
  <c r="P58" i="48"/>
  <c r="B60" i="48"/>
  <c r="S53" i="48"/>
  <c r="R46" i="46"/>
  <c r="S53" i="47"/>
  <c r="D50" i="46"/>
  <c r="O50" i="46" s="1"/>
  <c r="R40" i="46"/>
  <c r="P58" i="47"/>
  <c r="R11" i="46"/>
  <c r="B42" i="46"/>
  <c r="R44" i="46"/>
  <c r="P46" i="46"/>
  <c r="I60" i="48"/>
  <c r="I42" i="46"/>
  <c r="I48" i="46"/>
  <c r="I57" i="46" s="1"/>
  <c r="H60" i="48"/>
  <c r="H60" i="47"/>
  <c r="H42" i="46"/>
  <c r="G60" i="48"/>
  <c r="G60" i="47"/>
  <c r="F60" i="48"/>
  <c r="T49" i="48"/>
  <c r="F60" i="47"/>
  <c r="F48" i="46"/>
  <c r="E50" i="46"/>
  <c r="E60" i="48"/>
  <c r="E60" i="47"/>
  <c r="T43" i="48"/>
  <c r="T51" i="48"/>
  <c r="B60" i="47"/>
  <c r="T49" i="47"/>
  <c r="T43" i="47"/>
  <c r="D42" i="46"/>
  <c r="D48" i="46"/>
  <c r="D57" i="46" s="1"/>
  <c r="B48" i="46"/>
  <c r="G42" i="46"/>
  <c r="S15" i="46"/>
  <c r="S18" i="46"/>
  <c r="S21" i="46"/>
  <c r="S24" i="46"/>
  <c r="S27" i="46"/>
  <c r="S30" i="46"/>
  <c r="S33" i="46"/>
  <c r="S36" i="46"/>
  <c r="S39" i="46"/>
  <c r="F50" i="46"/>
  <c r="G48" i="46"/>
  <c r="G50" i="46"/>
  <c r="S9" i="46"/>
  <c r="S16" i="46"/>
  <c r="S19" i="46"/>
  <c r="S22" i="46"/>
  <c r="S25" i="46"/>
  <c r="S28" i="46"/>
  <c r="S31" i="46"/>
  <c r="S34" i="46"/>
  <c r="S37" i="46"/>
  <c r="H48" i="46"/>
  <c r="H57" i="46" s="1"/>
  <c r="S10" i="46"/>
  <c r="S17" i="46"/>
  <c r="S20" i="46"/>
  <c r="S23" i="46"/>
  <c r="S26" i="46"/>
  <c r="S29" i="46"/>
  <c r="S32" i="46"/>
  <c r="S35" i="46"/>
  <c r="S38" i="46"/>
  <c r="F42" i="46"/>
  <c r="E48" i="46"/>
  <c r="E42" i="46"/>
  <c r="O48" i="46" l="1"/>
  <c r="Q53" i="47"/>
  <c r="U53" i="47"/>
  <c r="R50" i="46"/>
  <c r="O42" i="46"/>
  <c r="P42" i="46" s="1"/>
  <c r="E57" i="46"/>
  <c r="R42" i="46"/>
  <c r="B52" i="46"/>
  <c r="R48" i="46"/>
  <c r="D52" i="46"/>
  <c r="D59" i="46" s="1"/>
  <c r="S46" i="46"/>
  <c r="P50" i="46"/>
  <c r="P48" i="46"/>
  <c r="P60" i="47"/>
  <c r="I52" i="46"/>
  <c r="I59" i="46" s="1"/>
  <c r="P60" i="48"/>
  <c r="H52" i="46"/>
  <c r="F57" i="46"/>
  <c r="F52" i="46"/>
  <c r="P16" i="46"/>
  <c r="P22" i="46"/>
  <c r="P28" i="46"/>
  <c r="P34" i="46"/>
  <c r="P40" i="46"/>
  <c r="P17" i="46"/>
  <c r="P23" i="46"/>
  <c r="P29" i="46"/>
  <c r="P35" i="46"/>
  <c r="P14" i="46"/>
  <c r="P18" i="46"/>
  <c r="P24" i="46"/>
  <c r="P30" i="46"/>
  <c r="P36" i="46"/>
  <c r="P19" i="46"/>
  <c r="P25" i="46"/>
  <c r="P31" i="46"/>
  <c r="P37" i="46"/>
  <c r="P20" i="46"/>
  <c r="P26" i="46"/>
  <c r="P32" i="46"/>
  <c r="P38" i="46"/>
  <c r="P15" i="46"/>
  <c r="P21" i="46"/>
  <c r="P27" i="46"/>
  <c r="P33" i="46"/>
  <c r="P39" i="46"/>
  <c r="S11" i="46"/>
  <c r="P44" i="46"/>
  <c r="T53" i="47"/>
  <c r="T53" i="48"/>
  <c r="S40" i="46"/>
  <c r="B57" i="46"/>
  <c r="G57" i="46"/>
  <c r="G52" i="46"/>
  <c r="E52" i="46"/>
  <c r="S44" i="46"/>
  <c r="O52" i="46" l="1"/>
  <c r="O57" i="46"/>
  <c r="R52" i="46"/>
  <c r="P52" i="46"/>
  <c r="B59" i="46"/>
  <c r="H59" i="46"/>
  <c r="S50" i="46"/>
  <c r="F59" i="46"/>
  <c r="E59" i="46"/>
  <c r="S42" i="46"/>
  <c r="S48" i="46"/>
  <c r="G59" i="46"/>
  <c r="S52" i="46" l="1"/>
  <c r="O59" i="46"/>
  <c r="K14" i="6"/>
  <c r="T43" i="44"/>
  <c r="T45" i="44"/>
  <c r="T47" i="44"/>
  <c r="T49" i="44"/>
  <c r="T51" i="44"/>
  <c r="T43" i="43"/>
  <c r="T45" i="43"/>
  <c r="T47" i="43"/>
  <c r="T49" i="43"/>
  <c r="T51" i="43"/>
  <c r="T41" i="43"/>
  <c r="Q10" i="39"/>
  <c r="Q12" i="39"/>
  <c r="R12" i="39" s="1"/>
  <c r="Q13" i="39"/>
  <c r="R13" i="39" s="1"/>
  <c r="Q14" i="39"/>
  <c r="Q15" i="39"/>
  <c r="Q16" i="39"/>
  <c r="Q17" i="39"/>
  <c r="Q18" i="39"/>
  <c r="Q19" i="39"/>
  <c r="Q20" i="39"/>
  <c r="Q21" i="39"/>
  <c r="Q22" i="39"/>
  <c r="Q23" i="39"/>
  <c r="Q24" i="39"/>
  <c r="Q25" i="39"/>
  <c r="Q26" i="39"/>
  <c r="Q27" i="39"/>
  <c r="Q28" i="39"/>
  <c r="Q29" i="39"/>
  <c r="Q30" i="39"/>
  <c r="Q31" i="39"/>
  <c r="Q32" i="39"/>
  <c r="Q33" i="39"/>
  <c r="Q34" i="39"/>
  <c r="Q35" i="39"/>
  <c r="Q36" i="39"/>
  <c r="Q37" i="39"/>
  <c r="Q38" i="39"/>
  <c r="Q39" i="39"/>
  <c r="Q45" i="39"/>
  <c r="R45" i="39" s="1"/>
  <c r="Q47" i="39"/>
  <c r="R47" i="39" s="1"/>
  <c r="Q49" i="39"/>
  <c r="R49" i="39" s="1"/>
  <c r="Q51" i="39"/>
  <c r="R51" i="39" s="1"/>
  <c r="Q9" i="39"/>
  <c r="S43" i="41"/>
  <c r="S45" i="41"/>
  <c r="S47" i="41"/>
  <c r="S49" i="41"/>
  <c r="S51" i="41"/>
  <c r="U41" i="38"/>
  <c r="U45" i="38"/>
  <c r="U47" i="38"/>
  <c r="U49" i="38"/>
  <c r="U51" i="38"/>
  <c r="T45" i="37"/>
  <c r="T47" i="37"/>
  <c r="T49" i="37"/>
  <c r="T51" i="37"/>
  <c r="T12" i="35"/>
  <c r="T13" i="35"/>
  <c r="T45" i="35"/>
  <c r="T47" i="35"/>
  <c r="T49" i="35"/>
  <c r="T51" i="35"/>
  <c r="T41" i="35"/>
  <c r="T41" i="32"/>
  <c r="T45" i="32"/>
  <c r="T47" i="32"/>
  <c r="T49" i="32"/>
  <c r="T51" i="32"/>
  <c r="U43" i="28"/>
  <c r="U45" i="28"/>
  <c r="U47" i="28"/>
  <c r="U49" i="28"/>
  <c r="U51" i="28"/>
  <c r="U41" i="28"/>
  <c r="U41" i="33"/>
  <c r="U45" i="33"/>
  <c r="U47" i="33"/>
  <c r="U49" i="33"/>
  <c r="U51" i="33"/>
  <c r="S39" i="27"/>
  <c r="S45" i="27"/>
  <c r="S47" i="27"/>
  <c r="S49" i="27"/>
  <c r="S51" i="27"/>
  <c r="T45" i="25"/>
  <c r="T47" i="25"/>
  <c r="T49" i="25"/>
  <c r="T51" i="25"/>
  <c r="T43" i="25"/>
  <c r="U41" i="26"/>
  <c r="U45" i="26"/>
  <c r="U47" i="26"/>
  <c r="U49" i="26"/>
  <c r="U51" i="26"/>
  <c r="T41" i="24"/>
  <c r="T45" i="24"/>
  <c r="T47" i="24"/>
  <c r="T49" i="24"/>
  <c r="T51" i="24"/>
  <c r="T42" i="21"/>
  <c r="T46" i="21"/>
  <c r="T48" i="21"/>
  <c r="T50" i="21"/>
  <c r="T52" i="21"/>
  <c r="T48" i="20"/>
  <c r="T50" i="20"/>
  <c r="T52" i="20"/>
  <c r="T54" i="20"/>
  <c r="U48" i="14"/>
  <c r="U54" i="14"/>
  <c r="U46" i="14"/>
  <c r="U44" i="14"/>
  <c r="U50" i="14"/>
  <c r="U52" i="14"/>
  <c r="V15" i="8"/>
  <c r="V16" i="8"/>
  <c r="V48" i="8"/>
  <c r="V50" i="8"/>
  <c r="V52" i="8"/>
  <c r="V54" i="8"/>
  <c r="T13" i="29"/>
  <c r="T14" i="29"/>
  <c r="T46" i="29"/>
  <c r="T48" i="29"/>
  <c r="T50" i="29"/>
  <c r="T52" i="29"/>
  <c r="I43" i="12"/>
  <c r="J43" i="12"/>
  <c r="K43" i="12"/>
  <c r="L43" i="12"/>
  <c r="M43" i="12"/>
  <c r="N43" i="12"/>
  <c r="O43" i="12"/>
  <c r="S12" i="12"/>
  <c r="S14" i="12"/>
  <c r="U14" i="12" s="1"/>
  <c r="S15" i="12"/>
  <c r="U15" i="12" s="1"/>
  <c r="S41" i="12"/>
  <c r="S47" i="12"/>
  <c r="U47" i="12" s="1"/>
  <c r="S49" i="12"/>
  <c r="U49" i="12" s="1"/>
  <c r="S51" i="12"/>
  <c r="U51" i="12" s="1"/>
  <c r="S53" i="12"/>
  <c r="U53" i="12" s="1"/>
  <c r="V48" i="11"/>
  <c r="V50" i="11"/>
  <c r="V52" i="11"/>
  <c r="V54" i="11"/>
  <c r="T41" i="44" l="1"/>
  <c r="Q43" i="39"/>
  <c r="R43" i="39" s="1"/>
  <c r="Q41" i="39"/>
  <c r="R41" i="39" s="1"/>
  <c r="S41" i="41"/>
  <c r="U43" i="38"/>
  <c r="T41" i="37"/>
  <c r="T43" i="32"/>
  <c r="U43" i="33"/>
  <c r="S43" i="27"/>
  <c r="T41" i="25"/>
  <c r="U43" i="26"/>
  <c r="T43" i="24"/>
  <c r="T46" i="20"/>
  <c r="T44" i="20"/>
  <c r="V46" i="8"/>
  <c r="V44" i="8"/>
  <c r="T42" i="29"/>
  <c r="S45" i="12"/>
  <c r="U45" i="12" s="1"/>
  <c r="S43" i="12"/>
  <c r="U43" i="12" s="1"/>
  <c r="V46" i="11"/>
  <c r="V44" i="11"/>
  <c r="S44" i="4"/>
  <c r="U44" i="4" s="1"/>
  <c r="S13" i="4"/>
  <c r="S15" i="4"/>
  <c r="U15" i="4" s="1"/>
  <c r="S16" i="4"/>
  <c r="U16" i="4" s="1"/>
  <c r="S42" i="4"/>
  <c r="S48" i="4"/>
  <c r="U48" i="4" s="1"/>
  <c r="S50" i="4"/>
  <c r="U50" i="4" s="1"/>
  <c r="S52" i="4"/>
  <c r="U52" i="4" s="1"/>
  <c r="S54" i="4"/>
  <c r="U54" i="4" s="1"/>
  <c r="V43" i="22"/>
  <c r="V45" i="22"/>
  <c r="V47" i="22"/>
  <c r="V49" i="22"/>
  <c r="V51" i="22"/>
  <c r="V53" i="22"/>
  <c r="S46" i="4" l="1"/>
  <c r="U46" i="4" s="1"/>
  <c r="T10" i="32"/>
  <c r="T15" i="44"/>
  <c r="T16" i="44"/>
  <c r="T17" i="44"/>
  <c r="T18" i="44"/>
  <c r="T19" i="44"/>
  <c r="T20" i="44"/>
  <c r="T21" i="44"/>
  <c r="T22" i="44"/>
  <c r="T23" i="44"/>
  <c r="T24" i="44"/>
  <c r="T25" i="44"/>
  <c r="T26" i="44"/>
  <c r="T27" i="44"/>
  <c r="T28" i="44"/>
  <c r="T29" i="44"/>
  <c r="T30" i="44"/>
  <c r="T31" i="44"/>
  <c r="T32" i="44"/>
  <c r="T33" i="44"/>
  <c r="T34" i="44"/>
  <c r="T35" i="44"/>
  <c r="T36" i="44"/>
  <c r="T37" i="44"/>
  <c r="T38" i="44"/>
  <c r="T39" i="44"/>
  <c r="K46" i="44"/>
  <c r="J46" i="44"/>
  <c r="I46" i="44"/>
  <c r="H46" i="44"/>
  <c r="G46" i="44"/>
  <c r="F46" i="44"/>
  <c r="E46" i="44"/>
  <c r="B46" i="44"/>
  <c r="P46" i="44" s="1"/>
  <c r="K44" i="44"/>
  <c r="J44" i="44"/>
  <c r="I44" i="44"/>
  <c r="H44" i="44"/>
  <c r="G44" i="44"/>
  <c r="F44" i="44"/>
  <c r="E44" i="44"/>
  <c r="B44" i="44"/>
  <c r="K40" i="44"/>
  <c r="K48" i="44" s="1"/>
  <c r="J40" i="44"/>
  <c r="I40" i="44"/>
  <c r="I48" i="44" s="1"/>
  <c r="H40" i="44"/>
  <c r="H50" i="44" s="1"/>
  <c r="G40" i="44"/>
  <c r="F40" i="44"/>
  <c r="F50" i="44" s="1"/>
  <c r="E40" i="44"/>
  <c r="B48" i="44"/>
  <c r="K11" i="44"/>
  <c r="J11" i="44"/>
  <c r="I11" i="44"/>
  <c r="H11" i="44"/>
  <c r="G11" i="44"/>
  <c r="F11" i="44"/>
  <c r="E11" i="44"/>
  <c r="B11" i="44"/>
  <c r="U11" i="44" s="1"/>
  <c r="J41" i="27"/>
  <c r="R41" i="27" s="1"/>
  <c r="S41" i="27" s="1"/>
  <c r="K41" i="27"/>
  <c r="L41" i="27"/>
  <c r="M41" i="27"/>
  <c r="N41" i="27"/>
  <c r="T15" i="43"/>
  <c r="T21" i="43"/>
  <c r="T22" i="43"/>
  <c r="T24" i="43"/>
  <c r="T26" i="43"/>
  <c r="T27" i="43"/>
  <c r="T29" i="43"/>
  <c r="T33" i="43"/>
  <c r="T34" i="43"/>
  <c r="T38" i="43"/>
  <c r="T39" i="43"/>
  <c r="T10" i="43"/>
  <c r="T9" i="43"/>
  <c r="H40" i="38"/>
  <c r="G40" i="38"/>
  <c r="F40" i="38"/>
  <c r="E40" i="38"/>
  <c r="P44" i="44" l="1"/>
  <c r="S11" i="44"/>
  <c r="S46" i="44"/>
  <c r="E48" i="44"/>
  <c r="S40" i="44"/>
  <c r="S44" i="44"/>
  <c r="U46" i="44"/>
  <c r="U44" i="44"/>
  <c r="J42" i="44"/>
  <c r="J48" i="44"/>
  <c r="H42" i="44"/>
  <c r="G42" i="44"/>
  <c r="G50" i="44"/>
  <c r="F42" i="44"/>
  <c r="T16" i="43"/>
  <c r="T30" i="43"/>
  <c r="T17" i="43"/>
  <c r="T35" i="43"/>
  <c r="T25" i="43"/>
  <c r="T20" i="43"/>
  <c r="T36" i="43"/>
  <c r="T28" i="43"/>
  <c r="T19" i="43"/>
  <c r="T23" i="43"/>
  <c r="T18" i="43"/>
  <c r="T37" i="43"/>
  <c r="T31" i="43"/>
  <c r="T32" i="43"/>
  <c r="B42" i="44"/>
  <c r="B50" i="44"/>
  <c r="T9" i="44"/>
  <c r="E50" i="44"/>
  <c r="T10" i="44"/>
  <c r="I50" i="44"/>
  <c r="I57" i="44" s="1"/>
  <c r="J50" i="44"/>
  <c r="E42" i="44"/>
  <c r="K42" i="44"/>
  <c r="K50" i="44"/>
  <c r="K57" i="44" s="1"/>
  <c r="I42" i="44"/>
  <c r="F48" i="44"/>
  <c r="F57" i="44" s="1"/>
  <c r="G48" i="44"/>
  <c r="H48" i="44"/>
  <c r="U20" i="18"/>
  <c r="U21" i="18"/>
  <c r="U22" i="18"/>
  <c r="U23" i="18"/>
  <c r="U24" i="18"/>
  <c r="U25" i="18"/>
  <c r="U26" i="18"/>
  <c r="U29" i="18"/>
  <c r="U30" i="18"/>
  <c r="U32" i="18"/>
  <c r="U33" i="18"/>
  <c r="U34" i="18"/>
  <c r="U35" i="18"/>
  <c r="U37" i="18"/>
  <c r="U39" i="18"/>
  <c r="U40" i="18"/>
  <c r="U41" i="18"/>
  <c r="U42" i="18"/>
  <c r="U44" i="18"/>
  <c r="V44" i="18" s="1"/>
  <c r="U46" i="18"/>
  <c r="V46" i="18" s="1"/>
  <c r="U48" i="18"/>
  <c r="V48" i="18" s="1"/>
  <c r="U50" i="18"/>
  <c r="V50" i="18" s="1"/>
  <c r="U52" i="18"/>
  <c r="V52" i="18" s="1"/>
  <c r="U54" i="18"/>
  <c r="V54" i="18" s="1"/>
  <c r="U13" i="18"/>
  <c r="S43" i="42"/>
  <c r="S45" i="42"/>
  <c r="S12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4" i="13"/>
  <c r="T44" i="13" s="1"/>
  <c r="S46" i="13"/>
  <c r="T46" i="13" s="1"/>
  <c r="S48" i="13"/>
  <c r="T48" i="13" s="1"/>
  <c r="S50" i="13"/>
  <c r="T50" i="13" s="1"/>
  <c r="S52" i="13"/>
  <c r="T52" i="13" s="1"/>
  <c r="S54" i="13"/>
  <c r="T54" i="13" s="1"/>
  <c r="S16" i="13"/>
  <c r="T16" i="13" s="1"/>
  <c r="S13" i="13"/>
  <c r="U14" i="7"/>
  <c r="V14" i="7" s="1"/>
  <c r="U15" i="7"/>
  <c r="V15" i="7" s="1"/>
  <c r="U40" i="7"/>
  <c r="U41" i="7"/>
  <c r="U43" i="7"/>
  <c r="V43" i="7" s="1"/>
  <c r="U45" i="7"/>
  <c r="V45" i="7" s="1"/>
  <c r="U47" i="7"/>
  <c r="V47" i="7" s="1"/>
  <c r="U49" i="7"/>
  <c r="V49" i="7" s="1"/>
  <c r="U51" i="7"/>
  <c r="V51" i="7" s="1"/>
  <c r="U53" i="7"/>
  <c r="V53" i="7" s="1"/>
  <c r="U15" i="6"/>
  <c r="V15" i="6" s="1"/>
  <c r="U16" i="6"/>
  <c r="V16" i="6" s="1"/>
  <c r="U44" i="6"/>
  <c r="V44" i="6" s="1"/>
  <c r="U46" i="6"/>
  <c r="V46" i="6" s="1"/>
  <c r="U48" i="6"/>
  <c r="V48" i="6" s="1"/>
  <c r="U50" i="6"/>
  <c r="V50" i="6" s="1"/>
  <c r="U52" i="6"/>
  <c r="V52" i="6" s="1"/>
  <c r="U54" i="6"/>
  <c r="V54" i="6" s="1"/>
  <c r="V15" i="18"/>
  <c r="V16" i="18"/>
  <c r="S41" i="42"/>
  <c r="S47" i="42"/>
  <c r="S49" i="42"/>
  <c r="S51" i="42"/>
  <c r="T12" i="37"/>
  <c r="T13" i="37"/>
  <c r="R13" i="19"/>
  <c r="R15" i="19"/>
  <c r="S15" i="19" s="1"/>
  <c r="R16" i="19"/>
  <c r="S16" i="19" s="1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0" i="19"/>
  <c r="R41" i="19"/>
  <c r="R42" i="19"/>
  <c r="R44" i="19"/>
  <c r="S44" i="19" s="1"/>
  <c r="R46" i="19"/>
  <c r="S46" i="19" s="1"/>
  <c r="R48" i="19"/>
  <c r="S48" i="19" s="1"/>
  <c r="R50" i="19"/>
  <c r="S50" i="19" s="1"/>
  <c r="R52" i="19"/>
  <c r="S52" i="19" s="1"/>
  <c r="R54" i="19"/>
  <c r="S54" i="19" s="1"/>
  <c r="R12" i="19"/>
  <c r="T15" i="13"/>
  <c r="R10" i="31"/>
  <c r="R12" i="31"/>
  <c r="S12" i="31" s="1"/>
  <c r="R13" i="31"/>
  <c r="S13" i="31" s="1"/>
  <c r="R14" i="31"/>
  <c r="R15" i="31"/>
  <c r="R16" i="31"/>
  <c r="R17" i="31"/>
  <c r="R18" i="31"/>
  <c r="R19" i="31"/>
  <c r="R20" i="31"/>
  <c r="R21" i="31"/>
  <c r="R22" i="31"/>
  <c r="R23" i="31"/>
  <c r="R24" i="31"/>
  <c r="R25" i="31"/>
  <c r="R26" i="31"/>
  <c r="R27" i="31"/>
  <c r="R28" i="31"/>
  <c r="R29" i="31"/>
  <c r="R30" i="31"/>
  <c r="R31" i="31"/>
  <c r="R32" i="31"/>
  <c r="R33" i="31"/>
  <c r="R34" i="31"/>
  <c r="R35" i="31"/>
  <c r="R36" i="31"/>
  <c r="R37" i="31"/>
  <c r="R38" i="31"/>
  <c r="R39" i="31"/>
  <c r="R41" i="31"/>
  <c r="S41" i="31" s="1"/>
  <c r="R43" i="31"/>
  <c r="S43" i="31" s="1"/>
  <c r="R45" i="31"/>
  <c r="S45" i="31" s="1"/>
  <c r="R47" i="31"/>
  <c r="S47" i="31" s="1"/>
  <c r="R49" i="31"/>
  <c r="S49" i="31" s="1"/>
  <c r="R51" i="31"/>
  <c r="S51" i="31" s="1"/>
  <c r="R9" i="31"/>
  <c r="D11" i="24"/>
  <c r="E11" i="24"/>
  <c r="T14" i="24"/>
  <c r="P42" i="44" l="1"/>
  <c r="U42" i="44" s="1"/>
  <c r="P48" i="44"/>
  <c r="U48" i="44" s="1"/>
  <c r="P50" i="44"/>
  <c r="U50" i="44" s="1"/>
  <c r="S50" i="44"/>
  <c r="S48" i="44"/>
  <c r="S42" i="44"/>
  <c r="E57" i="44"/>
  <c r="T46" i="44"/>
  <c r="T44" i="44"/>
  <c r="K52" i="44"/>
  <c r="K59" i="44" s="1"/>
  <c r="J52" i="44"/>
  <c r="I52" i="44"/>
  <c r="I59" i="44" s="1"/>
  <c r="H52" i="44"/>
  <c r="T40" i="44"/>
  <c r="G57" i="44"/>
  <c r="G52" i="44"/>
  <c r="T9" i="24"/>
  <c r="U42" i="14"/>
  <c r="H57" i="44"/>
  <c r="J57" i="44"/>
  <c r="B57" i="44"/>
  <c r="B52" i="44"/>
  <c r="T11" i="44"/>
  <c r="E52" i="44"/>
  <c r="F52" i="44"/>
  <c r="F59" i="44" s="1"/>
  <c r="E13" i="22"/>
  <c r="F13" i="22"/>
  <c r="G13" i="22"/>
  <c r="C11" i="42"/>
  <c r="D11" i="42"/>
  <c r="E11" i="42"/>
  <c r="C11" i="41"/>
  <c r="D11" i="41"/>
  <c r="E11" i="41"/>
  <c r="E11" i="38"/>
  <c r="F11" i="38"/>
  <c r="G11" i="38"/>
  <c r="D11" i="37"/>
  <c r="E11" i="37"/>
  <c r="F11" i="37"/>
  <c r="E11" i="28"/>
  <c r="F11" i="28"/>
  <c r="G11" i="28"/>
  <c r="E11" i="33"/>
  <c r="F11" i="33"/>
  <c r="G11" i="33"/>
  <c r="E11" i="26"/>
  <c r="F11" i="26"/>
  <c r="G11" i="26"/>
  <c r="D14" i="20"/>
  <c r="E14" i="20"/>
  <c r="F14" i="20"/>
  <c r="E14" i="14"/>
  <c r="F14" i="14"/>
  <c r="G14" i="14"/>
  <c r="D12" i="29"/>
  <c r="E12" i="29"/>
  <c r="F12" i="29"/>
  <c r="G12" i="29"/>
  <c r="H12" i="29"/>
  <c r="I12" i="29"/>
  <c r="J12" i="29"/>
  <c r="K12" i="29"/>
  <c r="L12" i="29"/>
  <c r="M12" i="29"/>
  <c r="N12" i="29"/>
  <c r="O12" i="29"/>
  <c r="C11" i="31"/>
  <c r="D11" i="31"/>
  <c r="E11" i="31"/>
  <c r="F11" i="24"/>
  <c r="E11" i="35"/>
  <c r="F11" i="35"/>
  <c r="D12" i="21"/>
  <c r="E12" i="21"/>
  <c r="F12" i="21"/>
  <c r="C11" i="27"/>
  <c r="D11" i="27"/>
  <c r="E11" i="27"/>
  <c r="M46" i="43"/>
  <c r="L46" i="43"/>
  <c r="K46" i="43"/>
  <c r="J46" i="43"/>
  <c r="I46" i="43"/>
  <c r="H46" i="43"/>
  <c r="G46" i="43"/>
  <c r="F46" i="43"/>
  <c r="E46" i="43"/>
  <c r="B46" i="43"/>
  <c r="P46" i="43" s="1"/>
  <c r="M44" i="43"/>
  <c r="L44" i="43"/>
  <c r="K44" i="43"/>
  <c r="J44" i="43"/>
  <c r="I44" i="43"/>
  <c r="H44" i="43"/>
  <c r="G44" i="43"/>
  <c r="F44" i="43"/>
  <c r="E44" i="43"/>
  <c r="M50" i="43"/>
  <c r="L40" i="43"/>
  <c r="K40" i="43"/>
  <c r="K50" i="43" s="1"/>
  <c r="J40" i="43"/>
  <c r="I40" i="43"/>
  <c r="H40" i="43"/>
  <c r="H48" i="43" s="1"/>
  <c r="G40" i="43"/>
  <c r="G50" i="43" s="1"/>
  <c r="F40" i="43"/>
  <c r="F48" i="43" s="1"/>
  <c r="E40" i="43"/>
  <c r="M11" i="43"/>
  <c r="M42" i="43" s="1"/>
  <c r="L11" i="43"/>
  <c r="K11" i="43"/>
  <c r="J11" i="43"/>
  <c r="I11" i="43"/>
  <c r="H11" i="43"/>
  <c r="G11" i="43"/>
  <c r="F11" i="43"/>
  <c r="E11" i="43"/>
  <c r="B11" i="43"/>
  <c r="U11" i="43" s="1"/>
  <c r="S29" i="29"/>
  <c r="H43" i="18"/>
  <c r="F14" i="18"/>
  <c r="T14" i="37"/>
  <c r="T12" i="20"/>
  <c r="P18" i="13"/>
  <c r="T18" i="13" s="1"/>
  <c r="P19" i="13"/>
  <c r="T19" i="13" s="1"/>
  <c r="P20" i="13"/>
  <c r="T20" i="13" s="1"/>
  <c r="P21" i="13"/>
  <c r="T21" i="13" s="1"/>
  <c r="P22" i="13"/>
  <c r="T22" i="13" s="1"/>
  <c r="P23" i="13"/>
  <c r="T23" i="13" s="1"/>
  <c r="P24" i="13"/>
  <c r="T24" i="13" s="1"/>
  <c r="P25" i="13"/>
  <c r="T25" i="13" s="1"/>
  <c r="P26" i="13"/>
  <c r="T26" i="13" s="1"/>
  <c r="P27" i="13"/>
  <c r="T27" i="13" s="1"/>
  <c r="P28" i="13"/>
  <c r="T28" i="13" s="1"/>
  <c r="P29" i="13"/>
  <c r="T29" i="13" s="1"/>
  <c r="P30" i="13"/>
  <c r="T30" i="13" s="1"/>
  <c r="P31" i="13"/>
  <c r="T31" i="13" s="1"/>
  <c r="P32" i="13"/>
  <c r="T32" i="13" s="1"/>
  <c r="P33" i="13"/>
  <c r="T33" i="13" s="1"/>
  <c r="P34" i="13"/>
  <c r="T34" i="13" s="1"/>
  <c r="P35" i="13"/>
  <c r="T35" i="13" s="1"/>
  <c r="P36" i="13"/>
  <c r="T36" i="13" s="1"/>
  <c r="P37" i="13"/>
  <c r="T37" i="13" s="1"/>
  <c r="P38" i="13"/>
  <c r="T38" i="13" s="1"/>
  <c r="P39" i="13"/>
  <c r="T39" i="13" s="1"/>
  <c r="P40" i="13"/>
  <c r="T40" i="13" s="1"/>
  <c r="P41" i="13"/>
  <c r="T41" i="13" s="1"/>
  <c r="P42" i="13"/>
  <c r="T42" i="13" s="1"/>
  <c r="P17" i="13"/>
  <c r="T17" i="13" s="1"/>
  <c r="P13" i="13"/>
  <c r="T13" i="13" s="1"/>
  <c r="P12" i="13"/>
  <c r="T12" i="13" s="1"/>
  <c r="B48" i="12"/>
  <c r="D14" i="4"/>
  <c r="N46" i="42"/>
  <c r="M46" i="42"/>
  <c r="L46" i="42"/>
  <c r="K46" i="42"/>
  <c r="J46" i="42"/>
  <c r="I46" i="42"/>
  <c r="H46" i="42"/>
  <c r="G46" i="42"/>
  <c r="F46" i="42"/>
  <c r="E46" i="42"/>
  <c r="D46" i="42"/>
  <c r="C46" i="42"/>
  <c r="N44" i="42"/>
  <c r="M44" i="42"/>
  <c r="L44" i="42"/>
  <c r="K44" i="42"/>
  <c r="J44" i="42"/>
  <c r="I44" i="42"/>
  <c r="H44" i="42"/>
  <c r="G44" i="42"/>
  <c r="F44" i="42"/>
  <c r="E44" i="42"/>
  <c r="D44" i="42"/>
  <c r="C44" i="42"/>
  <c r="N40" i="42"/>
  <c r="N50" i="42" s="1"/>
  <c r="M40" i="42"/>
  <c r="L40" i="42"/>
  <c r="L50" i="42" s="1"/>
  <c r="K40" i="42"/>
  <c r="J40" i="42"/>
  <c r="I40" i="42"/>
  <c r="I48" i="42" s="1"/>
  <c r="H40" i="42"/>
  <c r="H50" i="42" s="1"/>
  <c r="G40" i="42"/>
  <c r="F40" i="42"/>
  <c r="E40" i="42"/>
  <c r="E50" i="42" s="1"/>
  <c r="D40" i="42"/>
  <c r="C40" i="42"/>
  <c r="C48" i="42" s="1"/>
  <c r="S39" i="42"/>
  <c r="S38" i="42"/>
  <c r="S34" i="42"/>
  <c r="S29" i="42"/>
  <c r="S27" i="42"/>
  <c r="S26" i="42"/>
  <c r="S22" i="42"/>
  <c r="S21" i="42"/>
  <c r="S15" i="42"/>
  <c r="N11" i="42"/>
  <c r="M11" i="42"/>
  <c r="L11" i="42"/>
  <c r="K11" i="42"/>
  <c r="J11" i="42"/>
  <c r="I11" i="42"/>
  <c r="H11" i="42"/>
  <c r="G11" i="42"/>
  <c r="F11" i="42"/>
  <c r="S10" i="42"/>
  <c r="P52" i="44" l="1"/>
  <c r="U52" i="44" s="1"/>
  <c r="P44" i="43"/>
  <c r="O44" i="42"/>
  <c r="O46" i="42"/>
  <c r="S40" i="43"/>
  <c r="S46" i="43"/>
  <c r="R44" i="42"/>
  <c r="S11" i="43"/>
  <c r="T11" i="43" s="1"/>
  <c r="S52" i="44"/>
  <c r="U44" i="43"/>
  <c r="S44" i="43"/>
  <c r="D48" i="42"/>
  <c r="R40" i="42"/>
  <c r="U13" i="6"/>
  <c r="U46" i="43"/>
  <c r="E59" i="44"/>
  <c r="R46" i="42"/>
  <c r="R11" i="42"/>
  <c r="T42" i="44"/>
  <c r="J59" i="44"/>
  <c r="T50" i="44"/>
  <c r="L48" i="43"/>
  <c r="M48" i="42"/>
  <c r="J48" i="43"/>
  <c r="K50" i="42"/>
  <c r="H59" i="44"/>
  <c r="K48" i="42"/>
  <c r="S17" i="42"/>
  <c r="J48" i="42"/>
  <c r="G59" i="44"/>
  <c r="T48" i="44"/>
  <c r="I48" i="43"/>
  <c r="Q21" i="43"/>
  <c r="Q33" i="43"/>
  <c r="Q22" i="43"/>
  <c r="Q34" i="43"/>
  <c r="Q24" i="43"/>
  <c r="Q38" i="43"/>
  <c r="Q26" i="43"/>
  <c r="Q39" i="43"/>
  <c r="Q27" i="43"/>
  <c r="Q29" i="43"/>
  <c r="Q15" i="43"/>
  <c r="Q20" i="43"/>
  <c r="Q16" i="43"/>
  <c r="Q17" i="43"/>
  <c r="Q35" i="43"/>
  <c r="Q37" i="43"/>
  <c r="Q30" i="43"/>
  <c r="Q31" i="43"/>
  <c r="Q23" i="43"/>
  <c r="Q18" i="43"/>
  <c r="Q36" i="43"/>
  <c r="Q19" i="43"/>
  <c r="Q14" i="43"/>
  <c r="Q25" i="43"/>
  <c r="Q28" i="43"/>
  <c r="Q32" i="43"/>
  <c r="S33" i="42"/>
  <c r="S30" i="42"/>
  <c r="S35" i="42"/>
  <c r="P35" i="42"/>
  <c r="S24" i="42"/>
  <c r="S25" i="42"/>
  <c r="S20" i="42"/>
  <c r="S36" i="42"/>
  <c r="S14" i="42"/>
  <c r="S28" i="42"/>
  <c r="S19" i="42"/>
  <c r="S23" i="42"/>
  <c r="S18" i="42"/>
  <c r="S37" i="42"/>
  <c r="S31" i="42"/>
  <c r="S32" i="42"/>
  <c r="P57" i="44"/>
  <c r="G48" i="42"/>
  <c r="C50" i="42"/>
  <c r="B59" i="44"/>
  <c r="I42" i="42"/>
  <c r="H42" i="42"/>
  <c r="M42" i="42"/>
  <c r="N42" i="42"/>
  <c r="P24" i="42"/>
  <c r="S9" i="42"/>
  <c r="K42" i="42"/>
  <c r="G42" i="42"/>
  <c r="H50" i="43"/>
  <c r="H57" i="43" s="1"/>
  <c r="J42" i="43"/>
  <c r="K42" i="43"/>
  <c r="H42" i="43"/>
  <c r="F42" i="43"/>
  <c r="L42" i="43"/>
  <c r="I42" i="43"/>
  <c r="E50" i="43"/>
  <c r="E42" i="43"/>
  <c r="F48" i="42"/>
  <c r="F42" i="42"/>
  <c r="H45" i="18"/>
  <c r="J42" i="42"/>
  <c r="L48" i="42"/>
  <c r="L58" i="42" s="1"/>
  <c r="I50" i="43"/>
  <c r="J50" i="43"/>
  <c r="L42" i="42"/>
  <c r="F50" i="42"/>
  <c r="L50" i="43"/>
  <c r="I50" i="42"/>
  <c r="I58" i="42" s="1"/>
  <c r="J50" i="42"/>
  <c r="F50" i="43"/>
  <c r="F57" i="43" s="1"/>
  <c r="B42" i="43"/>
  <c r="E48" i="43"/>
  <c r="K48" i="43"/>
  <c r="K57" i="43" s="1"/>
  <c r="G42" i="43"/>
  <c r="G48" i="43"/>
  <c r="G57" i="43" s="1"/>
  <c r="M48" i="43"/>
  <c r="E42" i="42"/>
  <c r="E48" i="42"/>
  <c r="E58" i="42" s="1"/>
  <c r="P43" i="13"/>
  <c r="O40" i="42"/>
  <c r="D50" i="42"/>
  <c r="H48" i="42"/>
  <c r="N48" i="42"/>
  <c r="N58" i="42" s="1"/>
  <c r="C42" i="42"/>
  <c r="G50" i="42"/>
  <c r="M50" i="42"/>
  <c r="D42" i="42"/>
  <c r="P50" i="43" l="1"/>
  <c r="P48" i="43"/>
  <c r="U48" i="43" s="1"/>
  <c r="P42" i="43"/>
  <c r="D58" i="42"/>
  <c r="O48" i="42"/>
  <c r="P48" i="42" s="1"/>
  <c r="O50" i="42"/>
  <c r="P50" i="42" s="1"/>
  <c r="O42" i="42"/>
  <c r="P42" i="42" s="1"/>
  <c r="S42" i="43"/>
  <c r="S48" i="43"/>
  <c r="S50" i="43"/>
  <c r="F52" i="43"/>
  <c r="R42" i="42"/>
  <c r="B57" i="43"/>
  <c r="U50" i="43"/>
  <c r="C58" i="42"/>
  <c r="P44" i="42"/>
  <c r="P46" i="42"/>
  <c r="P31" i="42"/>
  <c r="P25" i="42"/>
  <c r="P14" i="42"/>
  <c r="P37" i="42"/>
  <c r="P33" i="42"/>
  <c r="P23" i="42"/>
  <c r="C52" i="42"/>
  <c r="P19" i="42"/>
  <c r="P36" i="42"/>
  <c r="P27" i="42"/>
  <c r="P38" i="42"/>
  <c r="P29" i="42"/>
  <c r="P15" i="42"/>
  <c r="P34" i="42"/>
  <c r="P21" i="42"/>
  <c r="P26" i="42"/>
  <c r="P22" i="42"/>
  <c r="P39" i="42"/>
  <c r="P30" i="42"/>
  <c r="P17" i="42"/>
  <c r="P32" i="42"/>
  <c r="P18" i="42"/>
  <c r="P28" i="42"/>
  <c r="P20" i="42"/>
  <c r="P16" i="42"/>
  <c r="M57" i="43"/>
  <c r="M52" i="43"/>
  <c r="R48" i="42"/>
  <c r="N52" i="42"/>
  <c r="N60" i="42" s="1"/>
  <c r="L52" i="43"/>
  <c r="M52" i="42"/>
  <c r="R50" i="42"/>
  <c r="L52" i="42"/>
  <c r="L60" i="42" s="1"/>
  <c r="K58" i="42"/>
  <c r="P40" i="42"/>
  <c r="K52" i="42"/>
  <c r="J58" i="42"/>
  <c r="I57" i="43"/>
  <c r="T44" i="43"/>
  <c r="Q44" i="43"/>
  <c r="T46" i="43"/>
  <c r="Q46" i="43"/>
  <c r="P59" i="44"/>
  <c r="T52" i="44"/>
  <c r="Q40" i="43"/>
  <c r="T40" i="43"/>
  <c r="H52" i="42"/>
  <c r="G58" i="42"/>
  <c r="S46" i="42"/>
  <c r="I52" i="42"/>
  <c r="I60" i="42" s="1"/>
  <c r="M58" i="42"/>
  <c r="L57" i="43"/>
  <c r="S44" i="42"/>
  <c r="H58" i="42"/>
  <c r="J52" i="42"/>
  <c r="H52" i="43"/>
  <c r="H59" i="43" s="1"/>
  <c r="S11" i="42"/>
  <c r="J52" i="43"/>
  <c r="K52" i="43"/>
  <c r="K59" i="43" s="1"/>
  <c r="I52" i="43"/>
  <c r="J57" i="43"/>
  <c r="E57" i="43"/>
  <c r="S40" i="42"/>
  <c r="F58" i="42"/>
  <c r="F52" i="42"/>
  <c r="G52" i="43"/>
  <c r="G59" i="43" s="1"/>
  <c r="D52" i="42"/>
  <c r="D60" i="42" s="1"/>
  <c r="E52" i="42"/>
  <c r="E60" i="42" s="1"/>
  <c r="B52" i="43"/>
  <c r="E52" i="43"/>
  <c r="G52" i="42"/>
  <c r="P52" i="43" l="1"/>
  <c r="Q42" i="43"/>
  <c r="U42" i="43"/>
  <c r="O52" i="42"/>
  <c r="P52" i="42" s="1"/>
  <c r="S52" i="43"/>
  <c r="R52" i="42"/>
  <c r="O58" i="42"/>
  <c r="C60" i="42"/>
  <c r="M59" i="43"/>
  <c r="L59" i="43"/>
  <c r="M60" i="42"/>
  <c r="K60" i="42"/>
  <c r="I59" i="43"/>
  <c r="J60" i="42"/>
  <c r="T50" i="43"/>
  <c r="Q50" i="43"/>
  <c r="T48" i="43"/>
  <c r="Q48" i="43"/>
  <c r="T42" i="43"/>
  <c r="H60" i="42"/>
  <c r="G60" i="42"/>
  <c r="J59" i="43"/>
  <c r="B59" i="43"/>
  <c r="F59" i="43"/>
  <c r="S42" i="42"/>
  <c r="S50" i="42"/>
  <c r="S48" i="42"/>
  <c r="P57" i="43"/>
  <c r="E59" i="43"/>
  <c r="F60" i="42"/>
  <c r="D40" i="37"/>
  <c r="F40" i="37"/>
  <c r="E40" i="37"/>
  <c r="Q52" i="43" l="1"/>
  <c r="U52" i="43"/>
  <c r="T52" i="43"/>
  <c r="S52" i="42"/>
  <c r="P59" i="43"/>
  <c r="O60" i="42"/>
  <c r="E50" i="37"/>
  <c r="E42" i="37"/>
  <c r="E48" i="37"/>
  <c r="D50" i="37"/>
  <c r="D48" i="37"/>
  <c r="D42" i="37"/>
  <c r="F50" i="37"/>
  <c r="F48" i="37"/>
  <c r="F42" i="37"/>
  <c r="G43" i="18"/>
  <c r="I43" i="18"/>
  <c r="J43" i="18"/>
  <c r="K43" i="18"/>
  <c r="L43" i="18"/>
  <c r="N43" i="18"/>
  <c r="O43" i="18"/>
  <c r="P43" i="18"/>
  <c r="F43" i="18"/>
  <c r="C40" i="39"/>
  <c r="D40" i="39"/>
  <c r="E40" i="39"/>
  <c r="F40" i="39"/>
  <c r="G40" i="39"/>
  <c r="H40" i="39"/>
  <c r="I40" i="39"/>
  <c r="J40" i="39"/>
  <c r="K40" i="39"/>
  <c r="L40" i="39"/>
  <c r="M40" i="39"/>
  <c r="B40" i="39"/>
  <c r="N39" i="39"/>
  <c r="C40" i="41"/>
  <c r="D40" i="41"/>
  <c r="E40" i="41"/>
  <c r="F40" i="41"/>
  <c r="G40" i="41"/>
  <c r="H40" i="41"/>
  <c r="I40" i="41"/>
  <c r="J40" i="41"/>
  <c r="K40" i="41"/>
  <c r="L40" i="41"/>
  <c r="M40" i="41"/>
  <c r="N40" i="41"/>
  <c r="S39" i="41"/>
  <c r="I40" i="38"/>
  <c r="J40" i="38"/>
  <c r="K40" i="38"/>
  <c r="L40" i="38"/>
  <c r="M40" i="38"/>
  <c r="N40" i="38"/>
  <c r="O40" i="38"/>
  <c r="P40" i="38"/>
  <c r="U39" i="38"/>
  <c r="B40" i="35"/>
  <c r="E40" i="35"/>
  <c r="F40" i="35"/>
  <c r="G40" i="35"/>
  <c r="H40" i="35"/>
  <c r="I40" i="35"/>
  <c r="J40" i="35"/>
  <c r="K40" i="35"/>
  <c r="L40" i="35"/>
  <c r="M40" i="35"/>
  <c r="N40" i="35"/>
  <c r="O40" i="35"/>
  <c r="T39" i="35"/>
  <c r="D40" i="32"/>
  <c r="E40" i="32"/>
  <c r="F40" i="32"/>
  <c r="G40" i="32"/>
  <c r="H40" i="32"/>
  <c r="I40" i="32"/>
  <c r="J40" i="32"/>
  <c r="K40" i="32"/>
  <c r="L40" i="32"/>
  <c r="M40" i="32"/>
  <c r="N40" i="32"/>
  <c r="O40" i="32"/>
  <c r="T39" i="32"/>
  <c r="E40" i="28"/>
  <c r="F40" i="28"/>
  <c r="G40" i="28"/>
  <c r="H40" i="28"/>
  <c r="I40" i="28"/>
  <c r="J40" i="28"/>
  <c r="K40" i="28"/>
  <c r="L40" i="28"/>
  <c r="M40" i="28"/>
  <c r="N40" i="28"/>
  <c r="P40" i="28"/>
  <c r="U39" i="28"/>
  <c r="E40" i="33"/>
  <c r="F40" i="33"/>
  <c r="G40" i="33"/>
  <c r="H40" i="33"/>
  <c r="I40" i="33"/>
  <c r="J40" i="33"/>
  <c r="K40" i="33"/>
  <c r="L40" i="33"/>
  <c r="M40" i="33"/>
  <c r="N40" i="33"/>
  <c r="O40" i="33"/>
  <c r="P40" i="33"/>
  <c r="U39" i="33"/>
  <c r="B40" i="27"/>
  <c r="C40" i="27"/>
  <c r="D40" i="27"/>
  <c r="E40" i="27"/>
  <c r="F40" i="27"/>
  <c r="G40" i="27"/>
  <c r="H40" i="27"/>
  <c r="I40" i="27"/>
  <c r="J40" i="27"/>
  <c r="K40" i="27"/>
  <c r="L40" i="27"/>
  <c r="M40" i="27"/>
  <c r="N40" i="27"/>
  <c r="B40" i="25"/>
  <c r="D40" i="25"/>
  <c r="E40" i="25"/>
  <c r="F40" i="25"/>
  <c r="G40" i="25"/>
  <c r="H40" i="25"/>
  <c r="I40" i="25"/>
  <c r="J40" i="25"/>
  <c r="K40" i="25"/>
  <c r="L40" i="25"/>
  <c r="M40" i="25"/>
  <c r="N40" i="25"/>
  <c r="O40" i="25"/>
  <c r="T39" i="25"/>
  <c r="E40" i="26"/>
  <c r="F40" i="26"/>
  <c r="G40" i="26"/>
  <c r="H40" i="26"/>
  <c r="I40" i="26"/>
  <c r="J40" i="26"/>
  <c r="K40" i="26"/>
  <c r="L40" i="26"/>
  <c r="M40" i="26"/>
  <c r="N40" i="26"/>
  <c r="O40" i="26"/>
  <c r="P40" i="26"/>
  <c r="U39" i="26"/>
  <c r="D40" i="24"/>
  <c r="E40" i="24"/>
  <c r="F40" i="24"/>
  <c r="G40" i="24"/>
  <c r="H40" i="24"/>
  <c r="I40" i="24"/>
  <c r="J40" i="24"/>
  <c r="K40" i="24"/>
  <c r="L40" i="24"/>
  <c r="M40" i="24"/>
  <c r="N40" i="24"/>
  <c r="O40" i="24"/>
  <c r="B40" i="24"/>
  <c r="T39" i="24"/>
  <c r="D41" i="21"/>
  <c r="E41" i="21"/>
  <c r="F41" i="21"/>
  <c r="G41" i="21"/>
  <c r="H41" i="21"/>
  <c r="I41" i="21"/>
  <c r="J41" i="21"/>
  <c r="K41" i="21"/>
  <c r="L41" i="21"/>
  <c r="M41" i="21"/>
  <c r="N41" i="21"/>
  <c r="O41" i="21"/>
  <c r="B41" i="21"/>
  <c r="T40" i="21"/>
  <c r="E43" i="20"/>
  <c r="F43" i="20"/>
  <c r="G43" i="20"/>
  <c r="H43" i="20"/>
  <c r="I43" i="20"/>
  <c r="J43" i="20"/>
  <c r="K43" i="20"/>
  <c r="L43" i="20"/>
  <c r="M43" i="20"/>
  <c r="N43" i="20"/>
  <c r="O43" i="20"/>
  <c r="D43" i="20"/>
  <c r="B43" i="20"/>
  <c r="T42" i="20"/>
  <c r="C43" i="19"/>
  <c r="D43" i="19"/>
  <c r="E43" i="19"/>
  <c r="F43" i="19"/>
  <c r="G43" i="19"/>
  <c r="H43" i="19"/>
  <c r="I43" i="19"/>
  <c r="J43" i="19"/>
  <c r="K43" i="19"/>
  <c r="L43" i="19"/>
  <c r="M43" i="19"/>
  <c r="N43" i="19"/>
  <c r="B43" i="19"/>
  <c r="O42" i="19"/>
  <c r="S42" i="19" s="1"/>
  <c r="E43" i="14"/>
  <c r="F43" i="14"/>
  <c r="G43" i="14"/>
  <c r="H43" i="14"/>
  <c r="I43" i="14"/>
  <c r="J43" i="14"/>
  <c r="K43" i="14"/>
  <c r="L43" i="14"/>
  <c r="M43" i="14"/>
  <c r="N43" i="14"/>
  <c r="O43" i="14"/>
  <c r="P43" i="14"/>
  <c r="C43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B43" i="13"/>
  <c r="F43" i="8"/>
  <c r="G43" i="8"/>
  <c r="H43" i="8"/>
  <c r="I43" i="8"/>
  <c r="J43" i="8"/>
  <c r="K43" i="8"/>
  <c r="L43" i="8"/>
  <c r="M43" i="8"/>
  <c r="N43" i="8"/>
  <c r="O43" i="8"/>
  <c r="P43" i="8"/>
  <c r="Q43" i="8"/>
  <c r="V42" i="8"/>
  <c r="D41" i="29"/>
  <c r="E41" i="29"/>
  <c r="F41" i="29"/>
  <c r="G41" i="29"/>
  <c r="H41" i="29"/>
  <c r="I41" i="29"/>
  <c r="J41" i="29"/>
  <c r="K41" i="29"/>
  <c r="K44" i="29" s="1"/>
  <c r="L41" i="29"/>
  <c r="L44" i="29" s="1"/>
  <c r="M41" i="29"/>
  <c r="M44" i="29" s="1"/>
  <c r="N41" i="29"/>
  <c r="N44" i="29" s="1"/>
  <c r="O41" i="29"/>
  <c r="O44" i="29" s="1"/>
  <c r="B41" i="29"/>
  <c r="T40" i="29"/>
  <c r="C40" i="31"/>
  <c r="D40" i="31"/>
  <c r="E40" i="31"/>
  <c r="F40" i="31"/>
  <c r="G40" i="31"/>
  <c r="H40" i="31"/>
  <c r="I40" i="31"/>
  <c r="J40" i="31"/>
  <c r="K40" i="31"/>
  <c r="L40" i="31"/>
  <c r="M40" i="31"/>
  <c r="N40" i="31"/>
  <c r="B40" i="31"/>
  <c r="O39" i="31"/>
  <c r="S39" i="31" s="1"/>
  <c r="D42" i="12"/>
  <c r="E42" i="12"/>
  <c r="F42" i="12"/>
  <c r="G42" i="12"/>
  <c r="H42" i="12"/>
  <c r="I42" i="12"/>
  <c r="J42" i="12"/>
  <c r="K42" i="12"/>
  <c r="L42" i="12"/>
  <c r="M42" i="12"/>
  <c r="N42" i="12"/>
  <c r="O42" i="12"/>
  <c r="B42" i="12"/>
  <c r="P41" i="12"/>
  <c r="U41" i="12" s="1"/>
  <c r="B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V42" i="11"/>
  <c r="D43" i="4"/>
  <c r="E43" i="4"/>
  <c r="F43" i="4"/>
  <c r="G43" i="4"/>
  <c r="H43" i="4"/>
  <c r="I43" i="4"/>
  <c r="J43" i="4"/>
  <c r="K43" i="4"/>
  <c r="L43" i="4"/>
  <c r="M43" i="4"/>
  <c r="N43" i="4"/>
  <c r="O43" i="4"/>
  <c r="B43" i="4"/>
  <c r="P42" i="4"/>
  <c r="U42" i="4" s="1"/>
  <c r="C42" i="7"/>
  <c r="F42" i="7"/>
  <c r="G42" i="7"/>
  <c r="H42" i="7"/>
  <c r="I42" i="7"/>
  <c r="J42" i="7"/>
  <c r="K42" i="7"/>
  <c r="L42" i="7"/>
  <c r="M42" i="7"/>
  <c r="N42" i="7"/>
  <c r="O42" i="7"/>
  <c r="P42" i="7"/>
  <c r="Q42" i="7"/>
  <c r="R41" i="7"/>
  <c r="V41" i="7" s="1"/>
  <c r="F42" i="22"/>
  <c r="H42" i="22"/>
  <c r="I42" i="22"/>
  <c r="J42" i="22"/>
  <c r="K42" i="22"/>
  <c r="L42" i="22"/>
  <c r="M42" i="22"/>
  <c r="N42" i="22"/>
  <c r="O42" i="22"/>
  <c r="P42" i="22"/>
  <c r="E42" i="22"/>
  <c r="B42" i="22"/>
  <c r="X42" i="22" s="1"/>
  <c r="V41" i="22"/>
  <c r="T42" i="22" l="1"/>
  <c r="S41" i="21"/>
  <c r="T40" i="38"/>
  <c r="S40" i="24"/>
  <c r="S40" i="32"/>
  <c r="R40" i="41"/>
  <c r="T40" i="28"/>
  <c r="T40" i="33"/>
  <c r="S40" i="35"/>
  <c r="B50" i="22"/>
  <c r="Q40" i="39"/>
  <c r="R39" i="39"/>
  <c r="R40" i="27"/>
  <c r="S43" i="20"/>
  <c r="S41" i="29"/>
  <c r="T40" i="26"/>
  <c r="E44" i="22"/>
  <c r="S40" i="25"/>
  <c r="J44" i="29"/>
  <c r="S44" i="29" s="1"/>
  <c r="R43" i="19"/>
  <c r="R40" i="31"/>
  <c r="S43" i="13"/>
  <c r="T43" i="13" s="1"/>
  <c r="F43" i="6"/>
  <c r="M50" i="41"/>
  <c r="L50" i="41"/>
  <c r="G50" i="41"/>
  <c r="N46" i="41"/>
  <c r="M46" i="41"/>
  <c r="L46" i="41"/>
  <c r="K46" i="41"/>
  <c r="J46" i="41"/>
  <c r="I46" i="41"/>
  <c r="H46" i="41"/>
  <c r="G46" i="41"/>
  <c r="F46" i="41"/>
  <c r="E46" i="41"/>
  <c r="D46" i="41"/>
  <c r="C46" i="41"/>
  <c r="N44" i="41"/>
  <c r="M44" i="41"/>
  <c r="L44" i="41"/>
  <c r="K44" i="41"/>
  <c r="J44" i="41"/>
  <c r="I44" i="41"/>
  <c r="H44" i="41"/>
  <c r="G44" i="41"/>
  <c r="F44" i="41"/>
  <c r="E44" i="41"/>
  <c r="D44" i="41"/>
  <c r="C44" i="41"/>
  <c r="N50" i="41"/>
  <c r="M48" i="41"/>
  <c r="L48" i="41"/>
  <c r="K50" i="41"/>
  <c r="J50" i="41"/>
  <c r="I50" i="41"/>
  <c r="H50" i="41"/>
  <c r="G48" i="41"/>
  <c r="F48" i="41"/>
  <c r="E50" i="41"/>
  <c r="D50" i="41"/>
  <c r="C50" i="41"/>
  <c r="S38" i="41"/>
  <c r="S37" i="41"/>
  <c r="S36" i="41"/>
  <c r="S35" i="41"/>
  <c r="S34" i="41"/>
  <c r="S33" i="41"/>
  <c r="S32" i="41"/>
  <c r="S31" i="41"/>
  <c r="S30" i="41"/>
  <c r="S29" i="41"/>
  <c r="S28" i="41"/>
  <c r="S27" i="41"/>
  <c r="S26" i="41"/>
  <c r="S25" i="41"/>
  <c r="S24" i="41"/>
  <c r="S23" i="41"/>
  <c r="S22" i="41"/>
  <c r="S21" i="41"/>
  <c r="S20" i="41"/>
  <c r="S19" i="41"/>
  <c r="S18" i="41"/>
  <c r="S17" i="41"/>
  <c r="S16" i="41"/>
  <c r="S15" i="41"/>
  <c r="N11" i="41"/>
  <c r="M11" i="41"/>
  <c r="L11" i="41"/>
  <c r="K11" i="41"/>
  <c r="J11" i="41"/>
  <c r="I11" i="41"/>
  <c r="H11" i="41"/>
  <c r="G11" i="41"/>
  <c r="F11" i="41"/>
  <c r="F42" i="41" s="1"/>
  <c r="S10" i="41"/>
  <c r="S9" i="41"/>
  <c r="D11" i="25"/>
  <c r="E11" i="25"/>
  <c r="F11" i="25"/>
  <c r="B11" i="39"/>
  <c r="C11" i="39"/>
  <c r="D11" i="39"/>
  <c r="D42" i="39" s="1"/>
  <c r="N15" i="39"/>
  <c r="N16" i="39"/>
  <c r="N17" i="39"/>
  <c r="N18" i="39"/>
  <c r="N19" i="39"/>
  <c r="N20" i="39"/>
  <c r="N21" i="39"/>
  <c r="N22" i="39"/>
  <c r="N23" i="39"/>
  <c r="N24" i="39"/>
  <c r="N25" i="39"/>
  <c r="N26" i="39"/>
  <c r="N27" i="39"/>
  <c r="N28" i="39"/>
  <c r="N29" i="39"/>
  <c r="N30" i="39"/>
  <c r="N31" i="39"/>
  <c r="N32" i="39"/>
  <c r="N33" i="39"/>
  <c r="N34" i="39"/>
  <c r="N35" i="39"/>
  <c r="N36" i="39"/>
  <c r="N37" i="39"/>
  <c r="N38" i="39"/>
  <c r="N14" i="39"/>
  <c r="N10" i="39"/>
  <c r="R10" i="39" s="1"/>
  <c r="N9" i="39"/>
  <c r="R9" i="39" s="1"/>
  <c r="H50" i="39"/>
  <c r="M48" i="39"/>
  <c r="M46" i="39"/>
  <c r="L46" i="39"/>
  <c r="K46" i="39"/>
  <c r="J46" i="39"/>
  <c r="I46" i="39"/>
  <c r="H46" i="39"/>
  <c r="G46" i="39"/>
  <c r="F46" i="39"/>
  <c r="E46" i="39"/>
  <c r="D46" i="39"/>
  <c r="C46" i="39"/>
  <c r="B46" i="39"/>
  <c r="M44" i="39"/>
  <c r="L44" i="39"/>
  <c r="K44" i="39"/>
  <c r="J44" i="39"/>
  <c r="I44" i="39"/>
  <c r="H44" i="39"/>
  <c r="G44" i="39"/>
  <c r="F44" i="39"/>
  <c r="E44" i="39"/>
  <c r="D44" i="39"/>
  <c r="C44" i="39"/>
  <c r="B44" i="39"/>
  <c r="M50" i="39"/>
  <c r="L48" i="39"/>
  <c r="K50" i="39"/>
  <c r="J50" i="39"/>
  <c r="I50" i="39"/>
  <c r="H48" i="39"/>
  <c r="G50" i="39"/>
  <c r="F48" i="39"/>
  <c r="E50" i="39"/>
  <c r="C50" i="39"/>
  <c r="B48" i="39"/>
  <c r="M11" i="39"/>
  <c r="L11" i="39"/>
  <c r="K11" i="39"/>
  <c r="J11" i="39"/>
  <c r="I11" i="39"/>
  <c r="H11" i="39"/>
  <c r="G11" i="39"/>
  <c r="F11" i="39"/>
  <c r="E11" i="39"/>
  <c r="D14" i="13"/>
  <c r="E14" i="13"/>
  <c r="F14" i="13"/>
  <c r="F14" i="8"/>
  <c r="G14" i="8"/>
  <c r="H14" i="8"/>
  <c r="V13" i="6"/>
  <c r="C42" i="6"/>
  <c r="R42" i="6" s="1"/>
  <c r="Y43" i="6" s="1"/>
  <c r="C41" i="6"/>
  <c r="R41" i="6" s="1"/>
  <c r="Y42" i="6" s="1"/>
  <c r="C40" i="6"/>
  <c r="C39" i="6"/>
  <c r="C38" i="6"/>
  <c r="C37" i="6"/>
  <c r="C36" i="6"/>
  <c r="C35" i="6"/>
  <c r="R35" i="6" s="1"/>
  <c r="Y36" i="6" s="1"/>
  <c r="C34" i="6"/>
  <c r="R34" i="6" s="1"/>
  <c r="Y35" i="6" s="1"/>
  <c r="C33" i="6"/>
  <c r="R33" i="6" s="1"/>
  <c r="Y34" i="6" s="1"/>
  <c r="C32" i="6"/>
  <c r="C31" i="6"/>
  <c r="C30" i="6"/>
  <c r="C29" i="6"/>
  <c r="C28" i="6"/>
  <c r="C27" i="6"/>
  <c r="C26" i="6"/>
  <c r="R26" i="6" s="1"/>
  <c r="Y27" i="6" s="1"/>
  <c r="C25" i="6"/>
  <c r="R25" i="6" s="1"/>
  <c r="Y26" i="6" s="1"/>
  <c r="C24" i="6"/>
  <c r="C23" i="6"/>
  <c r="C22" i="6"/>
  <c r="C21" i="6"/>
  <c r="C20" i="6"/>
  <c r="R20" i="6" s="1"/>
  <c r="Y21" i="6" s="1"/>
  <c r="C19" i="6"/>
  <c r="R19" i="6" s="1"/>
  <c r="Y20" i="6" s="1"/>
  <c r="C18" i="6"/>
  <c r="R18" i="6" s="1"/>
  <c r="Y19" i="6" s="1"/>
  <c r="C17" i="6"/>
  <c r="R17" i="6" s="1"/>
  <c r="Y18" i="6" s="1"/>
  <c r="C38" i="18"/>
  <c r="R38" i="18" s="1"/>
  <c r="C36" i="18"/>
  <c r="R36" i="18" s="1"/>
  <c r="C31" i="18"/>
  <c r="R31" i="18" s="1"/>
  <c r="C28" i="18"/>
  <c r="R28" i="18" s="1"/>
  <c r="C27" i="18"/>
  <c r="R27" i="18" s="1"/>
  <c r="C19" i="18"/>
  <c r="R19" i="18" s="1"/>
  <c r="C18" i="18"/>
  <c r="R18" i="18" s="1"/>
  <c r="C17" i="18"/>
  <c r="R17" i="18" s="1"/>
  <c r="D11" i="32"/>
  <c r="E11" i="32"/>
  <c r="F11" i="32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T17" i="14" s="1"/>
  <c r="C13" i="14"/>
  <c r="C12" i="14"/>
  <c r="V13" i="8"/>
  <c r="C12" i="8"/>
  <c r="R12" i="8" s="1"/>
  <c r="R14" i="8" s="1"/>
  <c r="W14" i="6" s="1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40" i="12"/>
  <c r="S40" i="12" s="1"/>
  <c r="C39" i="12"/>
  <c r="S39" i="12" s="1"/>
  <c r="C38" i="12"/>
  <c r="S38" i="12" s="1"/>
  <c r="C37" i="12"/>
  <c r="S37" i="12" s="1"/>
  <c r="C36" i="12"/>
  <c r="S36" i="12" s="1"/>
  <c r="C35" i="12"/>
  <c r="S35" i="12" s="1"/>
  <c r="C34" i="12"/>
  <c r="S34" i="12" s="1"/>
  <c r="C33" i="12"/>
  <c r="S33" i="12" s="1"/>
  <c r="C32" i="12"/>
  <c r="S32" i="12" s="1"/>
  <c r="C31" i="12"/>
  <c r="S31" i="12" s="1"/>
  <c r="C30" i="12"/>
  <c r="S30" i="12" s="1"/>
  <c r="C29" i="12"/>
  <c r="S29" i="12" s="1"/>
  <c r="C28" i="12"/>
  <c r="S28" i="12" s="1"/>
  <c r="C27" i="12"/>
  <c r="S27" i="12" s="1"/>
  <c r="C26" i="12"/>
  <c r="S26" i="12" s="1"/>
  <c r="C25" i="12"/>
  <c r="S25" i="12" s="1"/>
  <c r="C24" i="12"/>
  <c r="S24" i="12" s="1"/>
  <c r="C23" i="12"/>
  <c r="S23" i="12" s="1"/>
  <c r="C22" i="12"/>
  <c r="S22" i="12" s="1"/>
  <c r="C21" i="12"/>
  <c r="S21" i="12" s="1"/>
  <c r="C20" i="12"/>
  <c r="S20" i="12" s="1"/>
  <c r="C19" i="12"/>
  <c r="S19" i="12" s="1"/>
  <c r="C18" i="12"/>
  <c r="S18" i="12" s="1"/>
  <c r="C17" i="12"/>
  <c r="S17" i="12" s="1"/>
  <c r="C16" i="12"/>
  <c r="S16" i="12" s="1"/>
  <c r="C11" i="12"/>
  <c r="S11" i="12" s="1"/>
  <c r="C40" i="11"/>
  <c r="C39" i="11"/>
  <c r="C38" i="11"/>
  <c r="C36" i="11"/>
  <c r="C35" i="11"/>
  <c r="C34" i="11"/>
  <c r="C33" i="11"/>
  <c r="C31" i="11"/>
  <c r="C41" i="11"/>
  <c r="C37" i="11"/>
  <c r="C32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T17" i="11" s="1"/>
  <c r="C41" i="4"/>
  <c r="S41" i="4" s="1"/>
  <c r="C40" i="4"/>
  <c r="S40" i="4" s="1"/>
  <c r="C39" i="4"/>
  <c r="S39" i="4" s="1"/>
  <c r="C38" i="4"/>
  <c r="S38" i="4" s="1"/>
  <c r="C37" i="4"/>
  <c r="S37" i="4" s="1"/>
  <c r="C36" i="4"/>
  <c r="S36" i="4" s="1"/>
  <c r="C35" i="4"/>
  <c r="S35" i="4" s="1"/>
  <c r="C34" i="4"/>
  <c r="S34" i="4" s="1"/>
  <c r="C33" i="4"/>
  <c r="S33" i="4" s="1"/>
  <c r="C32" i="4"/>
  <c r="S32" i="4" s="1"/>
  <c r="C31" i="4"/>
  <c r="S31" i="4" s="1"/>
  <c r="C30" i="4"/>
  <c r="S30" i="4" s="1"/>
  <c r="C29" i="4"/>
  <c r="S29" i="4" s="1"/>
  <c r="C28" i="4"/>
  <c r="S28" i="4" s="1"/>
  <c r="C27" i="4"/>
  <c r="S27" i="4" s="1"/>
  <c r="C26" i="4"/>
  <c r="S26" i="4" s="1"/>
  <c r="C25" i="4"/>
  <c r="S25" i="4" s="1"/>
  <c r="C24" i="4"/>
  <c r="S24" i="4" s="1"/>
  <c r="C23" i="4"/>
  <c r="S23" i="4" s="1"/>
  <c r="C22" i="4"/>
  <c r="S22" i="4" s="1"/>
  <c r="C21" i="4"/>
  <c r="S21" i="4" s="1"/>
  <c r="C20" i="4"/>
  <c r="S20" i="4" s="1"/>
  <c r="C19" i="4"/>
  <c r="S19" i="4" s="1"/>
  <c r="C18" i="4"/>
  <c r="S18" i="4" s="1"/>
  <c r="C17" i="4"/>
  <c r="S17" i="4" s="1"/>
  <c r="C12" i="4"/>
  <c r="S12" i="4" s="1"/>
  <c r="E12" i="7"/>
  <c r="U21" i="8" l="1"/>
  <c r="R21" i="8"/>
  <c r="U27" i="8"/>
  <c r="R27" i="8"/>
  <c r="U33" i="8"/>
  <c r="R33" i="8"/>
  <c r="U39" i="8"/>
  <c r="R39" i="8"/>
  <c r="U22" i="8"/>
  <c r="R22" i="8"/>
  <c r="U28" i="8"/>
  <c r="R28" i="8"/>
  <c r="U34" i="8"/>
  <c r="R34" i="8"/>
  <c r="U40" i="8"/>
  <c r="R40" i="8"/>
  <c r="U17" i="8"/>
  <c r="R17" i="8"/>
  <c r="W17" i="8" s="1"/>
  <c r="U23" i="8"/>
  <c r="R23" i="8"/>
  <c r="U29" i="8"/>
  <c r="R29" i="8"/>
  <c r="U35" i="8"/>
  <c r="R35" i="8"/>
  <c r="U41" i="8"/>
  <c r="R41" i="8"/>
  <c r="U18" i="8"/>
  <c r="R18" i="8"/>
  <c r="U24" i="8"/>
  <c r="R24" i="8"/>
  <c r="S24" i="8" s="1"/>
  <c r="U30" i="8"/>
  <c r="R30" i="8"/>
  <c r="U36" i="8"/>
  <c r="R36" i="8"/>
  <c r="U19" i="8"/>
  <c r="R19" i="8"/>
  <c r="U25" i="8"/>
  <c r="R25" i="8"/>
  <c r="U31" i="8"/>
  <c r="R31" i="8"/>
  <c r="U37" i="8"/>
  <c r="R37" i="8"/>
  <c r="U20" i="8"/>
  <c r="R20" i="8"/>
  <c r="U26" i="8"/>
  <c r="R26" i="8"/>
  <c r="U32" i="8"/>
  <c r="R32" i="8"/>
  <c r="U38" i="8"/>
  <c r="R38" i="8"/>
  <c r="R43" i="18"/>
  <c r="R24" i="6"/>
  <c r="Y25" i="6" s="1"/>
  <c r="R36" i="6"/>
  <c r="Y37" i="6" s="1"/>
  <c r="R22" i="6"/>
  <c r="Y23" i="6" s="1"/>
  <c r="R28" i="6"/>
  <c r="Y29" i="6" s="1"/>
  <c r="R40" i="6"/>
  <c r="Y41" i="6" s="1"/>
  <c r="R29" i="6"/>
  <c r="Y30" i="6" s="1"/>
  <c r="R30" i="6"/>
  <c r="Y31" i="6" s="1"/>
  <c r="R37" i="6"/>
  <c r="Y38" i="6" s="1"/>
  <c r="R32" i="6"/>
  <c r="Y33" i="6" s="1"/>
  <c r="R38" i="6"/>
  <c r="Y39" i="6" s="1"/>
  <c r="R23" i="6"/>
  <c r="Y24" i="6" s="1"/>
  <c r="R31" i="6"/>
  <c r="Y32" i="6" s="1"/>
  <c r="R21" i="6"/>
  <c r="R27" i="6"/>
  <c r="Y28" i="6" s="1"/>
  <c r="R39" i="6"/>
  <c r="Y40" i="6" s="1"/>
  <c r="U12" i="8"/>
  <c r="W12" i="8"/>
  <c r="T12" i="14"/>
  <c r="Q12" i="14"/>
  <c r="O44" i="41"/>
  <c r="O46" i="41"/>
  <c r="S46" i="41" s="1"/>
  <c r="R46" i="41"/>
  <c r="T33" i="11"/>
  <c r="Q33" i="11"/>
  <c r="W26" i="8"/>
  <c r="W38" i="8"/>
  <c r="T27" i="14"/>
  <c r="Q27" i="14"/>
  <c r="T39" i="14"/>
  <c r="Q39" i="14"/>
  <c r="U36" i="18"/>
  <c r="X36" i="18"/>
  <c r="U33" i="6"/>
  <c r="X33" i="6" s="1"/>
  <c r="R33" i="39"/>
  <c r="R21" i="39"/>
  <c r="T18" i="11"/>
  <c r="Q18" i="11"/>
  <c r="T24" i="11"/>
  <c r="Q24" i="11"/>
  <c r="T30" i="11"/>
  <c r="Q30" i="11"/>
  <c r="T34" i="11"/>
  <c r="Q34" i="11"/>
  <c r="W27" i="8"/>
  <c r="W33" i="8"/>
  <c r="T13" i="14"/>
  <c r="Q13" i="14"/>
  <c r="Q14" i="14" s="1"/>
  <c r="T22" i="14"/>
  <c r="Q22" i="14"/>
  <c r="T28" i="14"/>
  <c r="Q28" i="14"/>
  <c r="T34" i="14"/>
  <c r="Q34" i="14"/>
  <c r="T40" i="14"/>
  <c r="Q40" i="14"/>
  <c r="U18" i="18"/>
  <c r="X18" i="18"/>
  <c r="U38" i="18"/>
  <c r="X38" i="18"/>
  <c r="U34" i="6"/>
  <c r="X34" i="6" s="1"/>
  <c r="R38" i="39"/>
  <c r="R32" i="39"/>
  <c r="R26" i="39"/>
  <c r="R20" i="39"/>
  <c r="Q17" i="11"/>
  <c r="V17" i="11" s="1"/>
  <c r="W20" i="8"/>
  <c r="T21" i="14"/>
  <c r="Q21" i="14"/>
  <c r="T33" i="14"/>
  <c r="Q33" i="14"/>
  <c r="U17" i="18"/>
  <c r="X17" i="18"/>
  <c r="R14" i="39"/>
  <c r="R27" i="39"/>
  <c r="R15" i="39"/>
  <c r="T19" i="11"/>
  <c r="Q19" i="11"/>
  <c r="T25" i="11"/>
  <c r="Q25" i="11"/>
  <c r="T32" i="11"/>
  <c r="Q32" i="11"/>
  <c r="T35" i="11"/>
  <c r="Q35" i="11"/>
  <c r="Q17" i="14"/>
  <c r="U17" i="14" s="1"/>
  <c r="T23" i="14"/>
  <c r="Q23" i="14"/>
  <c r="T29" i="14"/>
  <c r="Q29" i="14"/>
  <c r="T35" i="14"/>
  <c r="Q35" i="14"/>
  <c r="T41" i="14"/>
  <c r="Q41" i="14"/>
  <c r="U19" i="18"/>
  <c r="X19" i="18"/>
  <c r="U17" i="6"/>
  <c r="X17" i="6" s="1"/>
  <c r="U35" i="6"/>
  <c r="X35" i="6" s="1"/>
  <c r="U41" i="6"/>
  <c r="X41" i="6" s="1"/>
  <c r="Q44" i="39"/>
  <c r="Q46" i="39"/>
  <c r="R37" i="39"/>
  <c r="R31" i="39"/>
  <c r="R19" i="39"/>
  <c r="T23" i="11"/>
  <c r="Q23" i="11"/>
  <c r="T40" i="11"/>
  <c r="Q40" i="11"/>
  <c r="T26" i="11"/>
  <c r="Q26" i="11"/>
  <c r="T18" i="14"/>
  <c r="Q18" i="14"/>
  <c r="T30" i="14"/>
  <c r="Q30" i="14"/>
  <c r="R36" i="39"/>
  <c r="R24" i="39"/>
  <c r="R18" i="39"/>
  <c r="T21" i="11"/>
  <c r="Q21" i="11"/>
  <c r="T27" i="11"/>
  <c r="Q27" i="11"/>
  <c r="T41" i="11"/>
  <c r="Q41" i="11"/>
  <c r="T38" i="11"/>
  <c r="Q38" i="11"/>
  <c r="W18" i="8"/>
  <c r="W24" i="8"/>
  <c r="T19" i="14"/>
  <c r="Q19" i="14"/>
  <c r="U19" i="14" s="1"/>
  <c r="T25" i="14"/>
  <c r="Q25" i="14"/>
  <c r="T31" i="14"/>
  <c r="Q31" i="14"/>
  <c r="T37" i="14"/>
  <c r="Q37" i="14"/>
  <c r="U28" i="18"/>
  <c r="X28" i="18"/>
  <c r="U19" i="6"/>
  <c r="X19" i="6" s="1"/>
  <c r="U25" i="6"/>
  <c r="X25" i="6" s="1"/>
  <c r="R35" i="39"/>
  <c r="R29" i="39"/>
  <c r="R23" i="39"/>
  <c r="R17" i="39"/>
  <c r="T29" i="11"/>
  <c r="Q29" i="11"/>
  <c r="T20" i="11"/>
  <c r="Q20" i="11"/>
  <c r="T37" i="11"/>
  <c r="Q37" i="11"/>
  <c r="T36" i="11"/>
  <c r="Q36" i="11"/>
  <c r="W23" i="8"/>
  <c r="T24" i="14"/>
  <c r="Q24" i="14"/>
  <c r="T36" i="14"/>
  <c r="Q36" i="14"/>
  <c r="U27" i="18"/>
  <c r="X27" i="18"/>
  <c r="U18" i="6"/>
  <c r="X18" i="6" s="1"/>
  <c r="U42" i="6"/>
  <c r="X42" i="6" s="1"/>
  <c r="R30" i="39"/>
  <c r="Q11" i="39"/>
  <c r="T22" i="11"/>
  <c r="Q22" i="11"/>
  <c r="T28" i="11"/>
  <c r="Q28" i="11"/>
  <c r="T31" i="11"/>
  <c r="Q31" i="11"/>
  <c r="T39" i="11"/>
  <c r="Q39" i="11"/>
  <c r="W37" i="8"/>
  <c r="T20" i="14"/>
  <c r="Q20" i="14"/>
  <c r="T26" i="14"/>
  <c r="Q26" i="14"/>
  <c r="T32" i="14"/>
  <c r="Q32" i="14"/>
  <c r="T38" i="14"/>
  <c r="U38" i="14" s="1"/>
  <c r="Q38" i="14"/>
  <c r="U31" i="18"/>
  <c r="X31" i="18"/>
  <c r="U20" i="6"/>
  <c r="X20" i="6" s="1"/>
  <c r="U26" i="6"/>
  <c r="X26" i="6" s="1"/>
  <c r="U12" i="6"/>
  <c r="R34" i="39"/>
  <c r="R28" i="39"/>
  <c r="R22" i="39"/>
  <c r="R11" i="41"/>
  <c r="R44" i="41"/>
  <c r="R25" i="39"/>
  <c r="R16" i="39"/>
  <c r="V29" i="18"/>
  <c r="V39" i="18"/>
  <c r="V26" i="18"/>
  <c r="U38" i="6"/>
  <c r="V37" i="18"/>
  <c r="V25" i="18"/>
  <c r="U40" i="6"/>
  <c r="X40" i="6" s="1"/>
  <c r="U30" i="6"/>
  <c r="V40" i="18"/>
  <c r="V35" i="18"/>
  <c r="V24" i="18"/>
  <c r="U31" i="6"/>
  <c r="V34" i="18"/>
  <c r="V23" i="18"/>
  <c r="U23" i="6"/>
  <c r="X23" i="6" s="1"/>
  <c r="U21" i="6"/>
  <c r="V42" i="18"/>
  <c r="V32" i="18"/>
  <c r="V21" i="18"/>
  <c r="V22" i="18"/>
  <c r="V41" i="18"/>
  <c r="V30" i="18"/>
  <c r="V20" i="18"/>
  <c r="V33" i="18"/>
  <c r="J42" i="39"/>
  <c r="H42" i="41"/>
  <c r="U28" i="6"/>
  <c r="K42" i="39"/>
  <c r="U32" i="6"/>
  <c r="U22" i="6"/>
  <c r="G42" i="41"/>
  <c r="G52" i="41" s="1"/>
  <c r="G57" i="41"/>
  <c r="J42" i="41"/>
  <c r="U24" i="6"/>
  <c r="V20" i="8"/>
  <c r="E42" i="39"/>
  <c r="M42" i="39"/>
  <c r="M52" i="39" s="1"/>
  <c r="M57" i="39"/>
  <c r="K42" i="41"/>
  <c r="U27" i="6"/>
  <c r="L42" i="41"/>
  <c r="L52" i="41" s="1"/>
  <c r="L57" i="41"/>
  <c r="U36" i="6"/>
  <c r="X36" i="6" s="1"/>
  <c r="G42" i="39"/>
  <c r="M42" i="41"/>
  <c r="M57" i="41"/>
  <c r="U37" i="6"/>
  <c r="C43" i="6"/>
  <c r="H42" i="39"/>
  <c r="H52" i="39" s="1"/>
  <c r="H57" i="39"/>
  <c r="N42" i="41"/>
  <c r="U39" i="6"/>
  <c r="U29" i="6"/>
  <c r="C43" i="18"/>
  <c r="C14" i="14"/>
  <c r="C43" i="4"/>
  <c r="S43" i="4" s="1"/>
  <c r="C43" i="14"/>
  <c r="T43" i="14" s="1"/>
  <c r="C43" i="11"/>
  <c r="T43" i="11" s="1"/>
  <c r="P16" i="12"/>
  <c r="U16" i="12" s="1"/>
  <c r="C42" i="12"/>
  <c r="S42" i="12" s="1"/>
  <c r="C43" i="8"/>
  <c r="U43" i="8" s="1"/>
  <c r="S40" i="41"/>
  <c r="N40" i="39"/>
  <c r="N11" i="39"/>
  <c r="O39" i="39" s="1"/>
  <c r="N44" i="39"/>
  <c r="N46" i="39"/>
  <c r="D48" i="39"/>
  <c r="J48" i="39"/>
  <c r="N48" i="41"/>
  <c r="I42" i="41"/>
  <c r="I48" i="41"/>
  <c r="I57" i="41" s="1"/>
  <c r="F50" i="41"/>
  <c r="R50" i="41" s="1"/>
  <c r="H48" i="41"/>
  <c r="C42" i="41"/>
  <c r="C48" i="41"/>
  <c r="D42" i="41"/>
  <c r="D48" i="41"/>
  <c r="D57" i="41" s="1"/>
  <c r="J48" i="41"/>
  <c r="E42" i="41"/>
  <c r="E48" i="41"/>
  <c r="E57" i="41" s="1"/>
  <c r="K48" i="41"/>
  <c r="B50" i="39"/>
  <c r="B57" i="39" s="1"/>
  <c r="E48" i="39"/>
  <c r="E52" i="39" s="1"/>
  <c r="D50" i="39"/>
  <c r="I42" i="39"/>
  <c r="G48" i="39"/>
  <c r="K48" i="39"/>
  <c r="K52" i="39" s="1"/>
  <c r="F42" i="39"/>
  <c r="L42" i="39"/>
  <c r="B42" i="39"/>
  <c r="F50" i="39"/>
  <c r="L50" i="39"/>
  <c r="C42" i="39"/>
  <c r="C48" i="39"/>
  <c r="I48" i="39"/>
  <c r="I57" i="39" s="1"/>
  <c r="F49" i="6"/>
  <c r="F47" i="6"/>
  <c r="B43" i="18"/>
  <c r="D13" i="12"/>
  <c r="C13" i="12"/>
  <c r="U33" i="14" l="1"/>
  <c r="V30" i="6"/>
  <c r="X30" i="6"/>
  <c r="V32" i="6"/>
  <c r="X32" i="6"/>
  <c r="V22" i="6"/>
  <c r="X22" i="6"/>
  <c r="V29" i="6"/>
  <c r="X29" i="6"/>
  <c r="V39" i="6"/>
  <c r="X39" i="6"/>
  <c r="V27" i="6"/>
  <c r="X27" i="6"/>
  <c r="V24" i="6"/>
  <c r="X24" i="6"/>
  <c r="V21" i="6"/>
  <c r="X21" i="6"/>
  <c r="V38" i="6"/>
  <c r="X38" i="6"/>
  <c r="V31" i="6"/>
  <c r="X31" i="6"/>
  <c r="V37" i="6"/>
  <c r="X37" i="6"/>
  <c r="V28" i="6"/>
  <c r="X28" i="6"/>
  <c r="R43" i="6"/>
  <c r="Y22" i="6"/>
  <c r="V23" i="6"/>
  <c r="V36" i="6"/>
  <c r="V40" i="6"/>
  <c r="V18" i="8"/>
  <c r="V36" i="8"/>
  <c r="W36" i="8"/>
  <c r="V21" i="8"/>
  <c r="W21" i="8"/>
  <c r="V41" i="8"/>
  <c r="W41" i="8"/>
  <c r="V30" i="8"/>
  <c r="W30" i="8"/>
  <c r="V35" i="8"/>
  <c r="W35" i="8"/>
  <c r="V40" i="8"/>
  <c r="W40" i="8"/>
  <c r="V31" i="8"/>
  <c r="W31" i="8"/>
  <c r="V29" i="8"/>
  <c r="W29" i="8"/>
  <c r="V34" i="8"/>
  <c r="W34" i="8"/>
  <c r="V25" i="8"/>
  <c r="W25" i="8"/>
  <c r="V28" i="8"/>
  <c r="W28" i="8"/>
  <c r="V39" i="8"/>
  <c r="W39" i="8"/>
  <c r="V19" i="8"/>
  <c r="W19" i="8"/>
  <c r="V22" i="8"/>
  <c r="W22" i="8"/>
  <c r="V32" i="8"/>
  <c r="W32" i="8"/>
  <c r="U32" i="14"/>
  <c r="V27" i="18"/>
  <c r="O42" i="41"/>
  <c r="U36" i="14"/>
  <c r="O50" i="41"/>
  <c r="C57" i="41"/>
  <c r="O48" i="41"/>
  <c r="U27" i="14"/>
  <c r="K52" i="41"/>
  <c r="R42" i="41"/>
  <c r="U41" i="14"/>
  <c r="R48" i="41"/>
  <c r="S44" i="41"/>
  <c r="V34" i="6"/>
  <c r="V33" i="6"/>
  <c r="V41" i="6"/>
  <c r="U22" i="14"/>
  <c r="U35" i="14"/>
  <c r="V12" i="8"/>
  <c r="V20" i="6"/>
  <c r="V18" i="6"/>
  <c r="V12" i="6"/>
  <c r="V42" i="6"/>
  <c r="V25" i="6"/>
  <c r="V35" i="6"/>
  <c r="V26" i="6"/>
  <c r="V17" i="6"/>
  <c r="J52" i="39"/>
  <c r="V37" i="8"/>
  <c r="V23" i="8"/>
  <c r="V19" i="6"/>
  <c r="V33" i="8"/>
  <c r="V38" i="8"/>
  <c r="V24" i="8"/>
  <c r="U43" i="18"/>
  <c r="U37" i="14"/>
  <c r="V27" i="8"/>
  <c r="V26" i="8"/>
  <c r="U31" i="14"/>
  <c r="R44" i="39"/>
  <c r="S50" i="41"/>
  <c r="O29" i="39"/>
  <c r="O19" i="39"/>
  <c r="O21" i="39"/>
  <c r="O35" i="39"/>
  <c r="O36" i="39"/>
  <c r="O38" i="39"/>
  <c r="D57" i="39"/>
  <c r="O16" i="39"/>
  <c r="O34" i="39"/>
  <c r="O15" i="39"/>
  <c r="Q50" i="39"/>
  <c r="O25" i="39"/>
  <c r="O22" i="39"/>
  <c r="O17" i="39"/>
  <c r="R43" i="8"/>
  <c r="O31" i="39"/>
  <c r="O27" i="39"/>
  <c r="O20" i="39"/>
  <c r="O33" i="39"/>
  <c r="O18" i="39"/>
  <c r="Q48" i="39"/>
  <c r="O46" i="39"/>
  <c r="O28" i="39"/>
  <c r="O23" i="39"/>
  <c r="O37" i="39"/>
  <c r="O14" i="39"/>
  <c r="R11" i="39"/>
  <c r="O26" i="39"/>
  <c r="Q42" i="39"/>
  <c r="O44" i="39"/>
  <c r="O30" i="39"/>
  <c r="O24" i="39"/>
  <c r="R46" i="39"/>
  <c r="Q43" i="14"/>
  <c r="O32" i="39"/>
  <c r="N52" i="41"/>
  <c r="M52" i="41"/>
  <c r="J52" i="41"/>
  <c r="O40" i="39"/>
  <c r="R40" i="39"/>
  <c r="F57" i="39"/>
  <c r="U21" i="14"/>
  <c r="U25" i="14"/>
  <c r="U40" i="14"/>
  <c r="U20" i="14"/>
  <c r="U29" i="14"/>
  <c r="U34" i="14"/>
  <c r="U30" i="14"/>
  <c r="U26" i="14"/>
  <c r="U23" i="14"/>
  <c r="U28" i="14"/>
  <c r="U39" i="14"/>
  <c r="U24" i="14"/>
  <c r="U18" i="14"/>
  <c r="V17" i="8"/>
  <c r="V18" i="18"/>
  <c r="V38" i="18"/>
  <c r="G52" i="39"/>
  <c r="V36" i="18"/>
  <c r="V31" i="18"/>
  <c r="L52" i="39"/>
  <c r="V17" i="18"/>
  <c r="C57" i="39"/>
  <c r="L59" i="41"/>
  <c r="V28" i="18"/>
  <c r="G57" i="39"/>
  <c r="V19" i="18"/>
  <c r="B52" i="39"/>
  <c r="S11" i="41"/>
  <c r="N57" i="41"/>
  <c r="D52" i="39"/>
  <c r="D59" i="39" s="1"/>
  <c r="M59" i="39"/>
  <c r="J57" i="41"/>
  <c r="K57" i="39"/>
  <c r="K59" i="39" s="1"/>
  <c r="G59" i="41"/>
  <c r="H52" i="41"/>
  <c r="E57" i="39"/>
  <c r="E59" i="39" s="1"/>
  <c r="H59" i="39"/>
  <c r="L57" i="39"/>
  <c r="L59" i="39" s="1"/>
  <c r="H57" i="41"/>
  <c r="J57" i="39"/>
  <c r="K57" i="41"/>
  <c r="F52" i="41"/>
  <c r="F57" i="41"/>
  <c r="X43" i="18"/>
  <c r="D52" i="41"/>
  <c r="D59" i="41" s="1"/>
  <c r="C52" i="41"/>
  <c r="I52" i="39"/>
  <c r="I59" i="39" s="1"/>
  <c r="C52" i="39"/>
  <c r="E52" i="41"/>
  <c r="E59" i="41" s="1"/>
  <c r="N50" i="39"/>
  <c r="O50" i="39" s="1"/>
  <c r="N48" i="39"/>
  <c r="I52" i="41"/>
  <c r="I59" i="41" s="1"/>
  <c r="N42" i="39"/>
  <c r="O42" i="39" s="1"/>
  <c r="F52" i="39"/>
  <c r="F14" i="6"/>
  <c r="C14" i="6"/>
  <c r="I43" i="6"/>
  <c r="J43" i="6"/>
  <c r="M43" i="6"/>
  <c r="N43" i="6"/>
  <c r="O43" i="6"/>
  <c r="Q43" i="6"/>
  <c r="B43" i="6"/>
  <c r="P53" i="18"/>
  <c r="O53" i="18"/>
  <c r="J53" i="18"/>
  <c r="I53" i="18"/>
  <c r="Q51" i="18"/>
  <c r="P51" i="18"/>
  <c r="O51" i="18"/>
  <c r="L51" i="18"/>
  <c r="K51" i="18"/>
  <c r="J51" i="18"/>
  <c r="I51" i="18"/>
  <c r="F51" i="18"/>
  <c r="C51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C49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C47" i="18"/>
  <c r="Q45" i="18"/>
  <c r="O45" i="18"/>
  <c r="L45" i="18"/>
  <c r="K45" i="18"/>
  <c r="I45" i="18"/>
  <c r="F45" i="18"/>
  <c r="Q53" i="18"/>
  <c r="N53" i="18"/>
  <c r="M53" i="18"/>
  <c r="L53" i="18"/>
  <c r="K53" i="18"/>
  <c r="H53" i="18"/>
  <c r="G53" i="18"/>
  <c r="F53" i="18"/>
  <c r="C53" i="18"/>
  <c r="P45" i="18"/>
  <c r="N45" i="18"/>
  <c r="M45" i="18"/>
  <c r="J45" i="18"/>
  <c r="C14" i="18"/>
  <c r="V13" i="18"/>
  <c r="V12" i="18"/>
  <c r="N48" i="38"/>
  <c r="H48" i="38"/>
  <c r="P46" i="38"/>
  <c r="O46" i="38"/>
  <c r="N46" i="38"/>
  <c r="M46" i="38"/>
  <c r="L46" i="38"/>
  <c r="K46" i="38"/>
  <c r="J46" i="38"/>
  <c r="I46" i="38"/>
  <c r="H46" i="38"/>
  <c r="G46" i="38"/>
  <c r="F46" i="38"/>
  <c r="E46" i="38"/>
  <c r="P44" i="38"/>
  <c r="O44" i="38"/>
  <c r="N44" i="38"/>
  <c r="M44" i="38"/>
  <c r="L44" i="38"/>
  <c r="K44" i="38"/>
  <c r="J44" i="38"/>
  <c r="I44" i="38"/>
  <c r="H44" i="38"/>
  <c r="G44" i="38"/>
  <c r="F44" i="38"/>
  <c r="E44" i="38"/>
  <c r="O50" i="38"/>
  <c r="N50" i="38"/>
  <c r="M50" i="38"/>
  <c r="L50" i="38"/>
  <c r="K50" i="38"/>
  <c r="I50" i="38"/>
  <c r="H50" i="38"/>
  <c r="G42" i="38"/>
  <c r="F50" i="38"/>
  <c r="E50" i="38"/>
  <c r="U38" i="38"/>
  <c r="U37" i="38"/>
  <c r="U36" i="38"/>
  <c r="U35" i="38"/>
  <c r="U34" i="38"/>
  <c r="U33" i="38"/>
  <c r="U32" i="38"/>
  <c r="U31" i="38"/>
  <c r="U30" i="38"/>
  <c r="U29" i="38"/>
  <c r="U28" i="38"/>
  <c r="U27" i="38"/>
  <c r="U26" i="38"/>
  <c r="U25" i="38"/>
  <c r="U24" i="38"/>
  <c r="U23" i="38"/>
  <c r="U22" i="38"/>
  <c r="U21" i="38"/>
  <c r="U20" i="38"/>
  <c r="U19" i="38"/>
  <c r="U18" i="38"/>
  <c r="U17" i="38"/>
  <c r="U16" i="38"/>
  <c r="U15" i="38"/>
  <c r="U14" i="38"/>
  <c r="P11" i="38"/>
  <c r="O11" i="38"/>
  <c r="N11" i="38"/>
  <c r="M11" i="38"/>
  <c r="L11" i="38"/>
  <c r="K11" i="38"/>
  <c r="J11" i="38"/>
  <c r="I11" i="38"/>
  <c r="H11" i="38"/>
  <c r="H42" i="38" s="1"/>
  <c r="U10" i="38"/>
  <c r="U9" i="38"/>
  <c r="G40" i="37"/>
  <c r="H40" i="37"/>
  <c r="I40" i="37"/>
  <c r="J40" i="37"/>
  <c r="K40" i="37"/>
  <c r="L40" i="37"/>
  <c r="M40" i="37"/>
  <c r="N40" i="37"/>
  <c r="O40" i="37"/>
  <c r="O46" i="37"/>
  <c r="N46" i="37"/>
  <c r="M46" i="37"/>
  <c r="L46" i="37"/>
  <c r="K46" i="37"/>
  <c r="J46" i="37"/>
  <c r="I46" i="37"/>
  <c r="H46" i="37"/>
  <c r="G46" i="37"/>
  <c r="F46" i="37"/>
  <c r="E46" i="37"/>
  <c r="D46" i="37"/>
  <c r="O44" i="37"/>
  <c r="N44" i="37"/>
  <c r="M44" i="37"/>
  <c r="L44" i="37"/>
  <c r="K44" i="37"/>
  <c r="J44" i="37"/>
  <c r="I44" i="37"/>
  <c r="H44" i="37"/>
  <c r="G44" i="37"/>
  <c r="F44" i="37"/>
  <c r="E44" i="37"/>
  <c r="E52" i="37" s="1"/>
  <c r="D44" i="37"/>
  <c r="D52" i="37" s="1"/>
  <c r="T38" i="37"/>
  <c r="T37" i="37"/>
  <c r="T36" i="37"/>
  <c r="T35" i="37"/>
  <c r="T34" i="37"/>
  <c r="T33" i="37"/>
  <c r="T32" i="37"/>
  <c r="T31" i="37"/>
  <c r="T30" i="37"/>
  <c r="T29" i="37"/>
  <c r="T28" i="37"/>
  <c r="T27" i="37"/>
  <c r="T26" i="37"/>
  <c r="T25" i="37"/>
  <c r="T24" i="37"/>
  <c r="T23" i="37"/>
  <c r="T22" i="37"/>
  <c r="T21" i="37"/>
  <c r="T20" i="37"/>
  <c r="T19" i="37"/>
  <c r="T18" i="37"/>
  <c r="T17" i="37"/>
  <c r="T16" i="37"/>
  <c r="T15" i="37"/>
  <c r="O11" i="37"/>
  <c r="N11" i="37"/>
  <c r="M11" i="37"/>
  <c r="L11" i="37"/>
  <c r="K11" i="37"/>
  <c r="J11" i="37"/>
  <c r="I11" i="37"/>
  <c r="H11" i="37"/>
  <c r="G11" i="37"/>
  <c r="T10" i="37"/>
  <c r="T9" i="37"/>
  <c r="M50" i="35"/>
  <c r="F50" i="35"/>
  <c r="M48" i="35"/>
  <c r="O46" i="35"/>
  <c r="N46" i="35"/>
  <c r="M46" i="35"/>
  <c r="L46" i="35"/>
  <c r="K46" i="35"/>
  <c r="J46" i="35"/>
  <c r="I46" i="35"/>
  <c r="H46" i="35"/>
  <c r="G46" i="35"/>
  <c r="F46" i="35"/>
  <c r="E46" i="35"/>
  <c r="O44" i="35"/>
  <c r="N44" i="35"/>
  <c r="M44" i="35"/>
  <c r="L44" i="35"/>
  <c r="K44" i="35"/>
  <c r="J44" i="35"/>
  <c r="I44" i="35"/>
  <c r="H44" i="35"/>
  <c r="G44" i="35"/>
  <c r="F44" i="35"/>
  <c r="E44" i="35"/>
  <c r="O50" i="35"/>
  <c r="N50" i="35"/>
  <c r="L48" i="35"/>
  <c r="K50" i="35"/>
  <c r="J50" i="35"/>
  <c r="I50" i="35"/>
  <c r="H50" i="35"/>
  <c r="G48" i="35"/>
  <c r="F48" i="35"/>
  <c r="E50" i="35"/>
  <c r="T38" i="35"/>
  <c r="T37" i="35"/>
  <c r="T36" i="35"/>
  <c r="T35" i="35"/>
  <c r="T34" i="35"/>
  <c r="T33" i="35"/>
  <c r="T32" i="35"/>
  <c r="T31" i="35"/>
  <c r="T30" i="35"/>
  <c r="T29" i="35"/>
  <c r="T28" i="35"/>
  <c r="T27" i="35"/>
  <c r="T26" i="35"/>
  <c r="T25" i="35"/>
  <c r="T24" i="35"/>
  <c r="T23" i="35"/>
  <c r="T22" i="35"/>
  <c r="T21" i="35"/>
  <c r="T20" i="35"/>
  <c r="T19" i="35"/>
  <c r="T18" i="35"/>
  <c r="T17" i="35"/>
  <c r="T16" i="35"/>
  <c r="T15" i="35"/>
  <c r="O11" i="35"/>
  <c r="O43" i="35" s="1"/>
  <c r="N11" i="35"/>
  <c r="N43" i="35" s="1"/>
  <c r="M11" i="35"/>
  <c r="M43" i="35" s="1"/>
  <c r="L11" i="35"/>
  <c r="K11" i="35"/>
  <c r="K43" i="35" s="1"/>
  <c r="J11" i="35"/>
  <c r="J43" i="35" s="1"/>
  <c r="I11" i="35"/>
  <c r="H11" i="35"/>
  <c r="G11" i="35"/>
  <c r="T10" i="35"/>
  <c r="T9" i="35"/>
  <c r="O50" i="32"/>
  <c r="O48" i="32"/>
  <c r="I48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B46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B44" i="32"/>
  <c r="N48" i="32"/>
  <c r="M48" i="32"/>
  <c r="L48" i="32"/>
  <c r="K50" i="32"/>
  <c r="J50" i="32"/>
  <c r="I50" i="32"/>
  <c r="H48" i="32"/>
  <c r="G48" i="32"/>
  <c r="F48" i="32"/>
  <c r="E50" i="32"/>
  <c r="D50" i="32"/>
  <c r="B50" i="32"/>
  <c r="T38" i="32"/>
  <c r="T37" i="32"/>
  <c r="T36" i="32"/>
  <c r="T35" i="32"/>
  <c r="T34" i="32"/>
  <c r="T33" i="32"/>
  <c r="T32" i="32"/>
  <c r="T31" i="32"/>
  <c r="T30" i="32"/>
  <c r="T29" i="32"/>
  <c r="T28" i="32"/>
  <c r="T27" i="32"/>
  <c r="T26" i="32"/>
  <c r="T25" i="32"/>
  <c r="T24" i="32"/>
  <c r="T23" i="32"/>
  <c r="T22" i="32"/>
  <c r="T21" i="32"/>
  <c r="T20" i="32"/>
  <c r="T19" i="32"/>
  <c r="T18" i="32"/>
  <c r="T17" i="32"/>
  <c r="T16" i="32"/>
  <c r="T15" i="32"/>
  <c r="O11" i="32"/>
  <c r="N11" i="32"/>
  <c r="M11" i="32"/>
  <c r="L11" i="32"/>
  <c r="K11" i="32"/>
  <c r="J11" i="32"/>
  <c r="I11" i="32"/>
  <c r="H11" i="32"/>
  <c r="H42" i="32" s="1"/>
  <c r="G11" i="32"/>
  <c r="G42" i="32" s="1"/>
  <c r="B11" i="32"/>
  <c r="T9" i="32"/>
  <c r="H48" i="28"/>
  <c r="P46" i="28"/>
  <c r="O46" i="28"/>
  <c r="N46" i="28"/>
  <c r="M46" i="28"/>
  <c r="L46" i="28"/>
  <c r="K46" i="28"/>
  <c r="J46" i="28"/>
  <c r="I46" i="28"/>
  <c r="H46" i="28"/>
  <c r="G46" i="28"/>
  <c r="F46" i="28"/>
  <c r="E46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P50" i="28"/>
  <c r="O48" i="28"/>
  <c r="N50" i="28"/>
  <c r="M48" i="28"/>
  <c r="L50" i="28"/>
  <c r="K48" i="28"/>
  <c r="J50" i="28"/>
  <c r="I48" i="28"/>
  <c r="H50" i="28"/>
  <c r="G48" i="28"/>
  <c r="F50" i="28"/>
  <c r="E50" i="28"/>
  <c r="U38" i="28"/>
  <c r="U37" i="28"/>
  <c r="U36" i="28"/>
  <c r="U35" i="28"/>
  <c r="U34" i="28"/>
  <c r="U33" i="28"/>
  <c r="U32" i="28"/>
  <c r="U31" i="28"/>
  <c r="U30" i="28"/>
  <c r="U29" i="28"/>
  <c r="U28" i="28"/>
  <c r="U27" i="28"/>
  <c r="U26" i="28"/>
  <c r="U25" i="28"/>
  <c r="U24" i="28"/>
  <c r="U23" i="28"/>
  <c r="U22" i="28"/>
  <c r="U21" i="28"/>
  <c r="U20" i="28"/>
  <c r="U19" i="28"/>
  <c r="U18" i="28"/>
  <c r="U17" i="28"/>
  <c r="U16" i="28"/>
  <c r="U15" i="28"/>
  <c r="P11" i="28"/>
  <c r="O11" i="28"/>
  <c r="N11" i="28"/>
  <c r="M11" i="28"/>
  <c r="L11" i="28"/>
  <c r="K11" i="28"/>
  <c r="K42" i="28" s="1"/>
  <c r="J11" i="28"/>
  <c r="I11" i="28"/>
  <c r="H11" i="28"/>
  <c r="H42" i="28" s="1"/>
  <c r="U10" i="28"/>
  <c r="U9" i="28"/>
  <c r="M50" i="33"/>
  <c r="K50" i="33"/>
  <c r="N48" i="33"/>
  <c r="H48" i="33"/>
  <c r="G48" i="33"/>
  <c r="P46" i="33"/>
  <c r="O46" i="33"/>
  <c r="N46" i="33"/>
  <c r="M46" i="33"/>
  <c r="L46" i="33"/>
  <c r="K46" i="33"/>
  <c r="J46" i="33"/>
  <c r="I46" i="33"/>
  <c r="H46" i="33"/>
  <c r="G46" i="33"/>
  <c r="F46" i="33"/>
  <c r="E46" i="33"/>
  <c r="P44" i="33"/>
  <c r="O44" i="33"/>
  <c r="N44" i="33"/>
  <c r="M44" i="33"/>
  <c r="L44" i="33"/>
  <c r="K44" i="33"/>
  <c r="J44" i="33"/>
  <c r="I44" i="33"/>
  <c r="H44" i="33"/>
  <c r="G44" i="33"/>
  <c r="F44" i="33"/>
  <c r="E44" i="33"/>
  <c r="P50" i="33"/>
  <c r="O48" i="33"/>
  <c r="N50" i="33"/>
  <c r="M48" i="33"/>
  <c r="L50" i="33"/>
  <c r="K48" i="33"/>
  <c r="J50" i="33"/>
  <c r="I48" i="33"/>
  <c r="H50" i="33"/>
  <c r="G50" i="33"/>
  <c r="F50" i="33"/>
  <c r="E48" i="33"/>
  <c r="U38" i="33"/>
  <c r="U37" i="33"/>
  <c r="U36" i="33"/>
  <c r="U35" i="33"/>
  <c r="U34" i="33"/>
  <c r="U33" i="33"/>
  <c r="U32" i="33"/>
  <c r="U31" i="33"/>
  <c r="U30" i="33"/>
  <c r="U29" i="33"/>
  <c r="U28" i="33"/>
  <c r="U27" i="33"/>
  <c r="U26" i="33"/>
  <c r="U25" i="33"/>
  <c r="U24" i="33"/>
  <c r="U23" i="33"/>
  <c r="U22" i="33"/>
  <c r="U21" i="33"/>
  <c r="U20" i="33"/>
  <c r="U19" i="33"/>
  <c r="U18" i="33"/>
  <c r="U17" i="33"/>
  <c r="U16" i="33"/>
  <c r="U15" i="33"/>
  <c r="P11" i="33"/>
  <c r="O11" i="33"/>
  <c r="N11" i="33"/>
  <c r="M11" i="33"/>
  <c r="L11" i="33"/>
  <c r="K11" i="33"/>
  <c r="J11" i="33"/>
  <c r="I11" i="33"/>
  <c r="H11" i="33"/>
  <c r="U10" i="33"/>
  <c r="U9" i="33"/>
  <c r="K50" i="27"/>
  <c r="E50" i="27"/>
  <c r="K48" i="27"/>
  <c r="E48" i="27"/>
  <c r="N46" i="27"/>
  <c r="M46" i="27"/>
  <c r="L46" i="27"/>
  <c r="K46" i="27"/>
  <c r="J46" i="27"/>
  <c r="I46" i="27"/>
  <c r="H46" i="27"/>
  <c r="G46" i="27"/>
  <c r="F46" i="27"/>
  <c r="E46" i="27"/>
  <c r="D46" i="27"/>
  <c r="C46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E42" i="27"/>
  <c r="N50" i="27"/>
  <c r="M50" i="27"/>
  <c r="L50" i="27"/>
  <c r="J48" i="27"/>
  <c r="I50" i="27"/>
  <c r="H50" i="27"/>
  <c r="G50" i="27"/>
  <c r="F50" i="27"/>
  <c r="D48" i="27"/>
  <c r="C50" i="27"/>
  <c r="O38" i="27"/>
  <c r="S38" i="27" s="1"/>
  <c r="O37" i="27"/>
  <c r="S37" i="27" s="1"/>
  <c r="O36" i="27"/>
  <c r="S36" i="27" s="1"/>
  <c r="O35" i="27"/>
  <c r="S35" i="27" s="1"/>
  <c r="O34" i="27"/>
  <c r="S34" i="27" s="1"/>
  <c r="O33" i="27"/>
  <c r="S33" i="27" s="1"/>
  <c r="O32" i="27"/>
  <c r="S32" i="27" s="1"/>
  <c r="O31" i="27"/>
  <c r="S31" i="27" s="1"/>
  <c r="O30" i="27"/>
  <c r="S30" i="27" s="1"/>
  <c r="O29" i="27"/>
  <c r="S29" i="27" s="1"/>
  <c r="O28" i="27"/>
  <c r="S28" i="27" s="1"/>
  <c r="O27" i="27"/>
  <c r="S27" i="27" s="1"/>
  <c r="O26" i="27"/>
  <c r="S26" i="27" s="1"/>
  <c r="O25" i="27"/>
  <c r="S25" i="27" s="1"/>
  <c r="O24" i="27"/>
  <c r="S24" i="27" s="1"/>
  <c r="O23" i="27"/>
  <c r="S23" i="27" s="1"/>
  <c r="O22" i="27"/>
  <c r="S22" i="27" s="1"/>
  <c r="O21" i="27"/>
  <c r="S21" i="27" s="1"/>
  <c r="O20" i="27"/>
  <c r="S20" i="27" s="1"/>
  <c r="O19" i="27"/>
  <c r="S19" i="27" s="1"/>
  <c r="O18" i="27"/>
  <c r="S18" i="27" s="1"/>
  <c r="O17" i="27"/>
  <c r="S17" i="27" s="1"/>
  <c r="O16" i="27"/>
  <c r="S16" i="27" s="1"/>
  <c r="O15" i="27"/>
  <c r="S15" i="27" s="1"/>
  <c r="O14" i="27"/>
  <c r="S14" i="27" s="1"/>
  <c r="N11" i="27"/>
  <c r="M11" i="27"/>
  <c r="L11" i="27"/>
  <c r="K11" i="27"/>
  <c r="J11" i="27"/>
  <c r="I11" i="27"/>
  <c r="H11" i="27"/>
  <c r="G11" i="27"/>
  <c r="F11" i="27"/>
  <c r="O10" i="27"/>
  <c r="S10" i="27" s="1"/>
  <c r="O9" i="27"/>
  <c r="S9" i="27" s="1"/>
  <c r="L50" i="25"/>
  <c r="M48" i="25"/>
  <c r="O46" i="25"/>
  <c r="N46" i="25"/>
  <c r="M46" i="25"/>
  <c r="L46" i="25"/>
  <c r="K46" i="25"/>
  <c r="J46" i="25"/>
  <c r="I46" i="25"/>
  <c r="H46" i="25"/>
  <c r="G46" i="25"/>
  <c r="F46" i="25"/>
  <c r="E46" i="25"/>
  <c r="D46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F42" i="25"/>
  <c r="O50" i="25"/>
  <c r="N50" i="25"/>
  <c r="M50" i="25"/>
  <c r="L48" i="25"/>
  <c r="K50" i="25"/>
  <c r="J50" i="25"/>
  <c r="I50" i="25"/>
  <c r="H50" i="25"/>
  <c r="G50" i="25"/>
  <c r="F48" i="25"/>
  <c r="E50" i="25"/>
  <c r="D48" i="25"/>
  <c r="T38" i="25"/>
  <c r="T37" i="25"/>
  <c r="T36" i="25"/>
  <c r="T35" i="25"/>
  <c r="T34" i="25"/>
  <c r="T33" i="25"/>
  <c r="T14" i="25"/>
  <c r="O11" i="25"/>
  <c r="N11" i="25"/>
  <c r="M11" i="25"/>
  <c r="L11" i="25"/>
  <c r="K11" i="25"/>
  <c r="J11" i="25"/>
  <c r="I11" i="25"/>
  <c r="H11" i="25"/>
  <c r="G11" i="25"/>
  <c r="T10" i="25"/>
  <c r="P50" i="26"/>
  <c r="M50" i="26"/>
  <c r="L50" i="26"/>
  <c r="G50" i="26"/>
  <c r="P48" i="26"/>
  <c r="M48" i="26"/>
  <c r="G48" i="26"/>
  <c r="P46" i="26"/>
  <c r="O46" i="26"/>
  <c r="N46" i="26"/>
  <c r="M46" i="26"/>
  <c r="L46" i="26"/>
  <c r="K46" i="26"/>
  <c r="J46" i="26"/>
  <c r="I46" i="26"/>
  <c r="H46" i="26"/>
  <c r="G46" i="26"/>
  <c r="F46" i="26"/>
  <c r="E46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G42" i="26"/>
  <c r="O48" i="26"/>
  <c r="N50" i="26"/>
  <c r="L48" i="26"/>
  <c r="K50" i="26"/>
  <c r="J50" i="26"/>
  <c r="I48" i="26"/>
  <c r="H50" i="26"/>
  <c r="F48" i="26"/>
  <c r="E50" i="26"/>
  <c r="U38" i="26"/>
  <c r="U37" i="26"/>
  <c r="U36" i="26"/>
  <c r="U35" i="26"/>
  <c r="U34" i="26"/>
  <c r="U33" i="26"/>
  <c r="U32" i="26"/>
  <c r="U31" i="26"/>
  <c r="U30" i="26"/>
  <c r="U29" i="26"/>
  <c r="U28" i="26"/>
  <c r="U27" i="26"/>
  <c r="U26" i="26"/>
  <c r="U25" i="26"/>
  <c r="U24" i="26"/>
  <c r="U23" i="26"/>
  <c r="U22" i="26"/>
  <c r="U21" i="26"/>
  <c r="U20" i="26"/>
  <c r="U19" i="26"/>
  <c r="U18" i="26"/>
  <c r="U17" i="26"/>
  <c r="U16" i="26"/>
  <c r="U15" i="26"/>
  <c r="U14" i="26"/>
  <c r="P11" i="26"/>
  <c r="O11" i="26"/>
  <c r="N11" i="26"/>
  <c r="M11" i="26"/>
  <c r="L11" i="26"/>
  <c r="K11" i="26"/>
  <c r="J11" i="26"/>
  <c r="I11" i="26"/>
  <c r="H11" i="26"/>
  <c r="U10" i="26"/>
  <c r="U9" i="26"/>
  <c r="L50" i="24"/>
  <c r="L48" i="24"/>
  <c r="F48" i="24"/>
  <c r="O46" i="24"/>
  <c r="N46" i="24"/>
  <c r="M46" i="24"/>
  <c r="L46" i="24"/>
  <c r="K46" i="24"/>
  <c r="J46" i="24"/>
  <c r="I46" i="24"/>
  <c r="H46" i="24"/>
  <c r="G46" i="24"/>
  <c r="F46" i="24"/>
  <c r="E46" i="24"/>
  <c r="D46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F42" i="24"/>
  <c r="O50" i="24"/>
  <c r="N48" i="24"/>
  <c r="M50" i="24"/>
  <c r="K50" i="24"/>
  <c r="J50" i="24"/>
  <c r="I50" i="24"/>
  <c r="H48" i="24"/>
  <c r="G50" i="24"/>
  <c r="F50" i="24"/>
  <c r="E50" i="24"/>
  <c r="D50" i="24"/>
  <c r="T38" i="24"/>
  <c r="T37" i="24"/>
  <c r="T36" i="24"/>
  <c r="T35" i="24"/>
  <c r="T34" i="24"/>
  <c r="T33" i="24"/>
  <c r="T32" i="24"/>
  <c r="T31" i="24"/>
  <c r="T30" i="24"/>
  <c r="T29" i="24"/>
  <c r="T28" i="24"/>
  <c r="T27" i="24"/>
  <c r="T26" i="24"/>
  <c r="T25" i="24"/>
  <c r="T24" i="24"/>
  <c r="T23" i="24"/>
  <c r="T22" i="24"/>
  <c r="T21" i="24"/>
  <c r="T20" i="24"/>
  <c r="T19" i="24"/>
  <c r="T18" i="24"/>
  <c r="T17" i="24"/>
  <c r="T16" i="24"/>
  <c r="T15" i="24"/>
  <c r="O11" i="24"/>
  <c r="N11" i="24"/>
  <c r="M11" i="24"/>
  <c r="L11" i="24"/>
  <c r="K11" i="24"/>
  <c r="J11" i="24"/>
  <c r="I11" i="24"/>
  <c r="H11" i="24"/>
  <c r="G11" i="24"/>
  <c r="G49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M51" i="21"/>
  <c r="L51" i="21"/>
  <c r="K51" i="21"/>
  <c r="J51" i="21"/>
  <c r="G51" i="21"/>
  <c r="F43" i="21"/>
  <c r="E51" i="21"/>
  <c r="D51" i="21"/>
  <c r="T39" i="21"/>
  <c r="T38" i="21"/>
  <c r="T37" i="21"/>
  <c r="T36" i="21"/>
  <c r="T35" i="21"/>
  <c r="T34" i="21"/>
  <c r="T33" i="21"/>
  <c r="T32" i="21"/>
  <c r="T31" i="21"/>
  <c r="T30" i="21"/>
  <c r="T29" i="21"/>
  <c r="T28" i="21"/>
  <c r="T27" i="21"/>
  <c r="T26" i="21"/>
  <c r="T25" i="21"/>
  <c r="T24" i="21"/>
  <c r="T23" i="21"/>
  <c r="T22" i="21"/>
  <c r="T21" i="21"/>
  <c r="T20" i="21"/>
  <c r="T19" i="21"/>
  <c r="T18" i="21"/>
  <c r="T17" i="21"/>
  <c r="T16" i="21"/>
  <c r="T15" i="21"/>
  <c r="O12" i="21"/>
  <c r="N12" i="21"/>
  <c r="M12" i="21"/>
  <c r="L12" i="21"/>
  <c r="K12" i="21"/>
  <c r="J12" i="21"/>
  <c r="I12" i="21"/>
  <c r="I43" i="21" s="1"/>
  <c r="H12" i="21"/>
  <c r="G12" i="21"/>
  <c r="T11" i="21"/>
  <c r="T10" i="21"/>
  <c r="O51" i="20"/>
  <c r="I51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B49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B47" i="20"/>
  <c r="O53" i="20"/>
  <c r="N51" i="20"/>
  <c r="M51" i="20"/>
  <c r="L51" i="20"/>
  <c r="K53" i="20"/>
  <c r="J51" i="20"/>
  <c r="I53" i="20"/>
  <c r="H51" i="20"/>
  <c r="G51" i="20"/>
  <c r="F53" i="20"/>
  <c r="E53" i="20"/>
  <c r="D51" i="20"/>
  <c r="B53" i="20"/>
  <c r="T41" i="20"/>
  <c r="T40" i="20"/>
  <c r="T39" i="20"/>
  <c r="T38" i="20"/>
  <c r="T37" i="20"/>
  <c r="T36" i="20"/>
  <c r="T35" i="20"/>
  <c r="T34" i="20"/>
  <c r="T33" i="20"/>
  <c r="T32" i="20"/>
  <c r="T31" i="20"/>
  <c r="T30" i="20"/>
  <c r="T29" i="20"/>
  <c r="T28" i="20"/>
  <c r="T27" i="20"/>
  <c r="T26" i="20"/>
  <c r="T25" i="20"/>
  <c r="T24" i="20"/>
  <c r="T23" i="20"/>
  <c r="T22" i="20"/>
  <c r="T21" i="20"/>
  <c r="T20" i="20"/>
  <c r="T19" i="20"/>
  <c r="T18" i="20"/>
  <c r="T17" i="20"/>
  <c r="O14" i="20"/>
  <c r="N14" i="20"/>
  <c r="M14" i="20"/>
  <c r="L14" i="20"/>
  <c r="K14" i="20"/>
  <c r="J14" i="20"/>
  <c r="I14" i="20"/>
  <c r="H14" i="20"/>
  <c r="G14" i="20"/>
  <c r="B14" i="20"/>
  <c r="T13" i="20"/>
  <c r="N53" i="19"/>
  <c r="E53" i="19"/>
  <c r="K51" i="19"/>
  <c r="G51" i="19"/>
  <c r="E51" i="19"/>
  <c r="D51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N47" i="19"/>
  <c r="M47" i="19"/>
  <c r="L47" i="19"/>
  <c r="K47" i="19"/>
  <c r="J47" i="19"/>
  <c r="I47" i="19"/>
  <c r="H47" i="19"/>
  <c r="G47" i="19"/>
  <c r="F47" i="19"/>
  <c r="E47" i="19"/>
  <c r="D47" i="19"/>
  <c r="C47" i="19"/>
  <c r="B47" i="19"/>
  <c r="D45" i="19"/>
  <c r="N51" i="19"/>
  <c r="M53" i="19"/>
  <c r="L51" i="19"/>
  <c r="K53" i="19"/>
  <c r="J53" i="19"/>
  <c r="I53" i="19"/>
  <c r="H53" i="19"/>
  <c r="G53" i="19"/>
  <c r="F51" i="19"/>
  <c r="E45" i="19"/>
  <c r="D53" i="19"/>
  <c r="C53" i="19"/>
  <c r="B51" i="19"/>
  <c r="O41" i="19"/>
  <c r="S41" i="19" s="1"/>
  <c r="O40" i="19"/>
  <c r="S40" i="19" s="1"/>
  <c r="O39" i="19"/>
  <c r="S39" i="19" s="1"/>
  <c r="O38" i="19"/>
  <c r="S38" i="19" s="1"/>
  <c r="O37" i="19"/>
  <c r="S37" i="19" s="1"/>
  <c r="O36" i="19"/>
  <c r="S36" i="19" s="1"/>
  <c r="O35" i="19"/>
  <c r="S35" i="19" s="1"/>
  <c r="O34" i="19"/>
  <c r="S34" i="19" s="1"/>
  <c r="O33" i="19"/>
  <c r="S33" i="19" s="1"/>
  <c r="O32" i="19"/>
  <c r="S32" i="19" s="1"/>
  <c r="O31" i="19"/>
  <c r="S31" i="19" s="1"/>
  <c r="O30" i="19"/>
  <c r="S30" i="19" s="1"/>
  <c r="O29" i="19"/>
  <c r="S29" i="19" s="1"/>
  <c r="O28" i="19"/>
  <c r="S28" i="19" s="1"/>
  <c r="O27" i="19"/>
  <c r="S27" i="19" s="1"/>
  <c r="O26" i="19"/>
  <c r="S26" i="19" s="1"/>
  <c r="O25" i="19"/>
  <c r="S25" i="19" s="1"/>
  <c r="O24" i="19"/>
  <c r="S24" i="19" s="1"/>
  <c r="O23" i="19"/>
  <c r="S23" i="19" s="1"/>
  <c r="O22" i="19"/>
  <c r="S22" i="19" s="1"/>
  <c r="O21" i="19"/>
  <c r="S21" i="19" s="1"/>
  <c r="O20" i="19"/>
  <c r="S20" i="19" s="1"/>
  <c r="O19" i="19"/>
  <c r="S19" i="19" s="1"/>
  <c r="O18" i="19"/>
  <c r="S18" i="19" s="1"/>
  <c r="O17" i="19"/>
  <c r="S17" i="19" s="1"/>
  <c r="N14" i="19"/>
  <c r="M14" i="19"/>
  <c r="L14" i="19"/>
  <c r="K14" i="19"/>
  <c r="J14" i="19"/>
  <c r="I14" i="19"/>
  <c r="H14" i="19"/>
  <c r="G14" i="19"/>
  <c r="F14" i="19"/>
  <c r="B14" i="19"/>
  <c r="O13" i="19"/>
  <c r="S13" i="19" s="1"/>
  <c r="O12" i="19"/>
  <c r="H53" i="14"/>
  <c r="G53" i="14"/>
  <c r="G51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C49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C47" i="14"/>
  <c r="P53" i="14"/>
  <c r="N53" i="14"/>
  <c r="M53" i="14"/>
  <c r="L51" i="14"/>
  <c r="K51" i="14"/>
  <c r="J53" i="14"/>
  <c r="H51" i="14"/>
  <c r="G45" i="14"/>
  <c r="F51" i="14"/>
  <c r="E51" i="14"/>
  <c r="C53" i="14"/>
  <c r="P14" i="14"/>
  <c r="O14" i="14"/>
  <c r="N14" i="14"/>
  <c r="M14" i="14"/>
  <c r="L14" i="14"/>
  <c r="K14" i="14"/>
  <c r="J14" i="14"/>
  <c r="I14" i="14"/>
  <c r="H14" i="14"/>
  <c r="H45" i="14" s="1"/>
  <c r="U13" i="14"/>
  <c r="U12" i="14"/>
  <c r="O51" i="13"/>
  <c r="K51" i="13"/>
  <c r="E51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F45" i="13"/>
  <c r="O53" i="13"/>
  <c r="L53" i="13"/>
  <c r="K53" i="13"/>
  <c r="J51" i="13"/>
  <c r="I53" i="13"/>
  <c r="F53" i="13"/>
  <c r="E53" i="13"/>
  <c r="D51" i="13"/>
  <c r="O14" i="13"/>
  <c r="N14" i="13"/>
  <c r="M14" i="13"/>
  <c r="L14" i="13"/>
  <c r="K14" i="13"/>
  <c r="J14" i="13"/>
  <c r="I14" i="13"/>
  <c r="H14" i="13"/>
  <c r="G14" i="13"/>
  <c r="P14" i="13"/>
  <c r="P53" i="8"/>
  <c r="L53" i="8"/>
  <c r="J53" i="8"/>
  <c r="Q49" i="8"/>
  <c r="P49" i="8"/>
  <c r="O49" i="8"/>
  <c r="N49" i="8"/>
  <c r="M49" i="8"/>
  <c r="L49" i="8"/>
  <c r="K49" i="8"/>
  <c r="J49" i="8"/>
  <c r="I49" i="8"/>
  <c r="G49" i="8"/>
  <c r="F49" i="8"/>
  <c r="Q47" i="8"/>
  <c r="P47" i="8"/>
  <c r="O47" i="8"/>
  <c r="N47" i="8"/>
  <c r="M47" i="8"/>
  <c r="L47" i="8"/>
  <c r="K47" i="8"/>
  <c r="J47" i="8"/>
  <c r="H47" i="8"/>
  <c r="G47" i="8"/>
  <c r="F47" i="8"/>
  <c r="Q53" i="8"/>
  <c r="P51" i="8"/>
  <c r="O53" i="8"/>
  <c r="N53" i="8"/>
  <c r="M53" i="8"/>
  <c r="L51" i="8"/>
  <c r="K53" i="8"/>
  <c r="J51" i="8"/>
  <c r="I53" i="8"/>
  <c r="H45" i="8"/>
  <c r="G45" i="8"/>
  <c r="F51" i="8"/>
  <c r="Q14" i="8"/>
  <c r="P14" i="8"/>
  <c r="O14" i="8"/>
  <c r="N14" i="8"/>
  <c r="M14" i="8"/>
  <c r="L14" i="8"/>
  <c r="K14" i="8"/>
  <c r="J14" i="8"/>
  <c r="I14" i="8"/>
  <c r="L49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O49" i="29"/>
  <c r="N51" i="29"/>
  <c r="M51" i="29"/>
  <c r="L51" i="29"/>
  <c r="K51" i="29"/>
  <c r="J51" i="29"/>
  <c r="I51" i="29"/>
  <c r="H51" i="29"/>
  <c r="G51" i="29"/>
  <c r="F51" i="29"/>
  <c r="E51" i="29"/>
  <c r="D51" i="29"/>
  <c r="T39" i="29"/>
  <c r="T38" i="29"/>
  <c r="T37" i="29"/>
  <c r="T36" i="29"/>
  <c r="T35" i="29"/>
  <c r="T34" i="29"/>
  <c r="T33" i="29"/>
  <c r="T32" i="29"/>
  <c r="T31" i="29"/>
  <c r="T30" i="29"/>
  <c r="T29" i="29"/>
  <c r="T28" i="29"/>
  <c r="T27" i="29"/>
  <c r="T26" i="29"/>
  <c r="T25" i="29"/>
  <c r="T24" i="29"/>
  <c r="T23" i="29"/>
  <c r="T22" i="29"/>
  <c r="T21" i="29"/>
  <c r="T20" i="29"/>
  <c r="T19" i="29"/>
  <c r="T18" i="29"/>
  <c r="T17" i="29"/>
  <c r="T16" i="29"/>
  <c r="T15" i="29"/>
  <c r="N43" i="29"/>
  <c r="K43" i="29"/>
  <c r="J43" i="29"/>
  <c r="H43" i="29"/>
  <c r="T11" i="29"/>
  <c r="T10" i="29"/>
  <c r="C42" i="31"/>
  <c r="D48" i="31"/>
  <c r="E48" i="31"/>
  <c r="K50" i="31"/>
  <c r="F48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E42" i="31"/>
  <c r="D42" i="31"/>
  <c r="N50" i="31"/>
  <c r="M50" i="31"/>
  <c r="L50" i="31"/>
  <c r="K48" i="31"/>
  <c r="J50" i="31"/>
  <c r="I50" i="31"/>
  <c r="H50" i="31"/>
  <c r="G50" i="31"/>
  <c r="F50" i="31"/>
  <c r="O38" i="31"/>
  <c r="S38" i="31" s="1"/>
  <c r="O37" i="31"/>
  <c r="S37" i="31" s="1"/>
  <c r="O36" i="31"/>
  <c r="S36" i="31" s="1"/>
  <c r="O35" i="31"/>
  <c r="S35" i="31" s="1"/>
  <c r="O34" i="31"/>
  <c r="S34" i="31" s="1"/>
  <c r="O33" i="31"/>
  <c r="S33" i="31" s="1"/>
  <c r="O32" i="31"/>
  <c r="S32" i="31" s="1"/>
  <c r="O31" i="31"/>
  <c r="S31" i="31" s="1"/>
  <c r="O30" i="31"/>
  <c r="S30" i="31" s="1"/>
  <c r="O29" i="31"/>
  <c r="S29" i="31" s="1"/>
  <c r="O28" i="31"/>
  <c r="S28" i="31" s="1"/>
  <c r="O27" i="31"/>
  <c r="S27" i="31" s="1"/>
  <c r="O26" i="31"/>
  <c r="S26" i="31" s="1"/>
  <c r="O25" i="31"/>
  <c r="S25" i="31" s="1"/>
  <c r="O24" i="31"/>
  <c r="S24" i="31" s="1"/>
  <c r="O23" i="31"/>
  <c r="S23" i="31" s="1"/>
  <c r="O22" i="31"/>
  <c r="S22" i="31" s="1"/>
  <c r="O21" i="31"/>
  <c r="S21" i="31" s="1"/>
  <c r="O20" i="31"/>
  <c r="S20" i="31" s="1"/>
  <c r="O19" i="31"/>
  <c r="S19" i="31" s="1"/>
  <c r="O18" i="31"/>
  <c r="S18" i="31" s="1"/>
  <c r="O17" i="31"/>
  <c r="S17" i="31" s="1"/>
  <c r="O16" i="31"/>
  <c r="S16" i="31" s="1"/>
  <c r="O15" i="31"/>
  <c r="S15" i="31" s="1"/>
  <c r="O14" i="31"/>
  <c r="S14" i="31" s="1"/>
  <c r="N11" i="31"/>
  <c r="M11" i="31"/>
  <c r="L11" i="31"/>
  <c r="K11" i="31"/>
  <c r="J11" i="31"/>
  <c r="I11" i="31"/>
  <c r="H11" i="31"/>
  <c r="G11" i="31"/>
  <c r="F11" i="31"/>
  <c r="O10" i="31"/>
  <c r="S10" i="31" s="1"/>
  <c r="O9" i="31"/>
  <c r="S9" i="31" s="1"/>
  <c r="P11" i="12"/>
  <c r="U11" i="12" s="1"/>
  <c r="P17" i="12"/>
  <c r="U17" i="12" s="1"/>
  <c r="P18" i="12"/>
  <c r="U18" i="12" s="1"/>
  <c r="P19" i="12"/>
  <c r="U19" i="12" s="1"/>
  <c r="P20" i="12"/>
  <c r="U20" i="12" s="1"/>
  <c r="P21" i="12"/>
  <c r="U21" i="12" s="1"/>
  <c r="P22" i="12"/>
  <c r="U22" i="12" s="1"/>
  <c r="P23" i="12"/>
  <c r="U23" i="12" s="1"/>
  <c r="P24" i="12"/>
  <c r="U24" i="12" s="1"/>
  <c r="P25" i="12"/>
  <c r="U25" i="12" s="1"/>
  <c r="P26" i="12"/>
  <c r="U26" i="12" s="1"/>
  <c r="P27" i="12"/>
  <c r="U27" i="12" s="1"/>
  <c r="P28" i="12"/>
  <c r="U28" i="12" s="1"/>
  <c r="P29" i="12"/>
  <c r="U29" i="12" s="1"/>
  <c r="P30" i="12"/>
  <c r="U30" i="12" s="1"/>
  <c r="P31" i="12"/>
  <c r="U31" i="12" s="1"/>
  <c r="P32" i="12"/>
  <c r="U32" i="12" s="1"/>
  <c r="P33" i="12"/>
  <c r="U33" i="12" s="1"/>
  <c r="P34" i="12"/>
  <c r="U34" i="12" s="1"/>
  <c r="P35" i="12"/>
  <c r="U35" i="12" s="1"/>
  <c r="P36" i="12"/>
  <c r="U36" i="12" s="1"/>
  <c r="P37" i="12"/>
  <c r="U37" i="12" s="1"/>
  <c r="P38" i="12"/>
  <c r="U38" i="12" s="1"/>
  <c r="P39" i="12"/>
  <c r="U39" i="12" s="1"/>
  <c r="P40" i="12"/>
  <c r="U40" i="12" s="1"/>
  <c r="P12" i="12"/>
  <c r="U12" i="12" s="1"/>
  <c r="C44" i="12"/>
  <c r="C48" i="12"/>
  <c r="C46" i="12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13" i="11"/>
  <c r="V12" i="11"/>
  <c r="E49" i="11"/>
  <c r="E47" i="11"/>
  <c r="E14" i="11"/>
  <c r="Y44" i="6" l="1"/>
  <c r="X43" i="6"/>
  <c r="R53" i="18"/>
  <c r="X53" i="18" s="1"/>
  <c r="V43" i="8"/>
  <c r="W43" i="8"/>
  <c r="Z13" i="6"/>
  <c r="R5" i="63"/>
  <c r="R5" i="60"/>
  <c r="K59" i="41"/>
  <c r="G52" i="26"/>
  <c r="C59" i="41"/>
  <c r="O52" i="41"/>
  <c r="S17" i="8"/>
  <c r="P5" i="59"/>
  <c r="J59" i="39"/>
  <c r="S46" i="32"/>
  <c r="S11" i="32"/>
  <c r="S40" i="37"/>
  <c r="R52" i="41"/>
  <c r="S44" i="32"/>
  <c r="H43" i="37"/>
  <c r="O43" i="37"/>
  <c r="I43" i="37"/>
  <c r="R50" i="39"/>
  <c r="P47" i="20"/>
  <c r="P44" i="32"/>
  <c r="S49" i="20"/>
  <c r="P49" i="20"/>
  <c r="P46" i="32"/>
  <c r="E57" i="27"/>
  <c r="N59" i="41"/>
  <c r="G43" i="37"/>
  <c r="T10" i="24"/>
  <c r="Q20" i="24"/>
  <c r="S14" i="20"/>
  <c r="S47" i="20"/>
  <c r="S42" i="41"/>
  <c r="M59" i="41"/>
  <c r="N43" i="37"/>
  <c r="P45" i="8"/>
  <c r="L43" i="35"/>
  <c r="O43" i="21"/>
  <c r="U43" i="6"/>
  <c r="V43" i="6" s="1"/>
  <c r="S44" i="21"/>
  <c r="J59" i="41"/>
  <c r="S48" i="41"/>
  <c r="Q18" i="13"/>
  <c r="Q25" i="13"/>
  <c r="Q31" i="13"/>
  <c r="Q37" i="13"/>
  <c r="Q43" i="13"/>
  <c r="Q30" i="13"/>
  <c r="Q19" i="13"/>
  <c r="Q26" i="13"/>
  <c r="Q32" i="13"/>
  <c r="Q38" i="13"/>
  <c r="Q17" i="13"/>
  <c r="Q42" i="13"/>
  <c r="Q20" i="13"/>
  <c r="Q27" i="13"/>
  <c r="Q33" i="13"/>
  <c r="Q39" i="13"/>
  <c r="Q23" i="13"/>
  <c r="Q21" i="13"/>
  <c r="Q28" i="13"/>
  <c r="Q34" i="13"/>
  <c r="Q40" i="13"/>
  <c r="Q36" i="13"/>
  <c r="Q22" i="13"/>
  <c r="Q29" i="13"/>
  <c r="Q35" i="13"/>
  <c r="Q41" i="13"/>
  <c r="Q24" i="13"/>
  <c r="S42" i="8"/>
  <c r="F59" i="39"/>
  <c r="Q52" i="39"/>
  <c r="R42" i="39"/>
  <c r="O48" i="39"/>
  <c r="R48" i="39"/>
  <c r="U43" i="14"/>
  <c r="D60" i="19"/>
  <c r="L58" i="26"/>
  <c r="E58" i="37"/>
  <c r="G59" i="39"/>
  <c r="N57" i="39"/>
  <c r="J61" i="8"/>
  <c r="V43" i="18"/>
  <c r="F42" i="31"/>
  <c r="F52" i="31" s="1"/>
  <c r="F57" i="31"/>
  <c r="J42" i="26"/>
  <c r="N42" i="32"/>
  <c r="Q41" i="12"/>
  <c r="K57" i="31"/>
  <c r="O45" i="8"/>
  <c r="E60" i="13"/>
  <c r="L45" i="14"/>
  <c r="G55" i="14"/>
  <c r="R14" i="19"/>
  <c r="M45" i="19"/>
  <c r="K45" i="20"/>
  <c r="H42" i="24"/>
  <c r="R22" i="26"/>
  <c r="O42" i="26"/>
  <c r="I42" i="25"/>
  <c r="M42" i="27"/>
  <c r="O42" i="28"/>
  <c r="F58" i="35"/>
  <c r="L42" i="37"/>
  <c r="I42" i="38"/>
  <c r="U40" i="38"/>
  <c r="H59" i="41"/>
  <c r="K42" i="24"/>
  <c r="I42" i="35"/>
  <c r="L42" i="31"/>
  <c r="L58" i="29"/>
  <c r="P61" i="8"/>
  <c r="K45" i="13"/>
  <c r="K60" i="13"/>
  <c r="M45" i="14"/>
  <c r="N45" i="19"/>
  <c r="N55" i="19" s="1"/>
  <c r="N60" i="19"/>
  <c r="R47" i="19"/>
  <c r="I42" i="24"/>
  <c r="P42" i="26"/>
  <c r="P52" i="26" s="1"/>
  <c r="P58" i="26"/>
  <c r="J42" i="25"/>
  <c r="N42" i="27"/>
  <c r="O42" i="35"/>
  <c r="M42" i="37"/>
  <c r="N52" i="39"/>
  <c r="O52" i="39" s="1"/>
  <c r="C59" i="39"/>
  <c r="L45" i="13"/>
  <c r="O42" i="37"/>
  <c r="G42" i="31"/>
  <c r="O11" i="31"/>
  <c r="G61" i="14"/>
  <c r="E60" i="19"/>
  <c r="O45" i="20"/>
  <c r="O55" i="20" s="1"/>
  <c r="O61" i="20"/>
  <c r="J43" i="21"/>
  <c r="L42" i="24"/>
  <c r="L57" i="24"/>
  <c r="M58" i="25"/>
  <c r="O42" i="32"/>
  <c r="O57" i="32"/>
  <c r="J42" i="35"/>
  <c r="H42" i="37"/>
  <c r="D58" i="37"/>
  <c r="M42" i="38"/>
  <c r="U53" i="18"/>
  <c r="N42" i="37"/>
  <c r="H45" i="19"/>
  <c r="N45" i="20"/>
  <c r="H42" i="27"/>
  <c r="L61" i="8"/>
  <c r="O45" i="13"/>
  <c r="O55" i="13" s="1"/>
  <c r="O60" i="13"/>
  <c r="I45" i="14"/>
  <c r="J45" i="19"/>
  <c r="H45" i="20"/>
  <c r="K43" i="21"/>
  <c r="N42" i="25"/>
  <c r="L42" i="28"/>
  <c r="I42" i="37"/>
  <c r="N42" i="38"/>
  <c r="N52" i="38" s="1"/>
  <c r="N57" i="38"/>
  <c r="N45" i="14"/>
  <c r="G45" i="19"/>
  <c r="G55" i="19" s="1"/>
  <c r="G60" i="19"/>
  <c r="J42" i="24"/>
  <c r="G42" i="37"/>
  <c r="L42" i="38"/>
  <c r="M45" i="8"/>
  <c r="O14" i="19"/>
  <c r="S12" i="19"/>
  <c r="K45" i="19"/>
  <c r="K55" i="19" s="1"/>
  <c r="K60" i="19"/>
  <c r="R49" i="19"/>
  <c r="I45" i="20"/>
  <c r="I55" i="20" s="1"/>
  <c r="I61" i="20"/>
  <c r="N42" i="24"/>
  <c r="F57" i="24"/>
  <c r="M42" i="26"/>
  <c r="M58" i="26"/>
  <c r="O42" i="25"/>
  <c r="K42" i="27"/>
  <c r="K57" i="27"/>
  <c r="M42" i="28"/>
  <c r="I42" i="32"/>
  <c r="I52" i="32" s="1"/>
  <c r="I57" i="32"/>
  <c r="L42" i="35"/>
  <c r="F58" i="37"/>
  <c r="C45" i="6"/>
  <c r="B59" i="39"/>
  <c r="M42" i="31"/>
  <c r="I42" i="26"/>
  <c r="K42" i="25"/>
  <c r="G42" i="27"/>
  <c r="I42" i="28"/>
  <c r="M42" i="32"/>
  <c r="L42" i="25"/>
  <c r="L52" i="25" s="1"/>
  <c r="L58" i="25"/>
  <c r="N45" i="8"/>
  <c r="J45" i="8"/>
  <c r="J55" i="8" s="1"/>
  <c r="I45" i="13"/>
  <c r="K45" i="14"/>
  <c r="O45" i="14"/>
  <c r="J45" i="20"/>
  <c r="M43" i="21"/>
  <c r="O42" i="24"/>
  <c r="G58" i="26"/>
  <c r="H42" i="25"/>
  <c r="N42" i="28"/>
  <c r="J42" i="32"/>
  <c r="M42" i="35"/>
  <c r="M52" i="35" s="1"/>
  <c r="M58" i="35"/>
  <c r="O57" i="41"/>
  <c r="F59" i="41"/>
  <c r="G42" i="35"/>
  <c r="Q22" i="25"/>
  <c r="Q35" i="21"/>
  <c r="G43" i="21"/>
  <c r="G58" i="21"/>
  <c r="H57" i="38"/>
  <c r="H57" i="28"/>
  <c r="H61" i="14"/>
  <c r="I61" i="18"/>
  <c r="K61" i="18"/>
  <c r="Q61" i="18"/>
  <c r="F61" i="18"/>
  <c r="L61" i="18"/>
  <c r="C45" i="18"/>
  <c r="C55" i="18" s="1"/>
  <c r="C61" i="18"/>
  <c r="O61" i="18"/>
  <c r="J61" i="18"/>
  <c r="P61" i="18"/>
  <c r="G57" i="33"/>
  <c r="H42" i="33"/>
  <c r="H57" i="33"/>
  <c r="J42" i="33"/>
  <c r="K42" i="33"/>
  <c r="K52" i="33" s="1"/>
  <c r="K57" i="33"/>
  <c r="M57" i="33"/>
  <c r="N42" i="33"/>
  <c r="N52" i="33" s="1"/>
  <c r="N57" i="33"/>
  <c r="O42" i="33"/>
  <c r="P42" i="33"/>
  <c r="I48" i="37"/>
  <c r="I50" i="37"/>
  <c r="H48" i="37"/>
  <c r="H50" i="37"/>
  <c r="K48" i="37"/>
  <c r="K50" i="37"/>
  <c r="O50" i="37"/>
  <c r="O48" i="37"/>
  <c r="G50" i="37"/>
  <c r="G48" i="37"/>
  <c r="J48" i="37"/>
  <c r="J50" i="37"/>
  <c r="O43" i="19"/>
  <c r="S43" i="19" s="1"/>
  <c r="E52" i="27"/>
  <c r="E59" i="27" s="1"/>
  <c r="N50" i="37"/>
  <c r="N48" i="37"/>
  <c r="H55" i="14"/>
  <c r="J42" i="37"/>
  <c r="F52" i="37"/>
  <c r="M50" i="37"/>
  <c r="M48" i="37"/>
  <c r="S43" i="18"/>
  <c r="K42" i="37"/>
  <c r="L48" i="37"/>
  <c r="L50" i="37"/>
  <c r="K52" i="27"/>
  <c r="T41" i="29"/>
  <c r="O40" i="27"/>
  <c r="S40" i="27" s="1"/>
  <c r="T40" i="35"/>
  <c r="O40" i="31"/>
  <c r="S40" i="31" s="1"/>
  <c r="P40" i="25"/>
  <c r="T40" i="25" s="1"/>
  <c r="P40" i="24"/>
  <c r="T41" i="21"/>
  <c r="T43" i="20"/>
  <c r="U40" i="28"/>
  <c r="U40" i="33"/>
  <c r="U40" i="26"/>
  <c r="P42" i="12"/>
  <c r="U42" i="12" s="1"/>
  <c r="Q43" i="11"/>
  <c r="V43" i="11" s="1"/>
  <c r="L55" i="18"/>
  <c r="O55" i="18"/>
  <c r="H52" i="38"/>
  <c r="E55" i="19"/>
  <c r="K55" i="13"/>
  <c r="J42" i="38"/>
  <c r="P42" i="38"/>
  <c r="M48" i="38"/>
  <c r="K42" i="38"/>
  <c r="G50" i="38"/>
  <c r="O42" i="38"/>
  <c r="G48" i="38"/>
  <c r="G50" i="35"/>
  <c r="H42" i="35"/>
  <c r="N42" i="35"/>
  <c r="L50" i="35"/>
  <c r="H48" i="35"/>
  <c r="H58" i="35" s="1"/>
  <c r="N48" i="35"/>
  <c r="F50" i="32"/>
  <c r="F57" i="32" s="1"/>
  <c r="K42" i="32"/>
  <c r="G50" i="32"/>
  <c r="F42" i="32"/>
  <c r="L50" i="32"/>
  <c r="L42" i="32"/>
  <c r="M50" i="32"/>
  <c r="G50" i="28"/>
  <c r="G57" i="28" s="1"/>
  <c r="J42" i="28"/>
  <c r="P42" i="28"/>
  <c r="I50" i="28"/>
  <c r="K50" i="28"/>
  <c r="K52" i="28" s="1"/>
  <c r="M50" i="28"/>
  <c r="G42" i="28"/>
  <c r="O50" i="28"/>
  <c r="N48" i="28"/>
  <c r="L42" i="33"/>
  <c r="G42" i="33"/>
  <c r="G52" i="33" s="1"/>
  <c r="O50" i="33"/>
  <c r="M42" i="33"/>
  <c r="I42" i="33"/>
  <c r="I50" i="33"/>
  <c r="I57" i="33" s="1"/>
  <c r="L48" i="27"/>
  <c r="L57" i="27" s="1"/>
  <c r="F42" i="27"/>
  <c r="L42" i="27"/>
  <c r="N48" i="27"/>
  <c r="N57" i="27" s="1"/>
  <c r="D50" i="27"/>
  <c r="D57" i="27" s="1"/>
  <c r="F48" i="27"/>
  <c r="H48" i="27"/>
  <c r="J42" i="27"/>
  <c r="J50" i="27"/>
  <c r="J57" i="27" s="1"/>
  <c r="J48" i="25"/>
  <c r="G42" i="25"/>
  <c r="M42" i="25"/>
  <c r="M52" i="25" s="1"/>
  <c r="F50" i="25"/>
  <c r="F58" i="25" s="1"/>
  <c r="G48" i="25"/>
  <c r="I50" i="26"/>
  <c r="H42" i="26"/>
  <c r="N42" i="26"/>
  <c r="J48" i="26"/>
  <c r="K42" i="26"/>
  <c r="F50" i="26"/>
  <c r="F58" i="26" s="1"/>
  <c r="O50" i="26"/>
  <c r="L42" i="26"/>
  <c r="M48" i="24"/>
  <c r="M57" i="24" s="1"/>
  <c r="G42" i="24"/>
  <c r="M42" i="24"/>
  <c r="H50" i="24"/>
  <c r="F52" i="24"/>
  <c r="G48" i="24"/>
  <c r="N50" i="24"/>
  <c r="L49" i="21"/>
  <c r="L58" i="21" s="1"/>
  <c r="H43" i="21"/>
  <c r="N43" i="21"/>
  <c r="M49" i="21"/>
  <c r="F51" i="21"/>
  <c r="L43" i="21"/>
  <c r="F49" i="21"/>
  <c r="F45" i="20"/>
  <c r="G53" i="20"/>
  <c r="G45" i="20"/>
  <c r="M45" i="20"/>
  <c r="F51" i="20"/>
  <c r="F61" i="20" s="1"/>
  <c r="J53" i="20"/>
  <c r="L45" i="20"/>
  <c r="L53" i="20"/>
  <c r="L61" i="20" s="1"/>
  <c r="M53" i="20"/>
  <c r="M61" i="20" s="1"/>
  <c r="F45" i="19"/>
  <c r="L45" i="19"/>
  <c r="H51" i="19"/>
  <c r="O47" i="19"/>
  <c r="J51" i="19"/>
  <c r="J60" i="19" s="1"/>
  <c r="I45" i="19"/>
  <c r="O49" i="19"/>
  <c r="S49" i="19" s="1"/>
  <c r="M51" i="19"/>
  <c r="M60" i="19" s="1"/>
  <c r="K53" i="14"/>
  <c r="M51" i="14"/>
  <c r="L53" i="14"/>
  <c r="L55" i="14" s="1"/>
  <c r="N51" i="14"/>
  <c r="F53" i="14"/>
  <c r="F61" i="14" s="1"/>
  <c r="L51" i="13"/>
  <c r="M45" i="13"/>
  <c r="F51" i="13"/>
  <c r="F55" i="13" s="1"/>
  <c r="G45" i="13"/>
  <c r="H45" i="13"/>
  <c r="N45" i="13"/>
  <c r="I51" i="13"/>
  <c r="I60" i="13" s="1"/>
  <c r="J53" i="13"/>
  <c r="J60" i="13" s="1"/>
  <c r="J45" i="13"/>
  <c r="H53" i="8"/>
  <c r="I45" i="8"/>
  <c r="M51" i="8"/>
  <c r="G51" i="8"/>
  <c r="H51" i="8"/>
  <c r="N51" i="8"/>
  <c r="G53" i="8"/>
  <c r="O51" i="29"/>
  <c r="O58" i="29" s="1"/>
  <c r="P12" i="29"/>
  <c r="F43" i="29"/>
  <c r="M49" i="29"/>
  <c r="M58" i="29" s="1"/>
  <c r="L43" i="29"/>
  <c r="L53" i="29" s="1"/>
  <c r="F49" i="29"/>
  <c r="F58" i="29" s="1"/>
  <c r="G43" i="29"/>
  <c r="M43" i="29"/>
  <c r="G49" i="29"/>
  <c r="I49" i="29"/>
  <c r="I58" i="29" s="1"/>
  <c r="I43" i="29"/>
  <c r="O43" i="29"/>
  <c r="J49" i="29"/>
  <c r="H42" i="31"/>
  <c r="N42" i="31"/>
  <c r="K42" i="31"/>
  <c r="K52" i="31" s="1"/>
  <c r="L48" i="31"/>
  <c r="I42" i="31"/>
  <c r="J42" i="31"/>
  <c r="D50" i="31"/>
  <c r="D52" i="31" s="1"/>
  <c r="P13" i="12"/>
  <c r="E45" i="11"/>
  <c r="F51" i="6"/>
  <c r="F53" i="6"/>
  <c r="F45" i="6"/>
  <c r="O11" i="27"/>
  <c r="C50" i="31"/>
  <c r="C48" i="31"/>
  <c r="D50" i="25"/>
  <c r="D58" i="25" s="1"/>
  <c r="D42" i="25"/>
  <c r="D42" i="24"/>
  <c r="Q28" i="24"/>
  <c r="D43" i="21"/>
  <c r="D53" i="20"/>
  <c r="D61" i="20" s="1"/>
  <c r="D49" i="29"/>
  <c r="D58" i="29" s="1"/>
  <c r="D43" i="29"/>
  <c r="E42" i="38"/>
  <c r="T39" i="37"/>
  <c r="E42" i="28"/>
  <c r="E48" i="28"/>
  <c r="E42" i="33"/>
  <c r="E50" i="33"/>
  <c r="E53" i="14"/>
  <c r="D53" i="13"/>
  <c r="D60" i="13" s="1"/>
  <c r="D45" i="13"/>
  <c r="F53" i="8"/>
  <c r="E51" i="11"/>
  <c r="E53" i="11"/>
  <c r="S31" i="8"/>
  <c r="S19" i="8"/>
  <c r="S26" i="8"/>
  <c r="S32" i="8"/>
  <c r="S38" i="8"/>
  <c r="S20" i="8"/>
  <c r="S27" i="8"/>
  <c r="S33" i="8"/>
  <c r="S39" i="8"/>
  <c r="S21" i="8"/>
  <c r="S28" i="8"/>
  <c r="S34" i="8"/>
  <c r="S40" i="8"/>
  <c r="S22" i="8"/>
  <c r="S29" i="8"/>
  <c r="S35" i="8"/>
  <c r="S41" i="8"/>
  <c r="S23" i="8"/>
  <c r="S30" i="8"/>
  <c r="S36" i="8"/>
  <c r="S18" i="8"/>
  <c r="S25" i="8"/>
  <c r="S37" i="8"/>
  <c r="B42" i="32"/>
  <c r="B48" i="32"/>
  <c r="B57" i="32" s="1"/>
  <c r="T40" i="32"/>
  <c r="B45" i="20"/>
  <c r="B51" i="20"/>
  <c r="B45" i="19"/>
  <c r="B53" i="19"/>
  <c r="B60" i="19" s="1"/>
  <c r="C45" i="14"/>
  <c r="S43" i="8"/>
  <c r="C50" i="12"/>
  <c r="C52" i="12"/>
  <c r="J55" i="18"/>
  <c r="P55" i="18"/>
  <c r="I55" i="18"/>
  <c r="F55" i="18"/>
  <c r="Q55" i="18"/>
  <c r="K55" i="18"/>
  <c r="G45" i="18"/>
  <c r="G51" i="18"/>
  <c r="G61" i="18" s="1"/>
  <c r="M51" i="18"/>
  <c r="M55" i="18" s="1"/>
  <c r="H51" i="18"/>
  <c r="H61" i="18" s="1"/>
  <c r="N51" i="18"/>
  <c r="N55" i="18" s="1"/>
  <c r="F42" i="38"/>
  <c r="I48" i="38"/>
  <c r="O48" i="38"/>
  <c r="J48" i="38"/>
  <c r="P48" i="38"/>
  <c r="E48" i="38"/>
  <c r="K48" i="38"/>
  <c r="K57" i="38" s="1"/>
  <c r="J50" i="38"/>
  <c r="P50" i="38"/>
  <c r="F48" i="38"/>
  <c r="L48" i="38"/>
  <c r="E42" i="35"/>
  <c r="K42" i="35"/>
  <c r="F42" i="35"/>
  <c r="F52" i="35" s="1"/>
  <c r="I48" i="35"/>
  <c r="O48" i="35"/>
  <c r="J48" i="35"/>
  <c r="E48" i="35"/>
  <c r="E58" i="35" s="1"/>
  <c r="K48" i="35"/>
  <c r="D42" i="32"/>
  <c r="D48" i="32"/>
  <c r="D57" i="32" s="1"/>
  <c r="J48" i="32"/>
  <c r="J57" i="32" s="1"/>
  <c r="H50" i="32"/>
  <c r="H57" i="32" s="1"/>
  <c r="N50" i="32"/>
  <c r="E42" i="32"/>
  <c r="E48" i="32"/>
  <c r="E57" i="32" s="1"/>
  <c r="K48" i="32"/>
  <c r="H52" i="28"/>
  <c r="F42" i="28"/>
  <c r="J48" i="28"/>
  <c r="J57" i="28" s="1"/>
  <c r="P48" i="28"/>
  <c r="F48" i="28"/>
  <c r="L48" i="28"/>
  <c r="F42" i="33"/>
  <c r="J48" i="33"/>
  <c r="P48" i="33"/>
  <c r="P57" i="33" s="1"/>
  <c r="F48" i="33"/>
  <c r="L48" i="33"/>
  <c r="C42" i="27"/>
  <c r="I42" i="27"/>
  <c r="D42" i="27"/>
  <c r="D52" i="27" s="1"/>
  <c r="G48" i="27"/>
  <c r="M48" i="27"/>
  <c r="M57" i="27" s="1"/>
  <c r="C48" i="27"/>
  <c r="C57" i="27" s="1"/>
  <c r="I48" i="27"/>
  <c r="I57" i="27" s="1"/>
  <c r="E42" i="25"/>
  <c r="H48" i="25"/>
  <c r="N48" i="25"/>
  <c r="I48" i="25"/>
  <c r="O48" i="25"/>
  <c r="E48" i="25"/>
  <c r="E58" i="25" s="1"/>
  <c r="K48" i="25"/>
  <c r="E42" i="26"/>
  <c r="H48" i="26"/>
  <c r="N48" i="26"/>
  <c r="F42" i="26"/>
  <c r="F52" i="26" s="1"/>
  <c r="E48" i="26"/>
  <c r="K48" i="26"/>
  <c r="K58" i="26" s="1"/>
  <c r="E42" i="24"/>
  <c r="I48" i="24"/>
  <c r="O48" i="24"/>
  <c r="D48" i="24"/>
  <c r="D57" i="24" s="1"/>
  <c r="J48" i="24"/>
  <c r="E48" i="24"/>
  <c r="E57" i="24" s="1"/>
  <c r="K48" i="24"/>
  <c r="E43" i="21"/>
  <c r="H49" i="21"/>
  <c r="N49" i="21"/>
  <c r="I49" i="21"/>
  <c r="O49" i="21"/>
  <c r="H51" i="21"/>
  <c r="N51" i="21"/>
  <c r="D49" i="21"/>
  <c r="J49" i="21"/>
  <c r="I51" i="21"/>
  <c r="O51" i="21"/>
  <c r="E49" i="21"/>
  <c r="E58" i="21" s="1"/>
  <c r="K49" i="21"/>
  <c r="D45" i="20"/>
  <c r="H53" i="20"/>
  <c r="N53" i="20"/>
  <c r="E45" i="20"/>
  <c r="E51" i="20"/>
  <c r="E61" i="20" s="1"/>
  <c r="K51" i="20"/>
  <c r="D55" i="19"/>
  <c r="F53" i="19"/>
  <c r="F60" i="19" s="1"/>
  <c r="L53" i="19"/>
  <c r="L60" i="19" s="1"/>
  <c r="C45" i="19"/>
  <c r="C51" i="19"/>
  <c r="C60" i="19" s="1"/>
  <c r="I51" i="19"/>
  <c r="I60" i="19" s="1"/>
  <c r="O51" i="14"/>
  <c r="J45" i="14"/>
  <c r="C51" i="14"/>
  <c r="C61" i="14" s="1"/>
  <c r="J51" i="14"/>
  <c r="J61" i="14" s="1"/>
  <c r="P51" i="14"/>
  <c r="P61" i="14" s="1"/>
  <c r="E45" i="14"/>
  <c r="I53" i="14"/>
  <c r="O53" i="14"/>
  <c r="I51" i="14"/>
  <c r="P45" i="14"/>
  <c r="F45" i="14"/>
  <c r="F55" i="14" s="1"/>
  <c r="G51" i="13"/>
  <c r="M51" i="13"/>
  <c r="E45" i="13"/>
  <c r="E55" i="13" s="1"/>
  <c r="H51" i="13"/>
  <c r="N51" i="13"/>
  <c r="G53" i="13"/>
  <c r="M53" i="13"/>
  <c r="H53" i="13"/>
  <c r="N53" i="13"/>
  <c r="K45" i="8"/>
  <c r="Q45" i="8"/>
  <c r="F45" i="8"/>
  <c r="L45" i="8"/>
  <c r="L55" i="8" s="1"/>
  <c r="I51" i="8"/>
  <c r="O51" i="8"/>
  <c r="K51" i="8"/>
  <c r="K61" i="8" s="1"/>
  <c r="Q51" i="8"/>
  <c r="Q61" i="8" s="1"/>
  <c r="E43" i="29"/>
  <c r="H49" i="29"/>
  <c r="H53" i="29" s="1"/>
  <c r="N49" i="29"/>
  <c r="N53" i="29" s="1"/>
  <c r="E49" i="29"/>
  <c r="E58" i="29" s="1"/>
  <c r="K49" i="29"/>
  <c r="K53" i="29" s="1"/>
  <c r="E50" i="31"/>
  <c r="E52" i="31" s="1"/>
  <c r="G48" i="31"/>
  <c r="M48" i="31"/>
  <c r="H48" i="31"/>
  <c r="H57" i="31" s="1"/>
  <c r="N48" i="31"/>
  <c r="N57" i="31" s="1"/>
  <c r="I48" i="31"/>
  <c r="J48" i="31"/>
  <c r="P41" i="4"/>
  <c r="U41" i="4" s="1"/>
  <c r="P18" i="4"/>
  <c r="U18" i="4" s="1"/>
  <c r="P19" i="4"/>
  <c r="U19" i="4" s="1"/>
  <c r="P20" i="4"/>
  <c r="U20" i="4" s="1"/>
  <c r="P21" i="4"/>
  <c r="U21" i="4" s="1"/>
  <c r="P22" i="4"/>
  <c r="U22" i="4" s="1"/>
  <c r="P23" i="4"/>
  <c r="U23" i="4" s="1"/>
  <c r="P24" i="4"/>
  <c r="U24" i="4" s="1"/>
  <c r="P25" i="4"/>
  <c r="U25" i="4" s="1"/>
  <c r="P26" i="4"/>
  <c r="U26" i="4" s="1"/>
  <c r="P27" i="4"/>
  <c r="U27" i="4" s="1"/>
  <c r="P28" i="4"/>
  <c r="U28" i="4" s="1"/>
  <c r="P29" i="4"/>
  <c r="U29" i="4" s="1"/>
  <c r="P30" i="4"/>
  <c r="U30" i="4" s="1"/>
  <c r="P31" i="4"/>
  <c r="U31" i="4" s="1"/>
  <c r="P32" i="4"/>
  <c r="U32" i="4" s="1"/>
  <c r="P33" i="4"/>
  <c r="U33" i="4" s="1"/>
  <c r="P34" i="4"/>
  <c r="U34" i="4" s="1"/>
  <c r="P35" i="4"/>
  <c r="U35" i="4" s="1"/>
  <c r="P36" i="4"/>
  <c r="U36" i="4" s="1"/>
  <c r="P37" i="4"/>
  <c r="U37" i="4" s="1"/>
  <c r="P38" i="4"/>
  <c r="U38" i="4" s="1"/>
  <c r="P39" i="4"/>
  <c r="U39" i="4" s="1"/>
  <c r="P40" i="4"/>
  <c r="U40" i="4" s="1"/>
  <c r="P17" i="4"/>
  <c r="U17" i="4" s="1"/>
  <c r="P13" i="4"/>
  <c r="U13" i="4" s="1"/>
  <c r="P12" i="4"/>
  <c r="U12" i="4" s="1"/>
  <c r="D49" i="4"/>
  <c r="D47" i="4"/>
  <c r="D45" i="4"/>
  <c r="F50" i="7"/>
  <c r="R40" i="7"/>
  <c r="V40" i="7" s="1"/>
  <c r="F48" i="7"/>
  <c r="F46" i="7"/>
  <c r="E52" i="22"/>
  <c r="F52" i="22"/>
  <c r="G52" i="22"/>
  <c r="E50" i="22"/>
  <c r="F50" i="22"/>
  <c r="G50" i="22"/>
  <c r="E48" i="22"/>
  <c r="F48" i="22"/>
  <c r="E46" i="22"/>
  <c r="F46" i="22"/>
  <c r="G46" i="22"/>
  <c r="F44" i="22"/>
  <c r="G44" i="22"/>
  <c r="V12" i="22"/>
  <c r="V40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35" i="22"/>
  <c r="V36" i="22"/>
  <c r="V37" i="22"/>
  <c r="V38" i="22"/>
  <c r="V39" i="22"/>
  <c r="F55" i="6" l="1"/>
  <c r="E57" i="38"/>
  <c r="E63" i="13"/>
  <c r="F52" i="38"/>
  <c r="E55" i="14"/>
  <c r="H52" i="26"/>
  <c r="K59" i="27"/>
  <c r="N52" i="32"/>
  <c r="C62" i="12"/>
  <c r="B55" i="20"/>
  <c r="H55" i="19"/>
  <c r="E52" i="33"/>
  <c r="E52" i="26"/>
  <c r="F52" i="28"/>
  <c r="Q53" i="14"/>
  <c r="R53" i="14" s="1"/>
  <c r="O58" i="21"/>
  <c r="T46" i="32"/>
  <c r="E54" i="22"/>
  <c r="E57" i="31"/>
  <c r="T40" i="24"/>
  <c r="F59" i="31"/>
  <c r="E52" i="28"/>
  <c r="F54" i="22"/>
  <c r="F52" i="33"/>
  <c r="C55" i="14"/>
  <c r="S48" i="32"/>
  <c r="S42" i="32"/>
  <c r="E52" i="38"/>
  <c r="F57" i="38"/>
  <c r="F57" i="28"/>
  <c r="F57" i="33"/>
  <c r="F63" i="14"/>
  <c r="O52" i="25"/>
  <c r="S47" i="19"/>
  <c r="T44" i="32"/>
  <c r="C52" i="31"/>
  <c r="E60" i="37"/>
  <c r="N62" i="19"/>
  <c r="S43" i="37"/>
  <c r="T43" i="37" s="1"/>
  <c r="P42" i="32"/>
  <c r="O63" i="13"/>
  <c r="T49" i="20"/>
  <c r="D62" i="19"/>
  <c r="P50" i="32"/>
  <c r="P51" i="20"/>
  <c r="L52" i="31"/>
  <c r="L60" i="29"/>
  <c r="I52" i="31"/>
  <c r="L55" i="13"/>
  <c r="K62" i="19"/>
  <c r="P53" i="20"/>
  <c r="J52" i="31"/>
  <c r="P45" i="20"/>
  <c r="P48" i="32"/>
  <c r="T47" i="20"/>
  <c r="E57" i="28"/>
  <c r="E57" i="33"/>
  <c r="E58" i="26"/>
  <c r="E61" i="14"/>
  <c r="E60" i="22"/>
  <c r="M52" i="38"/>
  <c r="G58" i="37"/>
  <c r="I58" i="37"/>
  <c r="L52" i="37"/>
  <c r="F60" i="35"/>
  <c r="S43" i="35"/>
  <c r="T43" i="35" s="1"/>
  <c r="S50" i="32"/>
  <c r="Q19" i="25"/>
  <c r="Q24" i="25"/>
  <c r="H52" i="25"/>
  <c r="R29" i="26"/>
  <c r="R15" i="26"/>
  <c r="Q36" i="24"/>
  <c r="Q17" i="24"/>
  <c r="D58" i="21"/>
  <c r="M53" i="21"/>
  <c r="S53" i="20"/>
  <c r="S51" i="20"/>
  <c r="S45" i="20"/>
  <c r="T53" i="14"/>
  <c r="L63" i="8"/>
  <c r="J63" i="8"/>
  <c r="F61" i="8"/>
  <c r="G61" i="8"/>
  <c r="D53" i="29"/>
  <c r="S52" i="41"/>
  <c r="O52" i="32"/>
  <c r="O52" i="35"/>
  <c r="O52" i="24"/>
  <c r="P57" i="38"/>
  <c r="P60" i="26"/>
  <c r="F60" i="22"/>
  <c r="G60" i="22"/>
  <c r="N58" i="35"/>
  <c r="O57" i="38"/>
  <c r="N58" i="37"/>
  <c r="O52" i="28"/>
  <c r="O57" i="33"/>
  <c r="O52" i="26"/>
  <c r="O61" i="14"/>
  <c r="P55" i="8"/>
  <c r="P63" i="8" s="1"/>
  <c r="M60" i="35"/>
  <c r="Q31" i="25"/>
  <c r="Q26" i="25"/>
  <c r="M60" i="25"/>
  <c r="N52" i="28"/>
  <c r="N52" i="26"/>
  <c r="N55" i="14"/>
  <c r="M57" i="28"/>
  <c r="M52" i="33"/>
  <c r="M59" i="33" s="1"/>
  <c r="M52" i="26"/>
  <c r="M60" i="26" s="1"/>
  <c r="M61" i="14"/>
  <c r="L57" i="32"/>
  <c r="L52" i="35"/>
  <c r="L60" i="25"/>
  <c r="L52" i="24"/>
  <c r="R15" i="38"/>
  <c r="R22" i="38"/>
  <c r="R28" i="38"/>
  <c r="R34" i="38"/>
  <c r="R40" i="38"/>
  <c r="R16" i="38"/>
  <c r="R23" i="38"/>
  <c r="R29" i="38"/>
  <c r="R14" i="38"/>
  <c r="R17" i="38"/>
  <c r="R24" i="38"/>
  <c r="R30" i="38"/>
  <c r="R36" i="38"/>
  <c r="R21" i="38"/>
  <c r="R18" i="38"/>
  <c r="R25" i="38"/>
  <c r="R31" i="38"/>
  <c r="R37" i="38"/>
  <c r="R19" i="38"/>
  <c r="R26" i="38"/>
  <c r="R32" i="38"/>
  <c r="R38" i="38"/>
  <c r="R20" i="38"/>
  <c r="R27" i="38"/>
  <c r="R33" i="38"/>
  <c r="R39" i="38"/>
  <c r="R35" i="38"/>
  <c r="L58" i="37"/>
  <c r="L60" i="37" s="1"/>
  <c r="N55" i="8"/>
  <c r="F58" i="21"/>
  <c r="N58" i="21"/>
  <c r="K58" i="35"/>
  <c r="L57" i="33"/>
  <c r="L52" i="26"/>
  <c r="K52" i="32"/>
  <c r="K52" i="25"/>
  <c r="Q38" i="25"/>
  <c r="Q27" i="25"/>
  <c r="Q29" i="25"/>
  <c r="Q14" i="25"/>
  <c r="K57" i="24"/>
  <c r="K53" i="21"/>
  <c r="K55" i="20"/>
  <c r="L52" i="38"/>
  <c r="L52" i="28"/>
  <c r="L60" i="26"/>
  <c r="M61" i="8"/>
  <c r="J53" i="29"/>
  <c r="J52" i="25"/>
  <c r="J58" i="37"/>
  <c r="Q32" i="25"/>
  <c r="Q18" i="25"/>
  <c r="Q34" i="25"/>
  <c r="Q21" i="25"/>
  <c r="Q37" i="25"/>
  <c r="Q35" i="25"/>
  <c r="Q28" i="25"/>
  <c r="Q15" i="25"/>
  <c r="Q36" i="25"/>
  <c r="Q23" i="25"/>
  <c r="Q16" i="25"/>
  <c r="Q25" i="25"/>
  <c r="Q30" i="25"/>
  <c r="Q17" i="25"/>
  <c r="Q33" i="25"/>
  <c r="Q20" i="25"/>
  <c r="J61" i="20"/>
  <c r="J52" i="26"/>
  <c r="H52" i="27"/>
  <c r="I59" i="32"/>
  <c r="I52" i="25"/>
  <c r="Q39" i="24"/>
  <c r="I58" i="21"/>
  <c r="Q30" i="21"/>
  <c r="Q32" i="21"/>
  <c r="Q37" i="21"/>
  <c r="J52" i="33"/>
  <c r="R52" i="39"/>
  <c r="R25" i="26"/>
  <c r="R42" i="14"/>
  <c r="R17" i="14"/>
  <c r="R24" i="14"/>
  <c r="R35" i="14"/>
  <c r="R18" i="14"/>
  <c r="R22" i="14"/>
  <c r="R28" i="14"/>
  <c r="R34" i="14"/>
  <c r="R30" i="14"/>
  <c r="R20" i="14"/>
  <c r="R36" i="14"/>
  <c r="R32" i="14"/>
  <c r="R33" i="14"/>
  <c r="R41" i="14"/>
  <c r="R37" i="14"/>
  <c r="R25" i="14"/>
  <c r="R31" i="14"/>
  <c r="R29" i="14"/>
  <c r="R38" i="14"/>
  <c r="R39" i="14"/>
  <c r="R23" i="14"/>
  <c r="R27" i="14"/>
  <c r="R19" i="14"/>
  <c r="R21" i="14"/>
  <c r="R40" i="14"/>
  <c r="R26" i="14"/>
  <c r="E63" i="14"/>
  <c r="R43" i="14"/>
  <c r="N60" i="13"/>
  <c r="F60" i="13"/>
  <c r="F63" i="13" s="1"/>
  <c r="I55" i="13"/>
  <c r="M60" i="13"/>
  <c r="B52" i="32"/>
  <c r="Q15" i="32"/>
  <c r="T11" i="32"/>
  <c r="M58" i="37"/>
  <c r="K59" i="33"/>
  <c r="N58" i="26"/>
  <c r="G62" i="19"/>
  <c r="Q29" i="21"/>
  <c r="Q31" i="21"/>
  <c r="J53" i="21"/>
  <c r="E62" i="11"/>
  <c r="Q34" i="21"/>
  <c r="Q19" i="21"/>
  <c r="N52" i="24"/>
  <c r="O52" i="37"/>
  <c r="F52" i="25"/>
  <c r="F60" i="25" s="1"/>
  <c r="J52" i="35"/>
  <c r="Q28" i="21"/>
  <c r="Q36" i="21"/>
  <c r="M52" i="32"/>
  <c r="F60" i="37"/>
  <c r="N57" i="32"/>
  <c r="M52" i="31"/>
  <c r="G52" i="31"/>
  <c r="N52" i="25"/>
  <c r="Q33" i="21"/>
  <c r="Q18" i="21"/>
  <c r="K59" i="31"/>
  <c r="F59" i="24"/>
  <c r="G52" i="28"/>
  <c r="N59" i="39"/>
  <c r="C57" i="31"/>
  <c r="H52" i="32"/>
  <c r="H59" i="32" s="1"/>
  <c r="S40" i="18"/>
  <c r="S29" i="18"/>
  <c r="S22" i="18"/>
  <c r="S37" i="18"/>
  <c r="S34" i="18"/>
  <c r="S42" i="18"/>
  <c r="S35" i="18"/>
  <c r="S41" i="18"/>
  <c r="S33" i="18"/>
  <c r="S20" i="18"/>
  <c r="S39" i="18"/>
  <c r="S25" i="18"/>
  <c r="S23" i="18"/>
  <c r="S32" i="18"/>
  <c r="S24" i="18"/>
  <c r="S30" i="18"/>
  <c r="S26" i="18"/>
  <c r="S21" i="18"/>
  <c r="S27" i="18"/>
  <c r="S18" i="18"/>
  <c r="S36" i="18"/>
  <c r="S31" i="18"/>
  <c r="S38" i="18"/>
  <c r="S17" i="18"/>
  <c r="S28" i="18"/>
  <c r="S19" i="18"/>
  <c r="J52" i="24"/>
  <c r="Q21" i="21"/>
  <c r="Q23" i="21"/>
  <c r="M52" i="28"/>
  <c r="N57" i="28"/>
  <c r="R51" i="19"/>
  <c r="L57" i="31"/>
  <c r="I52" i="24"/>
  <c r="K55" i="14"/>
  <c r="H58" i="37"/>
  <c r="C52" i="27"/>
  <c r="C59" i="27" s="1"/>
  <c r="P52" i="28"/>
  <c r="J57" i="38"/>
  <c r="O55" i="8"/>
  <c r="I52" i="35"/>
  <c r="Q38" i="21"/>
  <c r="H61" i="8"/>
  <c r="M55" i="20"/>
  <c r="M63" i="20" s="1"/>
  <c r="M52" i="24"/>
  <c r="M59" i="24" s="1"/>
  <c r="K58" i="37"/>
  <c r="N59" i="33"/>
  <c r="G59" i="33"/>
  <c r="M57" i="31"/>
  <c r="J58" i="35"/>
  <c r="O61" i="8"/>
  <c r="G52" i="27"/>
  <c r="P14" i="27"/>
  <c r="Q33" i="32"/>
  <c r="Q37" i="32"/>
  <c r="Q31" i="32"/>
  <c r="Q19" i="32"/>
  <c r="Q34" i="32"/>
  <c r="Q32" i="32"/>
  <c r="Q24" i="32"/>
  <c r="Q27" i="32"/>
  <c r="Q18" i="32"/>
  <c r="Q38" i="32"/>
  <c r="Q14" i="32"/>
  <c r="Q21" i="32"/>
  <c r="Q25" i="32"/>
  <c r="Q35" i="32"/>
  <c r="Q28" i="32"/>
  <c r="Q44" i="32"/>
  <c r="Q29" i="32"/>
  <c r="Q26" i="32"/>
  <c r="Q36" i="32"/>
  <c r="Q23" i="32"/>
  <c r="Q16" i="32"/>
  <c r="Q22" i="32"/>
  <c r="Q20" i="32"/>
  <c r="Q30" i="32"/>
  <c r="Q17" i="32"/>
  <c r="Q33" i="24"/>
  <c r="Q21" i="24"/>
  <c r="Q24" i="24"/>
  <c r="Q37" i="24"/>
  <c r="H52" i="24"/>
  <c r="Q18" i="24"/>
  <c r="Q22" i="24"/>
  <c r="Q15" i="24"/>
  <c r="Q31" i="24"/>
  <c r="Q35" i="24"/>
  <c r="Q16" i="24"/>
  <c r="Q32" i="24"/>
  <c r="Q25" i="24"/>
  <c r="Q29" i="24"/>
  <c r="Q14" i="24"/>
  <c r="Q26" i="24"/>
  <c r="Q19" i="24"/>
  <c r="Q23" i="24"/>
  <c r="Q30" i="24"/>
  <c r="Q34" i="24"/>
  <c r="Q27" i="24"/>
  <c r="Q38" i="24"/>
  <c r="H58" i="21"/>
  <c r="Q15" i="21"/>
  <c r="Q39" i="21"/>
  <c r="Q25" i="21"/>
  <c r="Q16" i="21"/>
  <c r="Q22" i="21"/>
  <c r="Q26" i="21"/>
  <c r="Q24" i="21"/>
  <c r="H55" i="20"/>
  <c r="H58" i="29"/>
  <c r="H60" i="29" s="1"/>
  <c r="I52" i="38"/>
  <c r="I52" i="28"/>
  <c r="I52" i="26"/>
  <c r="I61" i="14"/>
  <c r="H60" i="13"/>
  <c r="V53" i="18"/>
  <c r="S53" i="18"/>
  <c r="I63" i="13"/>
  <c r="E55" i="11"/>
  <c r="H60" i="19"/>
  <c r="H62" i="19" s="1"/>
  <c r="H57" i="24"/>
  <c r="I53" i="21"/>
  <c r="C63" i="14"/>
  <c r="L55" i="20"/>
  <c r="L63" i="20" s="1"/>
  <c r="R27" i="26"/>
  <c r="R26" i="26"/>
  <c r="R34" i="26"/>
  <c r="H52" i="35"/>
  <c r="H60" i="35" s="1"/>
  <c r="E62" i="19"/>
  <c r="M61" i="18"/>
  <c r="M63" i="18" s="1"/>
  <c r="H58" i="25"/>
  <c r="M58" i="21"/>
  <c r="I57" i="28"/>
  <c r="I58" i="26"/>
  <c r="L57" i="28"/>
  <c r="H61" i="20"/>
  <c r="K57" i="28"/>
  <c r="K59" i="28" s="1"/>
  <c r="O58" i="35"/>
  <c r="I57" i="24"/>
  <c r="I57" i="38"/>
  <c r="O57" i="28"/>
  <c r="E52" i="32"/>
  <c r="E59" i="32" s="1"/>
  <c r="C59" i="31"/>
  <c r="R23" i="26"/>
  <c r="N55" i="20"/>
  <c r="M52" i="27"/>
  <c r="M59" i="27" s="1"/>
  <c r="E52" i="35"/>
  <c r="E60" i="35" s="1"/>
  <c r="R53" i="19"/>
  <c r="J55" i="19"/>
  <c r="J62" i="19" s="1"/>
  <c r="J55" i="20"/>
  <c r="R21" i="26"/>
  <c r="R20" i="26"/>
  <c r="R35" i="26"/>
  <c r="R28" i="26"/>
  <c r="O52" i="33"/>
  <c r="O58" i="25"/>
  <c r="N61" i="20"/>
  <c r="N63" i="20" s="1"/>
  <c r="O63" i="20"/>
  <c r="D57" i="31"/>
  <c r="D59" i="31" s="1"/>
  <c r="G57" i="27"/>
  <c r="T40" i="37"/>
  <c r="N61" i="14"/>
  <c r="N63" i="14" s="1"/>
  <c r="B61" i="20"/>
  <c r="E59" i="31"/>
  <c r="D55" i="13"/>
  <c r="D63" i="13" s="1"/>
  <c r="G55" i="8"/>
  <c r="M55" i="14"/>
  <c r="R37" i="26"/>
  <c r="R17" i="26"/>
  <c r="I52" i="37"/>
  <c r="N61" i="8"/>
  <c r="K58" i="25"/>
  <c r="G57" i="31"/>
  <c r="G59" i="31" s="1"/>
  <c r="Q39" i="32"/>
  <c r="J58" i="25"/>
  <c r="T14" i="20"/>
  <c r="K63" i="13"/>
  <c r="R42" i="11"/>
  <c r="B55" i="19"/>
  <c r="R45" i="19"/>
  <c r="D59" i="27"/>
  <c r="K52" i="26"/>
  <c r="K60" i="26" s="1"/>
  <c r="R16" i="26"/>
  <c r="D60" i="29"/>
  <c r="M55" i="8"/>
  <c r="Q46" i="32"/>
  <c r="G52" i="38"/>
  <c r="O57" i="24"/>
  <c r="S14" i="19"/>
  <c r="I57" i="31"/>
  <c r="N58" i="29"/>
  <c r="N60" i="29" s="1"/>
  <c r="K58" i="21"/>
  <c r="M57" i="38"/>
  <c r="M59" i="38" s="1"/>
  <c r="G60" i="26"/>
  <c r="I58" i="35"/>
  <c r="I58" i="25"/>
  <c r="G63" i="14"/>
  <c r="K58" i="29"/>
  <c r="K60" i="29" s="1"/>
  <c r="J58" i="26"/>
  <c r="R39" i="26"/>
  <c r="J52" i="32"/>
  <c r="J59" i="32" s="1"/>
  <c r="I53" i="29"/>
  <c r="I60" i="29" s="1"/>
  <c r="M55" i="19"/>
  <c r="M62" i="19" s="1"/>
  <c r="R38" i="26"/>
  <c r="R19" i="26"/>
  <c r="N52" i="27"/>
  <c r="N59" i="27" s="1"/>
  <c r="J52" i="37"/>
  <c r="R18" i="26"/>
  <c r="K61" i="14"/>
  <c r="J58" i="29"/>
  <c r="M57" i="32"/>
  <c r="M59" i="32" s="1"/>
  <c r="L58" i="35"/>
  <c r="L57" i="38"/>
  <c r="J57" i="24"/>
  <c r="N59" i="38"/>
  <c r="N58" i="25"/>
  <c r="J58" i="21"/>
  <c r="L60" i="13"/>
  <c r="P57" i="28"/>
  <c r="K57" i="32"/>
  <c r="L61" i="14"/>
  <c r="L63" i="14" s="1"/>
  <c r="K52" i="24"/>
  <c r="F55" i="8"/>
  <c r="B59" i="32"/>
  <c r="F55" i="20"/>
  <c r="F63" i="20" s="1"/>
  <c r="R33" i="26"/>
  <c r="R32" i="26"/>
  <c r="R36" i="26"/>
  <c r="R31" i="26"/>
  <c r="J57" i="31"/>
  <c r="R30" i="26"/>
  <c r="N57" i="24"/>
  <c r="I63" i="20"/>
  <c r="H57" i="27"/>
  <c r="D60" i="37"/>
  <c r="R24" i="26"/>
  <c r="O58" i="37"/>
  <c r="O58" i="26"/>
  <c r="K61" i="20"/>
  <c r="G57" i="38"/>
  <c r="O59" i="41"/>
  <c r="F57" i="27"/>
  <c r="P39" i="27"/>
  <c r="G52" i="32"/>
  <c r="Q40" i="32"/>
  <c r="G57" i="32"/>
  <c r="G58" i="35"/>
  <c r="Q40" i="35"/>
  <c r="G52" i="35"/>
  <c r="Q18" i="35"/>
  <c r="I63" i="18"/>
  <c r="G58" i="25"/>
  <c r="Q40" i="25"/>
  <c r="Q39" i="25"/>
  <c r="Q40" i="24"/>
  <c r="G57" i="24"/>
  <c r="G53" i="21"/>
  <c r="G60" i="21" s="1"/>
  <c r="Q41" i="21"/>
  <c r="Q17" i="21"/>
  <c r="Q27" i="21"/>
  <c r="Q20" i="21"/>
  <c r="Q40" i="21"/>
  <c r="F62" i="6"/>
  <c r="G55" i="20"/>
  <c r="G61" i="20"/>
  <c r="G58" i="29"/>
  <c r="H59" i="38"/>
  <c r="H59" i="28"/>
  <c r="H52" i="33"/>
  <c r="H58" i="26"/>
  <c r="R40" i="26"/>
  <c r="H63" i="14"/>
  <c r="G60" i="13"/>
  <c r="I61" i="8"/>
  <c r="O63" i="18"/>
  <c r="C63" i="18"/>
  <c r="L63" i="18"/>
  <c r="F63" i="18"/>
  <c r="P63" i="18"/>
  <c r="N61" i="18"/>
  <c r="N63" i="18" s="1"/>
  <c r="Q63" i="18"/>
  <c r="J63" i="18"/>
  <c r="K63" i="18"/>
  <c r="J57" i="33"/>
  <c r="P52" i="33"/>
  <c r="P59" i="33" s="1"/>
  <c r="N52" i="35"/>
  <c r="D52" i="32"/>
  <c r="D59" i="32" s="1"/>
  <c r="K52" i="38"/>
  <c r="K59" i="38" s="1"/>
  <c r="Q27" i="35"/>
  <c r="J55" i="14"/>
  <c r="J63" i="14" s="1"/>
  <c r="F53" i="29"/>
  <c r="Q35" i="35"/>
  <c r="P52" i="38"/>
  <c r="H52" i="31"/>
  <c r="H59" i="31" s="1"/>
  <c r="I55" i="14"/>
  <c r="F52" i="32"/>
  <c r="F59" i="32" s="1"/>
  <c r="E52" i="25"/>
  <c r="E60" i="25" s="1"/>
  <c r="Q25" i="35"/>
  <c r="Q34" i="35"/>
  <c r="E53" i="29"/>
  <c r="E60" i="29" s="1"/>
  <c r="E55" i="20"/>
  <c r="E63" i="20" s="1"/>
  <c r="D55" i="20"/>
  <c r="D63" i="20" s="1"/>
  <c r="N52" i="31"/>
  <c r="N59" i="31" s="1"/>
  <c r="O52" i="38"/>
  <c r="H55" i="8"/>
  <c r="Q21" i="29"/>
  <c r="Q27" i="29"/>
  <c r="Q33" i="29"/>
  <c r="Q39" i="29"/>
  <c r="Q16" i="29"/>
  <c r="Q22" i="29"/>
  <c r="Q28" i="29"/>
  <c r="Q34" i="29"/>
  <c r="Q40" i="29"/>
  <c r="Q17" i="29"/>
  <c r="Q23" i="29"/>
  <c r="Q29" i="29"/>
  <c r="Q35" i="29"/>
  <c r="Q41" i="29"/>
  <c r="Q18" i="29"/>
  <c r="Q24" i="29"/>
  <c r="Q30" i="29"/>
  <c r="Q36" i="29"/>
  <c r="Q15" i="29"/>
  <c r="Q19" i="29"/>
  <c r="Q25" i="29"/>
  <c r="Q31" i="29"/>
  <c r="Q37" i="29"/>
  <c r="Q20" i="29"/>
  <c r="Q26" i="29"/>
  <c r="Q32" i="29"/>
  <c r="Q38" i="29"/>
  <c r="F53" i="21"/>
  <c r="Q23" i="35"/>
  <c r="Q39" i="35"/>
  <c r="Q32" i="35"/>
  <c r="P43" i="4"/>
  <c r="U43" i="4" s="1"/>
  <c r="L52" i="32"/>
  <c r="J52" i="28"/>
  <c r="J59" i="28" s="1"/>
  <c r="D52" i="25"/>
  <c r="G52" i="24"/>
  <c r="E52" i="24"/>
  <c r="E59" i="24" s="1"/>
  <c r="L53" i="21"/>
  <c r="L60" i="21" s="1"/>
  <c r="N53" i="21"/>
  <c r="O51" i="19"/>
  <c r="G55" i="13"/>
  <c r="N55" i="13"/>
  <c r="M53" i="29"/>
  <c r="M60" i="29" s="1"/>
  <c r="G53" i="29"/>
  <c r="Q28" i="35"/>
  <c r="K52" i="35"/>
  <c r="Q14" i="35"/>
  <c r="Q37" i="35"/>
  <c r="Q30" i="35"/>
  <c r="Q16" i="35"/>
  <c r="Q36" i="35"/>
  <c r="Q17" i="35"/>
  <c r="Q33" i="35"/>
  <c r="Q38" i="35"/>
  <c r="Q31" i="35"/>
  <c r="Q24" i="35"/>
  <c r="Q21" i="35"/>
  <c r="Q26" i="35"/>
  <c r="Q19" i="35"/>
  <c r="Q29" i="35"/>
  <c r="Q22" i="35"/>
  <c r="Q15" i="35"/>
  <c r="Q20" i="35"/>
  <c r="L52" i="33"/>
  <c r="I52" i="33"/>
  <c r="I59" i="33" s="1"/>
  <c r="L52" i="27"/>
  <c r="L59" i="27" s="1"/>
  <c r="J52" i="27"/>
  <c r="J59" i="27" s="1"/>
  <c r="F52" i="27"/>
  <c r="G52" i="25"/>
  <c r="O53" i="21"/>
  <c r="O53" i="19"/>
  <c r="S53" i="19" s="1"/>
  <c r="I55" i="19"/>
  <c r="I62" i="19" s="1"/>
  <c r="L55" i="19"/>
  <c r="L62" i="19" s="1"/>
  <c r="F55" i="19"/>
  <c r="F62" i="19" s="1"/>
  <c r="O55" i="14"/>
  <c r="J55" i="13"/>
  <c r="M55" i="13"/>
  <c r="M63" i="13" s="1"/>
  <c r="O53" i="29"/>
  <c r="O60" i="29" s="1"/>
  <c r="G54" i="22"/>
  <c r="D52" i="24"/>
  <c r="D59" i="24" s="1"/>
  <c r="P18" i="27"/>
  <c r="P19" i="27"/>
  <c r="P25" i="27"/>
  <c r="P31" i="27"/>
  <c r="P37" i="27"/>
  <c r="P20" i="27"/>
  <c r="P26" i="27"/>
  <c r="P32" i="27"/>
  <c r="P38" i="27"/>
  <c r="P15" i="27"/>
  <c r="P21" i="27"/>
  <c r="P27" i="27"/>
  <c r="P33" i="27"/>
  <c r="P40" i="27"/>
  <c r="P16" i="27"/>
  <c r="P22" i="27"/>
  <c r="P28" i="27"/>
  <c r="P34" i="27"/>
  <c r="P17" i="27"/>
  <c r="P23" i="27"/>
  <c r="P29" i="27"/>
  <c r="P35" i="27"/>
  <c r="P24" i="27"/>
  <c r="P30" i="27"/>
  <c r="P36" i="27"/>
  <c r="D53" i="21"/>
  <c r="D51" i="4"/>
  <c r="D53" i="4"/>
  <c r="O45" i="19"/>
  <c r="C54" i="12"/>
  <c r="G55" i="18"/>
  <c r="H55" i="18"/>
  <c r="H63" i="18" s="1"/>
  <c r="J52" i="38"/>
  <c r="M52" i="37"/>
  <c r="N52" i="37"/>
  <c r="G52" i="37"/>
  <c r="H52" i="37"/>
  <c r="K52" i="37"/>
  <c r="K60" i="37" s="1"/>
  <c r="I52" i="27"/>
  <c r="I59" i="27" s="1"/>
  <c r="H53" i="21"/>
  <c r="E53" i="21"/>
  <c r="E60" i="21" s="1"/>
  <c r="C55" i="19"/>
  <c r="C62" i="19" s="1"/>
  <c r="P55" i="14"/>
  <c r="P63" i="14" s="1"/>
  <c r="H55" i="13"/>
  <c r="I55" i="8"/>
  <c r="Q55" i="8"/>
  <c r="Q63" i="8" s="1"/>
  <c r="K55" i="8"/>
  <c r="F52" i="7"/>
  <c r="F61" i="7" s="1"/>
  <c r="F44" i="7"/>
  <c r="P52" i="22"/>
  <c r="B46" i="38"/>
  <c r="B44" i="38"/>
  <c r="Q44" i="38" s="1"/>
  <c r="B48" i="38"/>
  <c r="Q48" i="38" s="1"/>
  <c r="B11" i="38"/>
  <c r="B46" i="37"/>
  <c r="B44" i="37"/>
  <c r="S44" i="37" s="1"/>
  <c r="B50" i="37"/>
  <c r="B11" i="37"/>
  <c r="Q46" i="38" l="1"/>
  <c r="V46" i="38" s="1"/>
  <c r="G63" i="18"/>
  <c r="T11" i="38"/>
  <c r="U11" i="38" s="1"/>
  <c r="V11" i="38"/>
  <c r="T44" i="38"/>
  <c r="V44" i="38"/>
  <c r="T48" i="38"/>
  <c r="V48" i="38"/>
  <c r="N59" i="32"/>
  <c r="O60" i="25"/>
  <c r="I59" i="31"/>
  <c r="C65" i="12"/>
  <c r="T42" i="32"/>
  <c r="J60" i="26"/>
  <c r="K63" i="8"/>
  <c r="O60" i="21"/>
  <c r="B42" i="37"/>
  <c r="S11" i="37"/>
  <c r="I60" i="37"/>
  <c r="J59" i="31"/>
  <c r="S52" i="32"/>
  <c r="P55" i="20"/>
  <c r="L59" i="31"/>
  <c r="G59" i="28"/>
  <c r="F59" i="38"/>
  <c r="F59" i="28"/>
  <c r="F59" i="33"/>
  <c r="F60" i="26"/>
  <c r="K59" i="32"/>
  <c r="S51" i="19"/>
  <c r="T45" i="20"/>
  <c r="S50" i="37"/>
  <c r="P50" i="37"/>
  <c r="Q50" i="37" s="1"/>
  <c r="T46" i="38"/>
  <c r="N63" i="13"/>
  <c r="P44" i="37"/>
  <c r="Q44" i="37" s="1"/>
  <c r="L63" i="13"/>
  <c r="I60" i="25"/>
  <c r="E64" i="11"/>
  <c r="S46" i="37"/>
  <c r="P46" i="37"/>
  <c r="Q46" i="37" s="1"/>
  <c r="M59" i="31"/>
  <c r="P52" i="32"/>
  <c r="D60" i="25"/>
  <c r="E59" i="38"/>
  <c r="E59" i="28"/>
  <c r="E59" i="33"/>
  <c r="E60" i="26"/>
  <c r="G60" i="37"/>
  <c r="O60" i="37"/>
  <c r="J60" i="25"/>
  <c r="D60" i="21"/>
  <c r="F60" i="21"/>
  <c r="M60" i="21"/>
  <c r="S55" i="20"/>
  <c r="H63" i="20"/>
  <c r="F63" i="8"/>
  <c r="H63" i="8"/>
  <c r="G63" i="8"/>
  <c r="J60" i="29"/>
  <c r="O59" i="32"/>
  <c r="O60" i="35"/>
  <c r="O59" i="24"/>
  <c r="P59" i="38"/>
  <c r="P59" i="28"/>
  <c r="N60" i="35"/>
  <c r="N60" i="25"/>
  <c r="N59" i="24"/>
  <c r="N60" i="21"/>
  <c r="O59" i="38"/>
  <c r="N60" i="37"/>
  <c r="O59" i="28"/>
  <c r="O59" i="33"/>
  <c r="O60" i="26"/>
  <c r="O63" i="14"/>
  <c r="M60" i="37"/>
  <c r="N59" i="28"/>
  <c r="N60" i="26"/>
  <c r="O63" i="8"/>
  <c r="M59" i="28"/>
  <c r="M63" i="14"/>
  <c r="L59" i="32"/>
  <c r="L60" i="35"/>
  <c r="L59" i="24"/>
  <c r="N63" i="8"/>
  <c r="F60" i="29"/>
  <c r="K60" i="35"/>
  <c r="K60" i="25"/>
  <c r="K59" i="24"/>
  <c r="K60" i="21"/>
  <c r="T51" i="20"/>
  <c r="K63" i="20"/>
  <c r="L59" i="38"/>
  <c r="L59" i="28"/>
  <c r="L59" i="33"/>
  <c r="M63" i="8"/>
  <c r="J60" i="37"/>
  <c r="J60" i="35"/>
  <c r="J59" i="24"/>
  <c r="T53" i="20"/>
  <c r="J63" i="20"/>
  <c r="K63" i="14"/>
  <c r="J63" i="13"/>
  <c r="I60" i="21"/>
  <c r="H59" i="27"/>
  <c r="I59" i="24"/>
  <c r="J59" i="38"/>
  <c r="J59" i="33"/>
  <c r="V42" i="22"/>
  <c r="U53" i="14"/>
  <c r="Q50" i="32"/>
  <c r="T50" i="32"/>
  <c r="T48" i="32"/>
  <c r="H60" i="37"/>
  <c r="S45" i="19"/>
  <c r="I60" i="35"/>
  <c r="J60" i="21"/>
  <c r="G59" i="27"/>
  <c r="D62" i="4"/>
  <c r="H60" i="25"/>
  <c r="H59" i="24"/>
  <c r="H60" i="21"/>
  <c r="I59" i="38"/>
  <c r="I59" i="28"/>
  <c r="I60" i="26"/>
  <c r="I63" i="14"/>
  <c r="H63" i="13"/>
  <c r="T11" i="37"/>
  <c r="F62" i="22"/>
  <c r="F54" i="7"/>
  <c r="F64" i="7" s="1"/>
  <c r="G62" i="22"/>
  <c r="R55" i="19"/>
  <c r="B62" i="19"/>
  <c r="G59" i="38"/>
  <c r="E62" i="22"/>
  <c r="O60" i="19"/>
  <c r="B63" i="20"/>
  <c r="I63" i="8"/>
  <c r="F59" i="27"/>
  <c r="P57" i="32"/>
  <c r="G59" i="32"/>
  <c r="Q42" i="32"/>
  <c r="Q48" i="32"/>
  <c r="G60" i="35"/>
  <c r="G60" i="25"/>
  <c r="G59" i="24"/>
  <c r="F64" i="6"/>
  <c r="D55" i="4"/>
  <c r="G63" i="20"/>
  <c r="P61" i="20"/>
  <c r="G60" i="29"/>
  <c r="H59" i="33"/>
  <c r="H60" i="26"/>
  <c r="G63" i="13"/>
  <c r="O55" i="19"/>
  <c r="P50" i="22"/>
  <c r="B42" i="38"/>
  <c r="B50" i="38"/>
  <c r="B48" i="37"/>
  <c r="S42" i="37"/>
  <c r="Q50" i="38" l="1"/>
  <c r="V50" i="38" s="1"/>
  <c r="Q42" i="38"/>
  <c r="V42" i="38" s="1"/>
  <c r="T42" i="38"/>
  <c r="B52" i="38"/>
  <c r="B52" i="37"/>
  <c r="P52" i="37" s="1"/>
  <c r="P48" i="37"/>
  <c r="Q48" i="37" s="1"/>
  <c r="B58" i="37"/>
  <c r="Q57" i="38"/>
  <c r="T50" i="38"/>
  <c r="B57" i="38"/>
  <c r="T50" i="37"/>
  <c r="T46" i="37"/>
  <c r="T44" i="37"/>
  <c r="P42" i="37"/>
  <c r="S48" i="37"/>
  <c r="U48" i="38"/>
  <c r="R48" i="38"/>
  <c r="U44" i="38"/>
  <c r="R44" i="38"/>
  <c r="U46" i="38"/>
  <c r="R46" i="38"/>
  <c r="T55" i="20"/>
  <c r="Q52" i="32"/>
  <c r="T52" i="32"/>
  <c r="D64" i="4"/>
  <c r="P63" i="20"/>
  <c r="S55" i="19"/>
  <c r="O62" i="19"/>
  <c r="P59" i="32"/>
  <c r="B50" i="35"/>
  <c r="B50" i="33"/>
  <c r="Q50" i="33" s="1"/>
  <c r="B46" i="35"/>
  <c r="B44" i="35"/>
  <c r="S44" i="35" s="1"/>
  <c r="B11" i="35"/>
  <c r="B46" i="33"/>
  <c r="B44" i="33"/>
  <c r="B11" i="33"/>
  <c r="Q52" i="38" l="1"/>
  <c r="V52" i="38" s="1"/>
  <c r="Q44" i="33"/>
  <c r="V44" i="33" s="1"/>
  <c r="Q46" i="33"/>
  <c r="V46" i="33" s="1"/>
  <c r="T11" i="33"/>
  <c r="V11" i="33"/>
  <c r="T50" i="33"/>
  <c r="V50" i="33"/>
  <c r="T52" i="38"/>
  <c r="Q52" i="37"/>
  <c r="S52" i="37"/>
  <c r="S11" i="35"/>
  <c r="T11" i="35" s="1"/>
  <c r="T42" i="37"/>
  <c r="Q42" i="37"/>
  <c r="T46" i="33"/>
  <c r="U46" i="33"/>
  <c r="S46" i="35"/>
  <c r="P46" i="35"/>
  <c r="T44" i="33"/>
  <c r="S50" i="35"/>
  <c r="P50" i="35"/>
  <c r="P44" i="35"/>
  <c r="B60" i="37"/>
  <c r="U50" i="38"/>
  <c r="R50" i="38"/>
  <c r="U42" i="38"/>
  <c r="R42" i="38"/>
  <c r="P58" i="37"/>
  <c r="T48" i="37"/>
  <c r="U11" i="33"/>
  <c r="B59" i="38"/>
  <c r="B42" i="35"/>
  <c r="S42" i="35" s="1"/>
  <c r="B48" i="35"/>
  <c r="B58" i="35" s="1"/>
  <c r="B48" i="33"/>
  <c r="B42" i="33"/>
  <c r="Q42" i="33" s="1"/>
  <c r="Q48" i="33" l="1"/>
  <c r="V48" i="33" s="1"/>
  <c r="U50" i="33"/>
  <c r="U44" i="33"/>
  <c r="T46" i="35"/>
  <c r="T42" i="33"/>
  <c r="B52" i="33"/>
  <c r="B57" i="33"/>
  <c r="T48" i="33"/>
  <c r="U48" i="33" s="1"/>
  <c r="T50" i="35"/>
  <c r="V42" i="33"/>
  <c r="S48" i="35"/>
  <c r="P48" i="35"/>
  <c r="P42" i="35"/>
  <c r="U52" i="38"/>
  <c r="R52" i="38"/>
  <c r="P60" i="37"/>
  <c r="T52" i="37"/>
  <c r="Q46" i="35"/>
  <c r="Q44" i="35"/>
  <c r="T44" i="35"/>
  <c r="Q50" i="35"/>
  <c r="Q59" i="38"/>
  <c r="B52" i="35"/>
  <c r="S52" i="35" s="1"/>
  <c r="C49" i="17"/>
  <c r="Q52" i="33" l="1"/>
  <c r="V52" i="33" s="1"/>
  <c r="T52" i="33"/>
  <c r="U42" i="33"/>
  <c r="P52" i="35"/>
  <c r="B59" i="33"/>
  <c r="P58" i="35"/>
  <c r="T48" i="35"/>
  <c r="Q42" i="35"/>
  <c r="T42" i="35"/>
  <c r="Q48" i="35"/>
  <c r="B60" i="35"/>
  <c r="Q57" i="33"/>
  <c r="B46" i="31"/>
  <c r="B44" i="31"/>
  <c r="B50" i="31"/>
  <c r="B11" i="31"/>
  <c r="B47" i="29"/>
  <c r="B45" i="29"/>
  <c r="B51" i="29"/>
  <c r="B12" i="29"/>
  <c r="S12" i="29" s="1"/>
  <c r="B46" i="28"/>
  <c r="Q46" i="28" s="1"/>
  <c r="B44" i="28"/>
  <c r="Q44" i="28" s="1"/>
  <c r="B48" i="28"/>
  <c r="B11" i="28"/>
  <c r="B46" i="27"/>
  <c r="R46" i="27" s="1"/>
  <c r="B44" i="27"/>
  <c r="R44" i="27" s="1"/>
  <c r="B48" i="27"/>
  <c r="R48" i="27" s="1"/>
  <c r="B11" i="27"/>
  <c r="R11" i="27" s="1"/>
  <c r="S11" i="27" s="1"/>
  <c r="Q48" i="28" l="1"/>
  <c r="V48" i="28" s="1"/>
  <c r="T11" i="28"/>
  <c r="V11" i="28"/>
  <c r="T48" i="28"/>
  <c r="U52" i="33"/>
  <c r="T44" i="28"/>
  <c r="V44" i="28"/>
  <c r="S47" i="29"/>
  <c r="P47" i="29"/>
  <c r="T46" i="28"/>
  <c r="V46" i="28"/>
  <c r="S51" i="29"/>
  <c r="P51" i="29"/>
  <c r="T51" i="29" s="1"/>
  <c r="S45" i="29"/>
  <c r="P45" i="29"/>
  <c r="T12" i="29"/>
  <c r="Q52" i="35"/>
  <c r="T52" i="35"/>
  <c r="U11" i="28"/>
  <c r="R11" i="31"/>
  <c r="S11" i="31" s="1"/>
  <c r="P60" i="35"/>
  <c r="O46" i="31"/>
  <c r="R46" i="31"/>
  <c r="O48" i="27"/>
  <c r="S48" i="27" s="1"/>
  <c r="O46" i="27"/>
  <c r="S46" i="27" s="1"/>
  <c r="O50" i="31"/>
  <c r="R50" i="31"/>
  <c r="O44" i="27"/>
  <c r="S44" i="27" s="1"/>
  <c r="O44" i="31"/>
  <c r="R44" i="31"/>
  <c r="Q59" i="33"/>
  <c r="B42" i="27"/>
  <c r="R42" i="27" s="1"/>
  <c r="B42" i="31"/>
  <c r="R42" i="31" s="1"/>
  <c r="B48" i="31"/>
  <c r="B43" i="29"/>
  <c r="S43" i="29" s="1"/>
  <c r="B49" i="29"/>
  <c r="B42" i="28"/>
  <c r="Q42" i="28" s="1"/>
  <c r="B50" i="28"/>
  <c r="Q50" i="28" s="1"/>
  <c r="B50" i="27"/>
  <c r="R50" i="27" s="1"/>
  <c r="U44" i="28" l="1"/>
  <c r="T42" i="28"/>
  <c r="V42" i="28"/>
  <c r="B52" i="28"/>
  <c r="T50" i="28"/>
  <c r="V50" i="28"/>
  <c r="U48" i="28"/>
  <c r="B57" i="28"/>
  <c r="T47" i="29"/>
  <c r="S50" i="31"/>
  <c r="U46" i="28"/>
  <c r="S49" i="29"/>
  <c r="P49" i="29"/>
  <c r="P43" i="29"/>
  <c r="T43" i="29" s="1"/>
  <c r="B58" i="29"/>
  <c r="Q45" i="29"/>
  <c r="T45" i="29"/>
  <c r="P48" i="27"/>
  <c r="P44" i="27"/>
  <c r="P46" i="27"/>
  <c r="Q51" i="29"/>
  <c r="O48" i="31"/>
  <c r="O57" i="31" s="1"/>
  <c r="R48" i="31"/>
  <c r="Q47" i="29"/>
  <c r="S46" i="31"/>
  <c r="S44" i="31"/>
  <c r="B57" i="31"/>
  <c r="B53" i="29"/>
  <c r="T52" i="28"/>
  <c r="O42" i="31"/>
  <c r="S42" i="31" s="1"/>
  <c r="B52" i="31"/>
  <c r="B52" i="27"/>
  <c r="R52" i="27" s="1"/>
  <c r="O42" i="27"/>
  <c r="S42" i="27" s="1"/>
  <c r="O50" i="27"/>
  <c r="S50" i="27" s="1"/>
  <c r="Q52" i="28" l="1"/>
  <c r="V52" i="28" s="1"/>
  <c r="U42" i="28"/>
  <c r="S53" i="29"/>
  <c r="P53" i="29"/>
  <c r="Q49" i="29"/>
  <c r="T49" i="29"/>
  <c r="Q57" i="28"/>
  <c r="U50" i="28"/>
  <c r="P58" i="29"/>
  <c r="B60" i="29"/>
  <c r="B59" i="28"/>
  <c r="S48" i="31"/>
  <c r="O52" i="27"/>
  <c r="S52" i="27" s="1"/>
  <c r="B59" i="27"/>
  <c r="O52" i="31"/>
  <c r="O59" i="31" s="1"/>
  <c r="R52" i="31"/>
  <c r="B59" i="31"/>
  <c r="P50" i="27"/>
  <c r="O57" i="27"/>
  <c r="P42" i="27"/>
  <c r="Q43" i="29"/>
  <c r="B50" i="26"/>
  <c r="B46" i="26"/>
  <c r="B44" i="26"/>
  <c r="B11" i="26"/>
  <c r="V11" i="26" s="1"/>
  <c r="J48" i="7"/>
  <c r="I50" i="22"/>
  <c r="E52" i="12"/>
  <c r="C13" i="7"/>
  <c r="Q50" i="26" l="1"/>
  <c r="V50" i="26" s="1"/>
  <c r="Q46" i="26"/>
  <c r="V46" i="26" s="1"/>
  <c r="Q44" i="26"/>
  <c r="V44" i="26" s="1"/>
  <c r="T53" i="29"/>
  <c r="B42" i="26"/>
  <c r="Q42" i="26" s="1"/>
  <c r="T11" i="26"/>
  <c r="U11" i="26" s="1"/>
  <c r="T50" i="26"/>
  <c r="T46" i="26"/>
  <c r="T44" i="26"/>
  <c r="Q59" i="28"/>
  <c r="U52" i="28"/>
  <c r="P52" i="27"/>
  <c r="P60" i="29"/>
  <c r="Q53" i="29"/>
  <c r="S52" i="31"/>
  <c r="C46" i="7"/>
  <c r="O59" i="27"/>
  <c r="B48" i="26"/>
  <c r="Q48" i="26" s="1"/>
  <c r="B58" i="26" l="1"/>
  <c r="V48" i="26"/>
  <c r="V42" i="26"/>
  <c r="B52" i="26"/>
  <c r="U46" i="26"/>
  <c r="T42" i="26"/>
  <c r="T48" i="26"/>
  <c r="R44" i="26"/>
  <c r="U44" i="26"/>
  <c r="R50" i="26"/>
  <c r="U50" i="26"/>
  <c r="R46" i="26"/>
  <c r="B48" i="25"/>
  <c r="J14" i="6"/>
  <c r="B46" i="25"/>
  <c r="B44" i="25"/>
  <c r="B11" i="25"/>
  <c r="B46" i="24"/>
  <c r="B44" i="24"/>
  <c r="S44" i="24" s="1"/>
  <c r="B48" i="24"/>
  <c r="B11" i="24"/>
  <c r="Q52" i="26" l="1"/>
  <c r="V52" i="26" s="1"/>
  <c r="S11" i="25"/>
  <c r="T11" i="25" s="1"/>
  <c r="S11" i="24"/>
  <c r="T11" i="24" s="1"/>
  <c r="T52" i="26"/>
  <c r="P44" i="24"/>
  <c r="S46" i="24"/>
  <c r="P46" i="24"/>
  <c r="S48" i="25"/>
  <c r="P48" i="25"/>
  <c r="S46" i="25"/>
  <c r="P46" i="25"/>
  <c r="S44" i="25"/>
  <c r="P44" i="25"/>
  <c r="S48" i="24"/>
  <c r="P48" i="24"/>
  <c r="U42" i="26"/>
  <c r="R42" i="26"/>
  <c r="R48" i="26"/>
  <c r="U48" i="26"/>
  <c r="B60" i="26"/>
  <c r="Q58" i="26"/>
  <c r="B42" i="25"/>
  <c r="B50" i="25"/>
  <c r="B42" i="24"/>
  <c r="S42" i="24" s="1"/>
  <c r="B50" i="24"/>
  <c r="B57" i="24" s="1"/>
  <c r="T48" i="24" l="1"/>
  <c r="S50" i="25"/>
  <c r="P50" i="25"/>
  <c r="S42" i="25"/>
  <c r="P42" i="25"/>
  <c r="P42" i="24"/>
  <c r="S50" i="24"/>
  <c r="P50" i="24"/>
  <c r="P57" i="24" s="1"/>
  <c r="Q46" i="25"/>
  <c r="T46" i="25"/>
  <c r="Q44" i="25"/>
  <c r="T44" i="25"/>
  <c r="Q48" i="25"/>
  <c r="T48" i="25"/>
  <c r="Q44" i="24"/>
  <c r="T44" i="24"/>
  <c r="Q46" i="24"/>
  <c r="T46" i="24"/>
  <c r="R52" i="26"/>
  <c r="U52" i="26"/>
  <c r="Q48" i="24"/>
  <c r="Q60" i="26"/>
  <c r="B58" i="25"/>
  <c r="B52" i="25"/>
  <c r="B52" i="24"/>
  <c r="S52" i="24" s="1"/>
  <c r="P52" i="24" l="1"/>
  <c r="S52" i="25"/>
  <c r="P52" i="25"/>
  <c r="Q42" i="25"/>
  <c r="T42" i="25"/>
  <c r="P58" i="25"/>
  <c r="T50" i="25"/>
  <c r="T50" i="24"/>
  <c r="Q42" i="24"/>
  <c r="T42" i="24"/>
  <c r="Q50" i="25"/>
  <c r="Q50" i="24"/>
  <c r="B59" i="24"/>
  <c r="B60" i="25"/>
  <c r="B49" i="21"/>
  <c r="S49" i="21" s="1"/>
  <c r="Q40" i="12"/>
  <c r="B52" i="22"/>
  <c r="N52" i="22"/>
  <c r="N50" i="22"/>
  <c r="M50" i="22"/>
  <c r="P48" i="22"/>
  <c r="O48" i="22"/>
  <c r="N48" i="22"/>
  <c r="M48" i="22"/>
  <c r="L48" i="22"/>
  <c r="K48" i="22"/>
  <c r="J48" i="22"/>
  <c r="I48" i="22"/>
  <c r="H48" i="22"/>
  <c r="Q48" i="22" s="1"/>
  <c r="P46" i="22"/>
  <c r="O46" i="22"/>
  <c r="N46" i="22"/>
  <c r="M46" i="22"/>
  <c r="L46" i="22"/>
  <c r="K46" i="22"/>
  <c r="J46" i="22"/>
  <c r="I46" i="22"/>
  <c r="H46" i="22"/>
  <c r="B46" i="22"/>
  <c r="O50" i="22"/>
  <c r="M52" i="22"/>
  <c r="L50" i="22"/>
  <c r="J52" i="22"/>
  <c r="H50" i="22"/>
  <c r="P13" i="22"/>
  <c r="O13" i="22"/>
  <c r="N13" i="22"/>
  <c r="M13" i="22"/>
  <c r="L13" i="22"/>
  <c r="K13" i="22"/>
  <c r="J13" i="22"/>
  <c r="I13" i="22"/>
  <c r="H13" i="22"/>
  <c r="B13" i="22"/>
  <c r="B47" i="21"/>
  <c r="S47" i="21" s="1"/>
  <c r="B45" i="21"/>
  <c r="S45" i="21" s="1"/>
  <c r="B12" i="21"/>
  <c r="S12" i="21" s="1"/>
  <c r="Q46" i="22" l="1"/>
  <c r="T48" i="22"/>
  <c r="X46" i="22"/>
  <c r="T46" i="22"/>
  <c r="V46" i="22" s="1"/>
  <c r="T13" i="22"/>
  <c r="V13" i="22" s="1"/>
  <c r="B60" i="22"/>
  <c r="P49" i="21"/>
  <c r="T49" i="21" s="1"/>
  <c r="P47" i="21"/>
  <c r="P45" i="21"/>
  <c r="T12" i="21"/>
  <c r="P60" i="25"/>
  <c r="T52" i="25"/>
  <c r="Q52" i="24"/>
  <c r="T52" i="24"/>
  <c r="P59" i="24"/>
  <c r="J44" i="22"/>
  <c r="O44" i="22"/>
  <c r="K44" i="22"/>
  <c r="M44" i="22"/>
  <c r="M60" i="22"/>
  <c r="L44" i="22"/>
  <c r="N44" i="22"/>
  <c r="N54" i="22" s="1"/>
  <c r="N60" i="22"/>
  <c r="B44" i="22"/>
  <c r="P44" i="22"/>
  <c r="P54" i="22" s="1"/>
  <c r="P60" i="22"/>
  <c r="Q52" i="25"/>
  <c r="I44" i="22"/>
  <c r="H52" i="22"/>
  <c r="H44" i="22"/>
  <c r="B51" i="21"/>
  <c r="S51" i="21" s="1"/>
  <c r="J50" i="22"/>
  <c r="Q50" i="22" s="1"/>
  <c r="K52" i="22"/>
  <c r="K50" i="22"/>
  <c r="L52" i="22"/>
  <c r="I52" i="22"/>
  <c r="O52" i="22"/>
  <c r="B43" i="21"/>
  <c r="Q44" i="22" l="1"/>
  <c r="H60" i="22"/>
  <c r="Q52" i="22"/>
  <c r="X52" i="22" s="1"/>
  <c r="X50" i="22"/>
  <c r="V48" i="22"/>
  <c r="X48" i="22"/>
  <c r="T44" i="22"/>
  <c r="X44" i="22"/>
  <c r="B54" i="22"/>
  <c r="T52" i="22"/>
  <c r="T50" i="22"/>
  <c r="S43" i="21"/>
  <c r="B53" i="21"/>
  <c r="P43" i="21"/>
  <c r="P51" i="21"/>
  <c r="I60" i="22"/>
  <c r="O54" i="22"/>
  <c r="M54" i="22"/>
  <c r="B58" i="21"/>
  <c r="Q49" i="21"/>
  <c r="L54" i="22"/>
  <c r="K60" i="22"/>
  <c r="Q45" i="21"/>
  <c r="T45" i="21"/>
  <c r="Q47" i="21"/>
  <c r="T47" i="21"/>
  <c r="J54" i="22"/>
  <c r="L60" i="22"/>
  <c r="N62" i="22"/>
  <c r="O60" i="22"/>
  <c r="J60" i="22"/>
  <c r="P62" i="22"/>
  <c r="H54" i="22"/>
  <c r="K54" i="22"/>
  <c r="I54" i="22"/>
  <c r="Q54" i="22" l="1"/>
  <c r="M62" i="22"/>
  <c r="Q60" i="22"/>
  <c r="T54" i="22"/>
  <c r="O62" i="22"/>
  <c r="S53" i="21"/>
  <c r="P53" i="21"/>
  <c r="I62" i="22"/>
  <c r="J62" i="22"/>
  <c r="V52" i="22"/>
  <c r="V44" i="22"/>
  <c r="L62" i="22"/>
  <c r="K62" i="22"/>
  <c r="P58" i="21"/>
  <c r="T51" i="21"/>
  <c r="Q43" i="21"/>
  <c r="T43" i="21"/>
  <c r="V50" i="22"/>
  <c r="B62" i="22"/>
  <c r="Q51" i="21"/>
  <c r="B60" i="21"/>
  <c r="H62" i="22"/>
  <c r="C53" i="13"/>
  <c r="C51" i="8"/>
  <c r="G48" i="7"/>
  <c r="Q23" i="12"/>
  <c r="B49" i="18"/>
  <c r="R49" i="18" s="1"/>
  <c r="B47" i="18"/>
  <c r="R47" i="18" s="1"/>
  <c r="B14" i="18"/>
  <c r="X14" i="18" s="1"/>
  <c r="B49" i="14"/>
  <c r="Q49" i="14" s="1"/>
  <c r="B47" i="14"/>
  <c r="Q47" i="14" s="1"/>
  <c r="B14" i="14"/>
  <c r="C49" i="13"/>
  <c r="B49" i="13"/>
  <c r="C47" i="13"/>
  <c r="B51" i="13"/>
  <c r="C14" i="13"/>
  <c r="B14" i="13"/>
  <c r="C49" i="8"/>
  <c r="B49" i="8"/>
  <c r="R49" i="8" s="1"/>
  <c r="C47" i="8"/>
  <c r="R47" i="8" s="1"/>
  <c r="C14" i="8"/>
  <c r="B14" i="8"/>
  <c r="W14" i="8" s="1"/>
  <c r="O48" i="12"/>
  <c r="N48" i="12"/>
  <c r="M48" i="12"/>
  <c r="L48" i="12"/>
  <c r="K48" i="12"/>
  <c r="J48" i="12"/>
  <c r="I48" i="12"/>
  <c r="H48" i="12"/>
  <c r="G48" i="12"/>
  <c r="F48" i="12"/>
  <c r="E48" i="12"/>
  <c r="D48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O52" i="12"/>
  <c r="N50" i="12"/>
  <c r="M50" i="12"/>
  <c r="L52" i="12"/>
  <c r="K52" i="12"/>
  <c r="J50" i="12"/>
  <c r="I50" i="12"/>
  <c r="H52" i="12"/>
  <c r="G52" i="12"/>
  <c r="F50" i="12"/>
  <c r="E50" i="12"/>
  <c r="D52" i="12"/>
  <c r="O13" i="12"/>
  <c r="N13" i="12"/>
  <c r="M13" i="12"/>
  <c r="L13" i="12"/>
  <c r="K13" i="12"/>
  <c r="J13" i="12"/>
  <c r="I13" i="12"/>
  <c r="H13" i="12"/>
  <c r="G13" i="12"/>
  <c r="F13" i="12"/>
  <c r="E13" i="12"/>
  <c r="B13" i="12"/>
  <c r="P49" i="11"/>
  <c r="O49" i="11"/>
  <c r="N49" i="11"/>
  <c r="M49" i="11"/>
  <c r="L49" i="11"/>
  <c r="K49" i="11"/>
  <c r="J49" i="11"/>
  <c r="I49" i="11"/>
  <c r="H49" i="11"/>
  <c r="G49" i="11"/>
  <c r="F49" i="11"/>
  <c r="C49" i="11"/>
  <c r="B49" i="11"/>
  <c r="P47" i="11"/>
  <c r="O47" i="11"/>
  <c r="N47" i="11"/>
  <c r="M47" i="11"/>
  <c r="L47" i="11"/>
  <c r="K47" i="11"/>
  <c r="J47" i="11"/>
  <c r="I47" i="11"/>
  <c r="H47" i="11"/>
  <c r="G47" i="11"/>
  <c r="F47" i="11"/>
  <c r="C47" i="11"/>
  <c r="B47" i="11"/>
  <c r="P53" i="11"/>
  <c r="O51" i="11"/>
  <c r="N51" i="11"/>
  <c r="M53" i="11"/>
  <c r="L53" i="11"/>
  <c r="K51" i="11"/>
  <c r="J51" i="11"/>
  <c r="I53" i="11"/>
  <c r="H53" i="11"/>
  <c r="G53" i="11"/>
  <c r="F51" i="11"/>
  <c r="C53" i="11"/>
  <c r="P14" i="11"/>
  <c r="O14" i="11"/>
  <c r="N14" i="11"/>
  <c r="M14" i="11"/>
  <c r="L14" i="11"/>
  <c r="K14" i="11"/>
  <c r="J14" i="11"/>
  <c r="I14" i="11"/>
  <c r="H14" i="11"/>
  <c r="G14" i="11"/>
  <c r="F14" i="11"/>
  <c r="C14" i="11"/>
  <c r="B14" i="11"/>
  <c r="P14" i="4"/>
  <c r="C47" i="4"/>
  <c r="E47" i="4"/>
  <c r="B47" i="4"/>
  <c r="O49" i="4"/>
  <c r="N49" i="4"/>
  <c r="M49" i="4"/>
  <c r="L49" i="4"/>
  <c r="K49" i="4"/>
  <c r="J49" i="4"/>
  <c r="I49" i="4"/>
  <c r="H49" i="4"/>
  <c r="G49" i="4"/>
  <c r="F49" i="4"/>
  <c r="E49" i="4"/>
  <c r="C49" i="4"/>
  <c r="O47" i="4"/>
  <c r="N47" i="4"/>
  <c r="M47" i="4"/>
  <c r="L47" i="4"/>
  <c r="K47" i="4"/>
  <c r="J47" i="4"/>
  <c r="I47" i="4"/>
  <c r="H47" i="4"/>
  <c r="G47" i="4"/>
  <c r="F47" i="4"/>
  <c r="O53" i="4"/>
  <c r="N53" i="4"/>
  <c r="M53" i="4"/>
  <c r="L53" i="4"/>
  <c r="K53" i="4"/>
  <c r="J53" i="4"/>
  <c r="I53" i="4"/>
  <c r="H53" i="4"/>
  <c r="G53" i="4"/>
  <c r="F53" i="4"/>
  <c r="E53" i="4"/>
  <c r="C53" i="4"/>
  <c r="O14" i="4"/>
  <c r="N14" i="4"/>
  <c r="M14" i="4"/>
  <c r="L14" i="4"/>
  <c r="K14" i="4"/>
  <c r="J14" i="4"/>
  <c r="I14" i="4"/>
  <c r="H14" i="4"/>
  <c r="G14" i="4"/>
  <c r="F14" i="4"/>
  <c r="E14" i="4"/>
  <c r="C14" i="4"/>
  <c r="G13" i="7"/>
  <c r="D18" i="7"/>
  <c r="D37" i="7"/>
  <c r="D36" i="7"/>
  <c r="D35" i="7"/>
  <c r="D32" i="7"/>
  <c r="D31" i="7"/>
  <c r="D30" i="7"/>
  <c r="D29" i="7"/>
  <c r="D27" i="7"/>
  <c r="D26" i="7"/>
  <c r="D24" i="7"/>
  <c r="D23" i="7"/>
  <c r="D22" i="7"/>
  <c r="D19" i="7"/>
  <c r="D17" i="7"/>
  <c r="G50" i="7"/>
  <c r="D12" i="7"/>
  <c r="D11" i="7"/>
  <c r="X54" i="22" l="1"/>
  <c r="V54" i="22"/>
  <c r="Q62" i="22"/>
  <c r="T47" i="11"/>
  <c r="T49" i="11"/>
  <c r="W47" i="8"/>
  <c r="U47" i="8"/>
  <c r="B45" i="8"/>
  <c r="U14" i="8"/>
  <c r="V14" i="8" s="1"/>
  <c r="W49" i="8"/>
  <c r="U49" i="8"/>
  <c r="U47" i="18"/>
  <c r="X47" i="18"/>
  <c r="Q47" i="11"/>
  <c r="U49" i="18"/>
  <c r="X49" i="18"/>
  <c r="S47" i="4"/>
  <c r="Q49" i="11"/>
  <c r="S14" i="13"/>
  <c r="T14" i="13" s="1"/>
  <c r="S48" i="12"/>
  <c r="T49" i="14"/>
  <c r="R49" i="14"/>
  <c r="S13" i="12"/>
  <c r="U13" i="12" s="1"/>
  <c r="S46" i="12"/>
  <c r="T47" i="14"/>
  <c r="R47" i="14"/>
  <c r="U14" i="18"/>
  <c r="V14" i="18" s="1"/>
  <c r="T14" i="14"/>
  <c r="U14" i="14" s="1"/>
  <c r="T14" i="11"/>
  <c r="V14" i="11" s="1"/>
  <c r="Q53" i="21"/>
  <c r="T53" i="21"/>
  <c r="S53" i="4"/>
  <c r="P60" i="21"/>
  <c r="G46" i="7"/>
  <c r="F44" i="12"/>
  <c r="M45" i="4"/>
  <c r="K45" i="11"/>
  <c r="P53" i="13"/>
  <c r="Q53" i="13" s="1"/>
  <c r="S53" i="13"/>
  <c r="N45" i="4"/>
  <c r="B45" i="11"/>
  <c r="B62" i="11"/>
  <c r="B60" i="13"/>
  <c r="O45" i="4"/>
  <c r="C45" i="11"/>
  <c r="M45" i="11"/>
  <c r="N45" i="11"/>
  <c r="O45" i="11"/>
  <c r="P47" i="13"/>
  <c r="Q47" i="13" s="1"/>
  <c r="S47" i="13"/>
  <c r="R12" i="7"/>
  <c r="U12" i="7"/>
  <c r="P45" i="11"/>
  <c r="E62" i="12"/>
  <c r="P49" i="13"/>
  <c r="S49" i="13"/>
  <c r="P48" i="12"/>
  <c r="Q41" i="4"/>
  <c r="Q42" i="4"/>
  <c r="P46" i="12"/>
  <c r="P53" i="4"/>
  <c r="P47" i="4"/>
  <c r="U47" i="4" s="1"/>
  <c r="E35" i="7"/>
  <c r="U35" i="7" s="1"/>
  <c r="E17" i="7"/>
  <c r="U17" i="7" s="1"/>
  <c r="E36" i="7"/>
  <c r="U36" i="7" s="1"/>
  <c r="E19" i="7"/>
  <c r="U19" i="7" s="1"/>
  <c r="E29" i="7"/>
  <c r="U29" i="7" s="1"/>
  <c r="E37" i="7"/>
  <c r="U37" i="7" s="1"/>
  <c r="E22" i="7"/>
  <c r="U22" i="7" s="1"/>
  <c r="E30" i="7"/>
  <c r="U30" i="7" s="1"/>
  <c r="E18" i="7"/>
  <c r="U18" i="7" s="1"/>
  <c r="E26" i="7"/>
  <c r="R26" i="7" s="1"/>
  <c r="E27" i="7"/>
  <c r="U27" i="7" s="1"/>
  <c r="E11" i="7"/>
  <c r="U11" i="7" s="1"/>
  <c r="E23" i="7"/>
  <c r="U23" i="7" s="1"/>
  <c r="E31" i="7"/>
  <c r="R31" i="7" s="1"/>
  <c r="E24" i="7"/>
  <c r="U24" i="7" s="1"/>
  <c r="E32" i="7"/>
  <c r="U32" i="7" s="1"/>
  <c r="H45" i="4"/>
  <c r="G45" i="4"/>
  <c r="R41" i="11"/>
  <c r="G45" i="11"/>
  <c r="F45" i="4"/>
  <c r="E45" i="4"/>
  <c r="G44" i="7"/>
  <c r="E44" i="12"/>
  <c r="K44" i="12"/>
  <c r="F45" i="11"/>
  <c r="L45" i="11"/>
  <c r="M44" i="12"/>
  <c r="F53" i="11"/>
  <c r="J45" i="11"/>
  <c r="H45" i="11"/>
  <c r="I45" i="4"/>
  <c r="I45" i="11"/>
  <c r="G44" i="12"/>
  <c r="J53" i="11"/>
  <c r="J62" i="11" s="1"/>
  <c r="G52" i="7"/>
  <c r="G61" i="7" s="1"/>
  <c r="J45" i="4"/>
  <c r="K45" i="4"/>
  <c r="L45" i="4"/>
  <c r="N53" i="11"/>
  <c r="Q24" i="12"/>
  <c r="I44" i="12"/>
  <c r="O44" i="12"/>
  <c r="L44" i="12"/>
  <c r="H44" i="12"/>
  <c r="C47" i="6"/>
  <c r="I52" i="12"/>
  <c r="I62" i="12" s="1"/>
  <c r="M52" i="12"/>
  <c r="M62" i="12" s="1"/>
  <c r="C49" i="6"/>
  <c r="C51" i="6"/>
  <c r="C45" i="4"/>
  <c r="C45" i="13"/>
  <c r="C45" i="8"/>
  <c r="C53" i="8"/>
  <c r="R53" i="8" s="1"/>
  <c r="D44" i="12"/>
  <c r="B45" i="18"/>
  <c r="R45" i="18" s="1"/>
  <c r="B45" i="14"/>
  <c r="Q45" i="14" s="1"/>
  <c r="B45" i="13"/>
  <c r="B44" i="12"/>
  <c r="B51" i="18"/>
  <c r="B51" i="14"/>
  <c r="Q51" i="14" s="1"/>
  <c r="C51" i="13"/>
  <c r="P51" i="13" s="1"/>
  <c r="Q51" i="13" s="1"/>
  <c r="B51" i="8"/>
  <c r="R51" i="8" s="1"/>
  <c r="J44" i="12"/>
  <c r="N44" i="12"/>
  <c r="B50" i="12"/>
  <c r="G50" i="12"/>
  <c r="G62" i="12" s="1"/>
  <c r="K50" i="12"/>
  <c r="K62" i="12" s="1"/>
  <c r="O50" i="12"/>
  <c r="O62" i="12" s="1"/>
  <c r="F52" i="12"/>
  <c r="F62" i="12" s="1"/>
  <c r="J52" i="12"/>
  <c r="J62" i="12" s="1"/>
  <c r="N52" i="12"/>
  <c r="N62" i="12" s="1"/>
  <c r="D50" i="12"/>
  <c r="D62" i="12" s="1"/>
  <c r="H50" i="12"/>
  <c r="H62" i="12" s="1"/>
  <c r="L50" i="12"/>
  <c r="L62" i="12" s="1"/>
  <c r="G51" i="11"/>
  <c r="G62" i="11" s="1"/>
  <c r="H51" i="11"/>
  <c r="L51" i="11"/>
  <c r="L62" i="11" s="1"/>
  <c r="P51" i="11"/>
  <c r="K53" i="11"/>
  <c r="K62" i="11" s="1"/>
  <c r="O53" i="11"/>
  <c r="C51" i="11"/>
  <c r="I51" i="11"/>
  <c r="I62" i="11" s="1"/>
  <c r="M51" i="11"/>
  <c r="Q16" i="12"/>
  <c r="C51" i="4"/>
  <c r="C62" i="4" s="1"/>
  <c r="H51" i="4"/>
  <c r="H62" i="4" s="1"/>
  <c r="L51" i="4"/>
  <c r="L62" i="4" s="1"/>
  <c r="E51" i="4"/>
  <c r="E62" i="4" s="1"/>
  <c r="I51" i="4"/>
  <c r="I62" i="4" s="1"/>
  <c r="M51" i="4"/>
  <c r="F51" i="4"/>
  <c r="F62" i="4" s="1"/>
  <c r="J51" i="4"/>
  <c r="J62" i="4" s="1"/>
  <c r="N51" i="4"/>
  <c r="G51" i="4"/>
  <c r="K51" i="4"/>
  <c r="K62" i="4" s="1"/>
  <c r="O51" i="4"/>
  <c r="R45" i="8" l="1"/>
  <c r="W45" i="8" s="1"/>
  <c r="R51" i="18"/>
  <c r="X51" i="18" s="1"/>
  <c r="M55" i="11"/>
  <c r="R27" i="7"/>
  <c r="V49" i="8"/>
  <c r="R11" i="7"/>
  <c r="R13" i="7" s="1"/>
  <c r="N55" i="4"/>
  <c r="R36" i="7"/>
  <c r="V36" i="7" s="1"/>
  <c r="T53" i="11"/>
  <c r="T45" i="11"/>
  <c r="W53" i="8"/>
  <c r="U53" i="8"/>
  <c r="T51" i="11"/>
  <c r="U46" i="12"/>
  <c r="U51" i="8"/>
  <c r="W51" i="8"/>
  <c r="T45" i="14"/>
  <c r="R45" i="14"/>
  <c r="B55" i="14"/>
  <c r="Q55" i="14" s="1"/>
  <c r="Q53" i="11"/>
  <c r="V53" i="11" s="1"/>
  <c r="B55" i="8"/>
  <c r="U45" i="8"/>
  <c r="O55" i="4"/>
  <c r="Q45" i="11"/>
  <c r="R35" i="7"/>
  <c r="V35" i="7" s="1"/>
  <c r="S45" i="13"/>
  <c r="T51" i="14"/>
  <c r="S44" i="12"/>
  <c r="R24" i="7"/>
  <c r="V24" i="7" s="1"/>
  <c r="U45" i="18"/>
  <c r="Q51" i="11"/>
  <c r="R23" i="7"/>
  <c r="R19" i="7"/>
  <c r="V19" i="7" s="1"/>
  <c r="U48" i="12"/>
  <c r="V47" i="11"/>
  <c r="O55" i="11"/>
  <c r="N55" i="11"/>
  <c r="V49" i="11"/>
  <c r="P62" i="11"/>
  <c r="T49" i="13"/>
  <c r="Q49" i="13"/>
  <c r="B61" i="14"/>
  <c r="U49" i="14"/>
  <c r="U47" i="14"/>
  <c r="T47" i="13"/>
  <c r="S47" i="8"/>
  <c r="V47" i="8"/>
  <c r="C61" i="8"/>
  <c r="B62" i="12"/>
  <c r="S50" i="12"/>
  <c r="S52" i="12"/>
  <c r="C55" i="11"/>
  <c r="B55" i="11"/>
  <c r="E55" i="4"/>
  <c r="E64" i="4" s="1"/>
  <c r="U53" i="4"/>
  <c r="R32" i="7"/>
  <c r="V32" i="7" s="1"/>
  <c r="V11" i="7"/>
  <c r="R22" i="7"/>
  <c r="V22" i="7" s="1"/>
  <c r="V27" i="7"/>
  <c r="R29" i="7"/>
  <c r="V29" i="7" s="1"/>
  <c r="R18" i="7"/>
  <c r="V18" i="7" s="1"/>
  <c r="V12" i="7"/>
  <c r="V49" i="18"/>
  <c r="S49" i="18"/>
  <c r="U26" i="7"/>
  <c r="V26" i="7" s="1"/>
  <c r="V23" i="7"/>
  <c r="R30" i="7"/>
  <c r="V30" i="7" s="1"/>
  <c r="V47" i="18"/>
  <c r="S47" i="18"/>
  <c r="S51" i="13"/>
  <c r="T51" i="13" s="1"/>
  <c r="T53" i="13"/>
  <c r="C62" i="11"/>
  <c r="N62" i="4"/>
  <c r="U31" i="7"/>
  <c r="V31" i="7" s="1"/>
  <c r="F62" i="11"/>
  <c r="R37" i="7"/>
  <c r="V37" i="7" s="1"/>
  <c r="R17" i="7"/>
  <c r="V17" i="7" s="1"/>
  <c r="O62" i="11"/>
  <c r="O62" i="4"/>
  <c r="O64" i="4" s="1"/>
  <c r="C60" i="13"/>
  <c r="B61" i="8"/>
  <c r="M55" i="4"/>
  <c r="B61" i="18"/>
  <c r="U51" i="18"/>
  <c r="N62" i="11"/>
  <c r="N64" i="11" s="1"/>
  <c r="M62" i="11"/>
  <c r="M64" i="11" s="1"/>
  <c r="M62" i="4"/>
  <c r="H62" i="11"/>
  <c r="G62" i="4"/>
  <c r="G62" i="6"/>
  <c r="Q53" i="4"/>
  <c r="P60" i="13"/>
  <c r="S49" i="8"/>
  <c r="F55" i="4"/>
  <c r="F64" i="4" s="1"/>
  <c r="F55" i="11"/>
  <c r="C55" i="8"/>
  <c r="C55" i="13"/>
  <c r="B55" i="13"/>
  <c r="P45" i="13"/>
  <c r="Q45" i="13" s="1"/>
  <c r="C55" i="4"/>
  <c r="C64" i="4" s="1"/>
  <c r="G55" i="11"/>
  <c r="G64" i="11" s="1"/>
  <c r="P52" i="12"/>
  <c r="P50" i="12"/>
  <c r="P44" i="12"/>
  <c r="E13" i="7"/>
  <c r="E48" i="7"/>
  <c r="R32" i="11"/>
  <c r="R25" i="11"/>
  <c r="I54" i="12"/>
  <c r="I65" i="12" s="1"/>
  <c r="J55" i="11"/>
  <c r="J64" i="11" s="1"/>
  <c r="R36" i="11"/>
  <c r="R24" i="11"/>
  <c r="R19" i="11"/>
  <c r="R23" i="11"/>
  <c r="R40" i="11"/>
  <c r="R33" i="11"/>
  <c r="R27" i="11"/>
  <c r="R31" i="11"/>
  <c r="R17" i="11"/>
  <c r="R35" i="11"/>
  <c r="R39" i="11"/>
  <c r="R43" i="11"/>
  <c r="R18" i="11"/>
  <c r="R49" i="11"/>
  <c r="M54" i="12"/>
  <c r="M65" i="12" s="1"/>
  <c r="R47" i="11"/>
  <c r="R26" i="11"/>
  <c r="R37" i="11"/>
  <c r="R20" i="11"/>
  <c r="R29" i="11"/>
  <c r="R22" i="11"/>
  <c r="R21" i="11"/>
  <c r="R38" i="11"/>
  <c r="R34" i="11"/>
  <c r="R30" i="11"/>
  <c r="R28" i="11"/>
  <c r="P55" i="11"/>
  <c r="L54" i="12"/>
  <c r="L65" i="12" s="1"/>
  <c r="K55" i="11"/>
  <c r="K64" i="11" s="1"/>
  <c r="L55" i="11"/>
  <c r="L64" i="11" s="1"/>
  <c r="J55" i="4"/>
  <c r="J64" i="4" s="1"/>
  <c r="K54" i="12"/>
  <c r="K65" i="12" s="1"/>
  <c r="L55" i="4"/>
  <c r="L64" i="4" s="1"/>
  <c r="H55" i="4"/>
  <c r="H64" i="4" s="1"/>
  <c r="I55" i="11"/>
  <c r="I64" i="11" s="1"/>
  <c r="G55" i="4"/>
  <c r="G54" i="12"/>
  <c r="G65" i="12" s="1"/>
  <c r="H55" i="11"/>
  <c r="E54" i="12"/>
  <c r="E65" i="12" s="1"/>
  <c r="B54" i="12"/>
  <c r="G54" i="7"/>
  <c r="G64" i="7" s="1"/>
  <c r="K55" i="4"/>
  <c r="K64" i="4" s="1"/>
  <c r="O54" i="12"/>
  <c r="O65" i="12" s="1"/>
  <c r="I55" i="4"/>
  <c r="I64" i="4" s="1"/>
  <c r="B55" i="18"/>
  <c r="H54" i="12"/>
  <c r="H65" i="12" s="1"/>
  <c r="F54" i="12"/>
  <c r="F65" i="12" s="1"/>
  <c r="N54" i="12"/>
  <c r="N65" i="12" s="1"/>
  <c r="J54" i="12"/>
  <c r="J65" i="12" s="1"/>
  <c r="D54" i="12"/>
  <c r="D65" i="12" s="1"/>
  <c r="C53" i="6"/>
  <c r="C55" i="6" s="1"/>
  <c r="Q49" i="6"/>
  <c r="Q47" i="6"/>
  <c r="Q17" i="12"/>
  <c r="Q18" i="12"/>
  <c r="Q19" i="12"/>
  <c r="Q20" i="12"/>
  <c r="Q21" i="12"/>
  <c r="Q22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8" i="7"/>
  <c r="Q46" i="7"/>
  <c r="Q13" i="7"/>
  <c r="O49" i="6"/>
  <c r="C41" i="17"/>
  <c r="P48" i="7"/>
  <c r="O48" i="7"/>
  <c r="P46" i="7"/>
  <c r="O46" i="7"/>
  <c r="P50" i="7"/>
  <c r="O50" i="7"/>
  <c r="P13" i="7"/>
  <c r="O13" i="7"/>
  <c r="Q48" i="12"/>
  <c r="R55" i="8" l="1"/>
  <c r="U55" i="18"/>
  <c r="R55" i="18"/>
  <c r="S45" i="18"/>
  <c r="X45" i="18"/>
  <c r="N64" i="4"/>
  <c r="O64" i="11"/>
  <c r="F64" i="11"/>
  <c r="S11" i="7"/>
  <c r="S12" i="7"/>
  <c r="S13" i="7" s="1"/>
  <c r="S40" i="7"/>
  <c r="U55" i="8"/>
  <c r="R61" i="8"/>
  <c r="V45" i="8"/>
  <c r="U44" i="12"/>
  <c r="S55" i="13"/>
  <c r="T55" i="11"/>
  <c r="Q55" i="11"/>
  <c r="T55" i="14"/>
  <c r="C63" i="8"/>
  <c r="C64" i="11"/>
  <c r="P64" i="11"/>
  <c r="S51" i="18"/>
  <c r="R61" i="18"/>
  <c r="V45" i="11"/>
  <c r="U51" i="14"/>
  <c r="Q61" i="14"/>
  <c r="R51" i="14"/>
  <c r="U45" i="14"/>
  <c r="C63" i="13"/>
  <c r="S51" i="8"/>
  <c r="V51" i="8"/>
  <c r="V53" i="8"/>
  <c r="S54" i="12"/>
  <c r="U52" i="12"/>
  <c r="U50" i="12"/>
  <c r="V51" i="11"/>
  <c r="B64" i="11"/>
  <c r="T45" i="13"/>
  <c r="V45" i="18"/>
  <c r="M64" i="4"/>
  <c r="P54" i="12"/>
  <c r="B65" i="12"/>
  <c r="S53" i="8"/>
  <c r="B63" i="14"/>
  <c r="B63" i="8"/>
  <c r="B63" i="13"/>
  <c r="C62" i="6"/>
  <c r="C64" i="6" s="1"/>
  <c r="H64" i="11"/>
  <c r="G64" i="4"/>
  <c r="G64" i="6"/>
  <c r="S45" i="8"/>
  <c r="P62" i="12"/>
  <c r="R45" i="11"/>
  <c r="R51" i="11"/>
  <c r="Q62" i="11"/>
  <c r="R53" i="11"/>
  <c r="V51" i="18"/>
  <c r="B63" i="18"/>
  <c r="P55" i="13"/>
  <c r="Q55" i="13" s="1"/>
  <c r="E46" i="7"/>
  <c r="S41" i="6"/>
  <c r="Q46" i="12"/>
  <c r="Q52" i="12"/>
  <c r="Q53" i="6"/>
  <c r="Q45" i="6"/>
  <c r="Q51" i="6"/>
  <c r="Q52" i="7"/>
  <c r="Q50" i="7"/>
  <c r="Q44" i="7"/>
  <c r="Q42" i="12"/>
  <c r="P47" i="6"/>
  <c r="P49" i="6"/>
  <c r="O47" i="6"/>
  <c r="O53" i="6"/>
  <c r="O52" i="7"/>
  <c r="O61" i="7" s="1"/>
  <c r="O44" i="7"/>
  <c r="C42" i="17"/>
  <c r="C43" i="17"/>
  <c r="P44" i="7"/>
  <c r="P52" i="7"/>
  <c r="P61" i="7" s="1"/>
  <c r="C39" i="17"/>
  <c r="C40" i="17"/>
  <c r="N49" i="6"/>
  <c r="N48" i="7"/>
  <c r="N13" i="7"/>
  <c r="Z58" i="6" l="1"/>
  <c r="W58" i="6"/>
  <c r="S55" i="18"/>
  <c r="X55" i="18"/>
  <c r="W55" i="8"/>
  <c r="R6" i="60"/>
  <c r="P6" i="59"/>
  <c r="Q61" i="7"/>
  <c r="U55" i="14"/>
  <c r="Q62" i="6"/>
  <c r="V55" i="8"/>
  <c r="R63" i="8"/>
  <c r="Q63" i="14"/>
  <c r="R55" i="14"/>
  <c r="S55" i="8"/>
  <c r="U54" i="12"/>
  <c r="V55" i="11"/>
  <c r="V55" i="18"/>
  <c r="R63" i="18"/>
  <c r="N46" i="7"/>
  <c r="P63" i="13"/>
  <c r="T55" i="13"/>
  <c r="P65" i="12"/>
  <c r="Q64" i="11"/>
  <c r="R55" i="11"/>
  <c r="P54" i="7"/>
  <c r="P64" i="7" s="1"/>
  <c r="Q44" i="12"/>
  <c r="Q55" i="6"/>
  <c r="Q54" i="7"/>
  <c r="Q64" i="7" s="1"/>
  <c r="Q50" i="12"/>
  <c r="N44" i="7"/>
  <c r="O45" i="6"/>
  <c r="O51" i="6"/>
  <c r="O62" i="6" s="1"/>
  <c r="O54" i="7"/>
  <c r="O64" i="7" s="1"/>
  <c r="P45" i="6"/>
  <c r="P51" i="6"/>
  <c r="P53" i="6"/>
  <c r="N50" i="7"/>
  <c r="N52" i="7"/>
  <c r="N47" i="6"/>
  <c r="M50" i="7"/>
  <c r="M48" i="7"/>
  <c r="M13" i="7"/>
  <c r="R6" i="63" l="1"/>
  <c r="N61" i="7"/>
  <c r="Q64" i="6"/>
  <c r="P62" i="6"/>
  <c r="M46" i="7"/>
  <c r="Q54" i="12"/>
  <c r="O55" i="6"/>
  <c r="O64" i="6" s="1"/>
  <c r="P55" i="6"/>
  <c r="N54" i="7"/>
  <c r="N45" i="6"/>
  <c r="N51" i="6"/>
  <c r="N53" i="6"/>
  <c r="M49" i="6"/>
  <c r="M47" i="6"/>
  <c r="M44" i="7"/>
  <c r="M52" i="7"/>
  <c r="N64" i="7" l="1"/>
  <c r="M61" i="7"/>
  <c r="P64" i="6"/>
  <c r="N62" i="6"/>
  <c r="N55" i="6"/>
  <c r="M51" i="6"/>
  <c r="M45" i="6"/>
  <c r="M53" i="6"/>
  <c r="M54" i="7"/>
  <c r="B14" i="6"/>
  <c r="Y15" i="6" s="1"/>
  <c r="B47" i="6"/>
  <c r="H47" i="6"/>
  <c r="L49" i="6"/>
  <c r="L47" i="6"/>
  <c r="L48" i="7"/>
  <c r="L13" i="7"/>
  <c r="B48" i="7"/>
  <c r="B39" i="7"/>
  <c r="B38" i="7"/>
  <c r="B34" i="7"/>
  <c r="B33" i="7"/>
  <c r="B28" i="7"/>
  <c r="B25" i="7"/>
  <c r="B21" i="7"/>
  <c r="B20" i="7"/>
  <c r="B16" i="7"/>
  <c r="B13" i="7"/>
  <c r="K48" i="7"/>
  <c r="H48" i="7"/>
  <c r="C48" i="7"/>
  <c r="K52" i="7"/>
  <c r="H52" i="7"/>
  <c r="C50" i="7"/>
  <c r="K13" i="7"/>
  <c r="J13" i="7"/>
  <c r="H13" i="7"/>
  <c r="K49" i="6"/>
  <c r="K47" i="6"/>
  <c r="B45" i="6" l="1"/>
  <c r="M64" i="7"/>
  <c r="N64" i="6"/>
  <c r="M62" i="6"/>
  <c r="U14" i="6"/>
  <c r="V14" i="6" s="1"/>
  <c r="J46" i="7"/>
  <c r="L46" i="7"/>
  <c r="B46" i="7"/>
  <c r="B42" i="7"/>
  <c r="H44" i="7"/>
  <c r="H46" i="7"/>
  <c r="K44" i="7"/>
  <c r="K46" i="7"/>
  <c r="D34" i="7"/>
  <c r="E34" i="7" s="1"/>
  <c r="D38" i="7"/>
  <c r="D28" i="7"/>
  <c r="E28" i="7" s="1"/>
  <c r="D39" i="7"/>
  <c r="D21" i="7"/>
  <c r="E21" i="7" s="1"/>
  <c r="D33" i="7"/>
  <c r="E33" i="7" s="1"/>
  <c r="D16" i="7"/>
  <c r="E16" i="7" s="1"/>
  <c r="D20" i="7"/>
  <c r="E20" i="7" s="1"/>
  <c r="R20" i="7" s="1"/>
  <c r="D25" i="7"/>
  <c r="I47" i="6"/>
  <c r="H45" i="6"/>
  <c r="I48" i="7"/>
  <c r="I45" i="6"/>
  <c r="I13" i="7"/>
  <c r="L52" i="7"/>
  <c r="M55" i="6"/>
  <c r="K53" i="6"/>
  <c r="H50" i="7"/>
  <c r="C52" i="7"/>
  <c r="C61" i="7" s="1"/>
  <c r="J44" i="7"/>
  <c r="J52" i="7"/>
  <c r="J50" i="7"/>
  <c r="I52" i="7"/>
  <c r="I50" i="7"/>
  <c r="C44" i="7"/>
  <c r="K50" i="7"/>
  <c r="U21" i="7" l="1"/>
  <c r="U16" i="7"/>
  <c r="H61" i="7"/>
  <c r="M64" i="6"/>
  <c r="K61" i="7"/>
  <c r="J61" i="7"/>
  <c r="U28" i="7"/>
  <c r="U34" i="7"/>
  <c r="E25" i="7"/>
  <c r="U25" i="7" s="1"/>
  <c r="U20" i="7"/>
  <c r="V20" i="7" s="1"/>
  <c r="U33" i="7"/>
  <c r="R16" i="7"/>
  <c r="V16" i="7" s="1"/>
  <c r="R34" i="7"/>
  <c r="E38" i="7"/>
  <c r="U38" i="7" s="1"/>
  <c r="D42" i="7"/>
  <c r="E39" i="7"/>
  <c r="R39" i="7" s="1"/>
  <c r="R21" i="7"/>
  <c r="V21" i="7" s="1"/>
  <c r="R33" i="7"/>
  <c r="R28" i="7"/>
  <c r="H54" i="7"/>
  <c r="I44" i="7"/>
  <c r="I46" i="7"/>
  <c r="I61" i="7" s="1"/>
  <c r="K54" i="7"/>
  <c r="K64" i="7" s="1"/>
  <c r="B52" i="7"/>
  <c r="L44" i="7"/>
  <c r="L50" i="7"/>
  <c r="L61" i="7" s="1"/>
  <c r="B50" i="7"/>
  <c r="B44" i="7"/>
  <c r="C54" i="7"/>
  <c r="C64" i="7" s="1"/>
  <c r="J54" i="7"/>
  <c r="J64" i="7" s="1"/>
  <c r="K45" i="6"/>
  <c r="K51" i="6"/>
  <c r="K62" i="6" s="1"/>
  <c r="H64" i="7" l="1"/>
  <c r="R25" i="7"/>
  <c r="V25" i="7" s="1"/>
  <c r="U39" i="7"/>
  <c r="V39" i="7" s="1"/>
  <c r="V33" i="7"/>
  <c r="V34" i="7"/>
  <c r="S16" i="7"/>
  <c r="V28" i="7"/>
  <c r="E42" i="7"/>
  <c r="B61" i="7"/>
  <c r="R38" i="7"/>
  <c r="R42" i="7" s="1"/>
  <c r="I54" i="7"/>
  <c r="I64" i="7" s="1"/>
  <c r="D50" i="7"/>
  <c r="D52" i="7"/>
  <c r="L54" i="7"/>
  <c r="L64" i="7" s="1"/>
  <c r="L45" i="6"/>
  <c r="L53" i="6"/>
  <c r="L51" i="6"/>
  <c r="K55" i="6"/>
  <c r="K64" i="6" s="1"/>
  <c r="B54" i="7"/>
  <c r="B64" i="7" l="1"/>
  <c r="L62" i="6"/>
  <c r="V38" i="7"/>
  <c r="U42" i="7"/>
  <c r="V42" i="7" s="1"/>
  <c r="E50" i="7"/>
  <c r="E52" i="7"/>
  <c r="R52" i="7" s="1"/>
  <c r="E44" i="7"/>
  <c r="L55" i="6"/>
  <c r="I49" i="6"/>
  <c r="H49" i="6"/>
  <c r="B49" i="6"/>
  <c r="I53" i="6"/>
  <c r="H51" i="6"/>
  <c r="B49" i="4"/>
  <c r="S49" i="4" s="1"/>
  <c r="B14" i="4"/>
  <c r="S14" i="4" s="1"/>
  <c r="U14" i="4" s="1"/>
  <c r="E61" i="7" l="1"/>
  <c r="L64" i="6"/>
  <c r="R50" i="7"/>
  <c r="U50" i="7"/>
  <c r="U52" i="7"/>
  <c r="V52" i="7" s="1"/>
  <c r="P49" i="4"/>
  <c r="U49" i="4" s="1"/>
  <c r="E54" i="7"/>
  <c r="E64" i="7" s="1"/>
  <c r="Q24" i="4"/>
  <c r="Q27" i="4"/>
  <c r="B53" i="6"/>
  <c r="H53" i="6"/>
  <c r="B51" i="4"/>
  <c r="S51" i="4" s="1"/>
  <c r="B51" i="6"/>
  <c r="I51" i="6"/>
  <c r="I62" i="6" s="1"/>
  <c r="J49" i="6"/>
  <c r="J47" i="6"/>
  <c r="B45" i="4"/>
  <c r="S45" i="4" s="1"/>
  <c r="H62" i="6" l="1"/>
  <c r="R47" i="6"/>
  <c r="Y48" i="6" s="1"/>
  <c r="R49" i="6"/>
  <c r="Y50" i="6" s="1"/>
  <c r="B62" i="6"/>
  <c r="U49" i="6"/>
  <c r="U47" i="6"/>
  <c r="V50" i="7"/>
  <c r="B62" i="4"/>
  <c r="P51" i="4"/>
  <c r="P62" i="4" s="1"/>
  <c r="H55" i="6"/>
  <c r="P45" i="4"/>
  <c r="Q45" i="4" s="1"/>
  <c r="B55" i="4"/>
  <c r="S55" i="4" s="1"/>
  <c r="Q38" i="4"/>
  <c r="S24" i="6"/>
  <c r="I55" i="6"/>
  <c r="I64" i="6" s="1"/>
  <c r="Q31" i="4"/>
  <c r="Q20" i="4"/>
  <c r="B55" i="6"/>
  <c r="Q30" i="4"/>
  <c r="Q28" i="4"/>
  <c r="Q22" i="4"/>
  <c r="Q36" i="4"/>
  <c r="Q43" i="4"/>
  <c r="Q19" i="4"/>
  <c r="Q29" i="4"/>
  <c r="Q47" i="4"/>
  <c r="Q23" i="4"/>
  <c r="Q26" i="4"/>
  <c r="Q17" i="4"/>
  <c r="Q40" i="4"/>
  <c r="Q37" i="4"/>
  <c r="Q34" i="4"/>
  <c r="Q21" i="4"/>
  <c r="Q18" i="4"/>
  <c r="Q39" i="4"/>
  <c r="Q32" i="4"/>
  <c r="Q49" i="4"/>
  <c r="Q35" i="4"/>
  <c r="Q33" i="4"/>
  <c r="Q25" i="4"/>
  <c r="V49" i="6" l="1"/>
  <c r="B64" i="6"/>
  <c r="U45" i="4"/>
  <c r="U51" i="4"/>
  <c r="Q51" i="4"/>
  <c r="V47" i="6"/>
  <c r="P55" i="4"/>
  <c r="Q55" i="4" s="1"/>
  <c r="B64" i="4"/>
  <c r="H64" i="6"/>
  <c r="S38" i="6"/>
  <c r="S27" i="6"/>
  <c r="S20" i="6"/>
  <c r="S32" i="6"/>
  <c r="S39" i="6"/>
  <c r="S25" i="6"/>
  <c r="S17" i="6"/>
  <c r="S21" i="6"/>
  <c r="S22" i="6"/>
  <c r="S19" i="6"/>
  <c r="S26" i="6"/>
  <c r="S34" i="6"/>
  <c r="S36" i="6"/>
  <c r="S49" i="6"/>
  <c r="S40" i="6"/>
  <c r="S33" i="6"/>
  <c r="S18" i="6"/>
  <c r="S37" i="6"/>
  <c r="S35" i="6"/>
  <c r="S28" i="6"/>
  <c r="S29" i="6"/>
  <c r="S30" i="6"/>
  <c r="S47" i="6"/>
  <c r="S31" i="6"/>
  <c r="S43" i="6"/>
  <c r="S23" i="6"/>
  <c r="J53" i="6"/>
  <c r="J45" i="6"/>
  <c r="J51" i="6"/>
  <c r="R53" i="6" l="1"/>
  <c r="Y54" i="6" s="1"/>
  <c r="R51" i="6"/>
  <c r="Y52" i="6" s="1"/>
  <c r="R45" i="6"/>
  <c r="Y46" i="6" s="1"/>
  <c r="U55" i="4"/>
  <c r="P64" i="4"/>
  <c r="U53" i="6"/>
  <c r="U51" i="6"/>
  <c r="J62" i="6"/>
  <c r="U45" i="6"/>
  <c r="J55" i="6"/>
  <c r="R55" i="6" s="1"/>
  <c r="S53" i="6" l="1"/>
  <c r="U55" i="6"/>
  <c r="S55" i="6"/>
  <c r="J64" i="6"/>
  <c r="V45" i="6"/>
  <c r="R62" i="6"/>
  <c r="S45" i="6"/>
  <c r="V51" i="6"/>
  <c r="S51" i="6"/>
  <c r="V53" i="6"/>
  <c r="D48" i="7"/>
  <c r="D13" i="7"/>
  <c r="V55" i="6" l="1"/>
  <c r="R64" i="6"/>
  <c r="U13" i="7"/>
  <c r="V13" i="7" s="1"/>
  <c r="R48" i="7"/>
  <c r="S48" i="7" s="1"/>
  <c r="U48" i="7"/>
  <c r="D44" i="7"/>
  <c r="D46" i="7"/>
  <c r="S32" i="7"/>
  <c r="S21" i="7"/>
  <c r="S20" i="7"/>
  <c r="S22" i="7"/>
  <c r="S25" i="7"/>
  <c r="S34" i="7"/>
  <c r="S28" i="7"/>
  <c r="S29" i="7"/>
  <c r="S26" i="7"/>
  <c r="S30" i="7"/>
  <c r="S38" i="7"/>
  <c r="S36" i="7"/>
  <c r="S18" i="7"/>
  <c r="S37" i="7"/>
  <c r="S52" i="7"/>
  <c r="S35" i="7"/>
  <c r="S17" i="7"/>
  <c r="S42" i="7"/>
  <c r="S19" i="7"/>
  <c r="S50" i="7"/>
  <c r="S23" i="7"/>
  <c r="S31" i="7"/>
  <c r="S27" i="7"/>
  <c r="S33" i="7"/>
  <c r="S24" i="7"/>
  <c r="S39" i="7"/>
  <c r="V48" i="7" l="1"/>
  <c r="R46" i="7"/>
  <c r="R61" i="7" s="1"/>
  <c r="U46" i="7"/>
  <c r="V46" i="7" s="1"/>
  <c r="R44" i="7"/>
  <c r="S44" i="7" s="1"/>
  <c r="U44" i="7"/>
  <c r="D54" i="7"/>
  <c r="D61" i="7"/>
  <c r="S46" i="7"/>
  <c r="D64" i="7" l="1"/>
  <c r="V44" i="7"/>
  <c r="R54" i="7"/>
  <c r="S54" i="7" s="1"/>
  <c r="U54" i="7"/>
  <c r="V54" i="7" s="1"/>
  <c r="R64" i="7"/>
  <c r="T14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Alessandra</author>
  </authors>
  <commentList>
    <comment ref="G2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Alessandra:</t>
        </r>
        <r>
          <rPr>
            <sz val="9"/>
            <color indexed="81"/>
            <rFont val="Segoe UI"/>
            <family val="2"/>
          </rPr>
          <t xml:space="preserve">
GRRF RESCISÓRIA FRANCISCO FABRICIO LOPES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Alessandra</author>
  </authors>
  <commentList>
    <comment ref="N25" authorId="0" shapeId="0" xr:uid="{00000000-0006-0000-0B00-000001000000}">
      <text>
        <r>
          <rPr>
            <b/>
            <sz val="9"/>
            <color indexed="81"/>
            <rFont val="Segoe UI"/>
            <family val="2"/>
          </rPr>
          <t>Alessandra:</t>
        </r>
        <r>
          <rPr>
            <sz val="9"/>
            <color indexed="81"/>
            <rFont val="Segoe UI"/>
            <family val="2"/>
          </rPr>
          <t xml:space="preserve">
PROC 10010452620245020058 JEAN CLAUDEL AUGUSTE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Alessandra</author>
  </authors>
  <commentList>
    <comment ref="H14" authorId="0" shapeId="0" xr:uid="{00000000-0006-0000-1000-000001000000}">
      <text>
        <r>
          <rPr>
            <b/>
            <sz val="9"/>
            <color indexed="81"/>
            <rFont val="Segoe UI"/>
            <family val="2"/>
          </rPr>
          <t>Alessandra:</t>
        </r>
        <r>
          <rPr>
            <sz val="9"/>
            <color indexed="81"/>
            <rFont val="Segoe UI"/>
            <family val="2"/>
          </rPr>
          <t xml:space="preserve">
ZARA NF 24154 - R$ 498,00
ZARA NF 24625 - R$ 216,00</t>
        </r>
      </text>
    </comment>
    <comment ref="H25" authorId="0" shapeId="0" xr:uid="{00000000-0006-0000-1000-000002000000}">
      <text>
        <r>
          <rPr>
            <b/>
            <sz val="9"/>
            <color indexed="81"/>
            <rFont val="Segoe UI"/>
            <family val="2"/>
          </rPr>
          <t>Alessandra:</t>
        </r>
        <r>
          <rPr>
            <sz val="9"/>
            <color indexed="81"/>
            <rFont val="Segoe UI"/>
            <family val="2"/>
          </rPr>
          <t xml:space="preserve">
ANVI NF 12402 - R$ 590,32
ANVI NF 10474 - R$ 3.546,12
ALV NF 2911 - R$ 1.005,00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Alessandra</author>
  </authors>
  <commentList>
    <comment ref="L16" authorId="0" shapeId="0" xr:uid="{00000000-0006-0000-1300-000001000000}">
      <text>
        <r>
          <rPr>
            <b/>
            <sz val="9"/>
            <color indexed="81"/>
            <rFont val="Segoe UI"/>
            <family val="2"/>
          </rPr>
          <t>Alessandra:</t>
        </r>
        <r>
          <rPr>
            <sz val="9"/>
            <color indexed="81"/>
            <rFont val="Segoe UI"/>
            <family val="2"/>
          </rPr>
          <t xml:space="preserve">
STOCKTOTAL NF 167109 </t>
        </r>
      </text>
    </comment>
    <comment ref="L25" authorId="0" shapeId="0" xr:uid="{00000000-0006-0000-1300-000002000000}">
      <text>
        <r>
          <rPr>
            <b/>
            <sz val="9"/>
            <color indexed="81"/>
            <rFont val="Segoe UI"/>
            <family val="2"/>
          </rPr>
          <t>Alessandra:</t>
        </r>
        <r>
          <rPr>
            <sz val="9"/>
            <color indexed="81"/>
            <rFont val="Segoe UI"/>
            <family val="2"/>
          </rPr>
          <t xml:space="preserve">
ANVI NF 14567 09/24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Alessandra</author>
  </authors>
  <commentList>
    <comment ref="J32" authorId="0" shapeId="0" xr:uid="{00000000-0006-0000-1700-000001000000}">
      <text>
        <r>
          <rPr>
            <b/>
            <sz val="9"/>
            <color indexed="81"/>
            <rFont val="Segoe UI"/>
            <family val="2"/>
          </rPr>
          <t>Alessandra:</t>
        </r>
        <r>
          <rPr>
            <sz val="9"/>
            <color indexed="81"/>
            <rFont val="Segoe UI"/>
            <family val="2"/>
          </rPr>
          <t xml:space="preserve">
Referente ao funcionário Francisco Chagas Alves vl não pago de 04/24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Alessandra</author>
    <author>inov2</author>
  </authors>
  <commentList>
    <comment ref="G25" authorId="0" shapeId="0" xr:uid="{00000000-0006-0000-3300-000001000000}">
      <text>
        <r>
          <rPr>
            <b/>
            <sz val="9"/>
            <color indexed="81"/>
            <rFont val="Segoe UI"/>
            <family val="2"/>
          </rPr>
          <t>Alessandra:</t>
        </r>
        <r>
          <rPr>
            <sz val="9"/>
            <color indexed="81"/>
            <rFont val="Segoe UI"/>
            <family val="2"/>
          </rPr>
          <t xml:space="preserve">
OBRA 295</t>
        </r>
      </text>
    </comment>
    <comment ref="K57" authorId="1" shapeId="0" xr:uid="{00000000-0006-0000-3300-000002000000}">
      <text>
        <r>
          <rPr>
            <b/>
            <sz val="9"/>
            <color indexed="81"/>
            <rFont val="Tahoma"/>
            <family val="2"/>
          </rPr>
          <t>inov2:</t>
        </r>
        <r>
          <rPr>
            <sz val="9"/>
            <color indexed="81"/>
            <rFont val="Tahoma"/>
            <family val="2"/>
          </rPr>
          <t xml:space="preserve">
obra 263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Alessandra</author>
  </authors>
  <commentList>
    <comment ref="Z13" authorId="0" shapeId="0" xr:uid="{00000000-0006-0000-3400-000001000000}">
      <text>
        <r>
          <rPr>
            <b/>
            <sz val="9"/>
            <color indexed="81"/>
            <rFont val="Segoe UI"/>
            <family val="2"/>
          </rPr>
          <t>Alessandra:</t>
        </r>
        <r>
          <rPr>
            <sz val="9"/>
            <color indexed="81"/>
            <rFont val="Segoe UI"/>
            <family val="2"/>
          </rPr>
          <t xml:space="preserve">
650.000,00 da obra 290 que acabou da bela</t>
        </r>
      </text>
    </comment>
    <comment ref="W14" authorId="0" shapeId="0" xr:uid="{00000000-0006-0000-3400-000002000000}">
      <text>
        <r>
          <rPr>
            <b/>
            <sz val="9"/>
            <color indexed="81"/>
            <rFont val="Segoe UI"/>
            <family val="2"/>
          </rPr>
          <t>Alessandra:</t>
        </r>
        <r>
          <rPr>
            <sz val="9"/>
            <color indexed="81"/>
            <rFont val="Segoe UI"/>
            <family val="2"/>
          </rPr>
          <t xml:space="preserve">
TOTAL FATURAMENTO DAS OBRAS</t>
        </r>
      </text>
    </comment>
    <comment ref="Z15" authorId="0" shapeId="0" xr:uid="{00000000-0006-0000-3400-000003000000}">
      <text>
        <r>
          <rPr>
            <b/>
            <sz val="9"/>
            <color indexed="81"/>
            <rFont val="Segoe UI"/>
            <family val="2"/>
          </rPr>
          <t>Alessandra:</t>
        </r>
        <r>
          <rPr>
            <sz val="9"/>
            <color indexed="81"/>
            <rFont val="Segoe UI"/>
            <family val="2"/>
          </rPr>
          <t xml:space="preserve">
somando o custo da obra 290 R$ 493.950,30 lucro, mesmo que tenha acabado a obra, ela é analisando jundo com a 283</t>
        </r>
      </text>
    </comment>
  </commentList>
</comments>
</file>

<file path=xl/sharedStrings.xml><?xml version="1.0" encoding="utf-8"?>
<sst xmlns="http://schemas.openxmlformats.org/spreadsheetml/2006/main" count="3204" uniqueCount="357">
  <si>
    <t xml:space="preserve">                                           DEMONSTRAÇÃO DO RESULTADO APURADO</t>
  </si>
  <si>
    <t>Acumulado</t>
  </si>
  <si>
    <t>% S/FAT</t>
  </si>
  <si>
    <t>Receitas Brutas</t>
  </si>
  <si>
    <t xml:space="preserve">    Servicos prestados </t>
  </si>
  <si>
    <t xml:space="preserve">    Locação de Equipamentos - 450</t>
  </si>
  <si>
    <t xml:space="preserve">    Receitas Brutas Total...</t>
  </si>
  <si>
    <t>Custos</t>
  </si>
  <si>
    <t xml:space="preserve">    Alimentação - 320</t>
  </si>
  <si>
    <t xml:space="preserve">    Combustíveis - 322</t>
  </si>
  <si>
    <t xml:space="preserve">    Despesa com Radio e Telefonia Celular</t>
  </si>
  <si>
    <t xml:space="preserve">    Equipamento de Segurança - EPIs - 360</t>
  </si>
  <si>
    <t xml:space="preserve">    Ferias - 315</t>
  </si>
  <si>
    <t xml:space="preserve">    FGTS - 317</t>
  </si>
  <si>
    <t xml:space="preserve">    Horas Extras - 499</t>
  </si>
  <si>
    <t xml:space="preserve">    Indenizações e Aviso Prévio - 318</t>
  </si>
  <si>
    <t xml:space="preserve">    Indenizações Trabalhistas Judiciais - 369</t>
  </si>
  <si>
    <t xml:space="preserve">    INSS - 316</t>
  </si>
  <si>
    <t xml:space="preserve">    Locação de Andaimes  - 328</t>
  </si>
  <si>
    <t xml:space="preserve">    Locação de Máqs, Ferramentas e Equipamentos - </t>
  </si>
  <si>
    <t xml:space="preserve">    Manutenção de Equipamento - 394</t>
  </si>
  <si>
    <t xml:space="preserve">    Medicina Ocupacional e Assist médica - 3</t>
  </si>
  <si>
    <t xml:space="preserve">    Móveis Não Imobilizado - 364</t>
  </si>
  <si>
    <t xml:space="preserve">    Peças, Ferramentas e Acessórios - 361</t>
  </si>
  <si>
    <t xml:space="preserve">    Premios e Gratificacoes - 313</t>
  </si>
  <si>
    <t xml:space="preserve">    Salarios e Ordenados - 311</t>
  </si>
  <si>
    <t xml:space="preserve">    Serviços de Terceiros - 324</t>
  </si>
  <si>
    <t xml:space="preserve">    Seguro Riscos Execução de Serv. Trab.</t>
  </si>
  <si>
    <t xml:space="preserve">    Uniformes - 425</t>
  </si>
  <si>
    <t xml:space="preserve">    Vale Transporte e Condução - 321</t>
  </si>
  <si>
    <t xml:space="preserve">    13º Salario - 314</t>
  </si>
  <si>
    <t xml:space="preserve">    Custos Total...</t>
  </si>
  <si>
    <t xml:space="preserve"> = Lucro/Prejuízo  Bruto</t>
  </si>
  <si>
    <t>(-) IRPJ e CSLL -    (1,22% s/faturamento)</t>
  </si>
  <si>
    <t xml:space="preserve">LUCRO/PREJUIZO -  LIQUIDO DA OBRA -  259 - </t>
  </si>
  <si>
    <t>NÚMERO DE FUNCIONÁRIOS - FINAL DO MÊS</t>
  </si>
  <si>
    <t>Elaborado: INOV SOLUÇÃO EMPRESARIAL E CONTÁBIL LTDA</t>
  </si>
  <si>
    <t>DEPTO TÉCNICO</t>
  </si>
  <si>
    <t>RECEITA BRUTA</t>
  </si>
  <si>
    <t xml:space="preserve">    Servicos prestados - mercado interno - 2</t>
  </si>
  <si>
    <t xml:space="preserve">    Locações</t>
  </si>
  <si>
    <t xml:space="preserve">    Indenizacoes e Aviso Previo - 318</t>
  </si>
  <si>
    <t xml:space="preserve">    Contribuição Médica Assistencial - 400</t>
  </si>
  <si>
    <t xml:space="preserve">    Indenizações Trabalhistas Judiciais - 36</t>
  </si>
  <si>
    <t xml:space="preserve">    Seguro de Vida e Previdência - 496</t>
  </si>
  <si>
    <t xml:space="preserve">    Material de Expediente - 372</t>
  </si>
  <si>
    <t xml:space="preserve">    Taxas Conselhos Profissionais - 859</t>
  </si>
  <si>
    <t xml:space="preserve">    Seguro Riscos Execução de Serviços - 201</t>
  </si>
  <si>
    <t xml:space="preserve">    Locação de Maqs, Ferramentas e Equipamen</t>
  </si>
  <si>
    <t xml:space="preserve">    Seguro de Veículos - 855</t>
  </si>
  <si>
    <t xml:space="preserve"> = Lucro Bruto</t>
  </si>
  <si>
    <t xml:space="preserve"> = Lucro Contábil Operacional</t>
  </si>
  <si>
    <t xml:space="preserve"> = Lucro Antes da Contribuição Social</t>
  </si>
  <si>
    <t xml:space="preserve"> = Lucro Antes do Imposto de Renda</t>
  </si>
  <si>
    <t xml:space="preserve"> = Lucro</t>
  </si>
  <si>
    <t>BOA NOVA</t>
  </si>
  <si>
    <t>(-) Impostos s/ Serviços  - (13,15% s/ Faturamento)</t>
  </si>
  <si>
    <r>
      <t xml:space="preserve">Total Desp Administrativas/Técnico - </t>
    </r>
    <r>
      <rPr>
        <b/>
        <sz val="8"/>
        <color indexed="8"/>
        <rFont val="Arial"/>
        <family val="2"/>
      </rPr>
      <t>( 5,56% Taxa Adm. Prevista)</t>
    </r>
  </si>
  <si>
    <r>
      <t>Total Despesas Financeiras -</t>
    </r>
    <r>
      <rPr>
        <b/>
        <sz val="9"/>
        <color indexed="8"/>
        <rFont val="Arial"/>
        <family val="2"/>
      </rPr>
      <t>( 0,01% s/ Custo de Obras-média)</t>
    </r>
  </si>
  <si>
    <t xml:space="preserve">    Manutenção de Veículos - 510</t>
  </si>
  <si>
    <t xml:space="preserve">                                        RESULTADO DE TODAS AS OBRAS</t>
  </si>
  <si>
    <t>Jan a Fev/2022</t>
  </si>
  <si>
    <t>BELA NOVA</t>
  </si>
  <si>
    <t>Set a Dez/2021</t>
  </si>
  <si>
    <t xml:space="preserve">LUCRO/PREJUIZO -  LIQUIDO DA OBRA -  265 - </t>
  </si>
  <si>
    <t>DEMONSTRAÇÃO DO RESULTADO APURADO</t>
  </si>
  <si>
    <t>OBRA 274 - INFINITY IBM - EZTEC</t>
  </si>
  <si>
    <t>OBRA EM ANDAMENTO</t>
  </si>
  <si>
    <t>NÚMERO DE FUNCIONÁRIO ADM</t>
  </si>
  <si>
    <t>TOTAL</t>
  </si>
  <si>
    <t>NÚMERO DE FUNCIONÁRIO OBRA</t>
  </si>
  <si>
    <t>BELA NOVA CONSTRUTORA EIRELI</t>
  </si>
  <si>
    <t xml:space="preserve">LUCRO/PREJUIZO -  LIQUIDO DA OBRA -  267 - </t>
  </si>
  <si>
    <t>OBRA 267 - SIGNATURE - EZTEC</t>
  </si>
  <si>
    <t>OBRA 268 - EREDITA - EZTEC</t>
  </si>
  <si>
    <t>OBRA 275 - FIT CASA JB - EZTEC</t>
  </si>
  <si>
    <t xml:space="preserve">LUCRO/PREJUIZO -  LIQUIDO DA OBRA -  275 - </t>
  </si>
  <si>
    <t xml:space="preserve">LUCRO/PREJUIZO -  LIQUIDO DA OBRA -  268 - </t>
  </si>
  <si>
    <t xml:space="preserve">LUCRO/PREJUIZO -  LIQUIDO DA OBRA -  274 - </t>
  </si>
  <si>
    <t xml:space="preserve">LUCRO/PREJUIZO -  LIQUIDO DA OBRA -  277 - </t>
  </si>
  <si>
    <t>OBRA - DEMAIS OBRAS</t>
  </si>
  <si>
    <t xml:space="preserve">LUCRO/PREJUIZO -  LIQUIDO DA OBRA -  DEMAIS OBRAS - </t>
  </si>
  <si>
    <t>OBRA 279 - GROENLANDIA - ADOLPHO LINDENBERG</t>
  </si>
  <si>
    <t>Jan a Dez/2022</t>
  </si>
  <si>
    <t>Abr a Dez/2022</t>
  </si>
  <si>
    <t>Out a Dez/2022</t>
  </si>
  <si>
    <t>Agos a Dez/2022</t>
  </si>
  <si>
    <t xml:space="preserve">LUCRO/PREJUIZO -  LIQUIDO DA OBRA -  280 - </t>
  </si>
  <si>
    <t xml:space="preserve">LUCRO/PREJUIZO -  LIQUIDO DA OBRA -  279 - </t>
  </si>
  <si>
    <t>NÚMERO DE FUNCIONÁRIO DEPTO TECNICO</t>
  </si>
  <si>
    <t xml:space="preserve">    Serviços de Terceiros</t>
  </si>
  <si>
    <t xml:space="preserve">LUCRO/PREJUIZO -  LIQUIDO DA OBRA -  281 - </t>
  </si>
  <si>
    <t xml:space="preserve">LUCRO/PREJUIZO -  LIQUIDO DA OBRA -  251 - </t>
  </si>
  <si>
    <t>OBRA 280 - MONDO - EXTO</t>
  </si>
  <si>
    <t xml:space="preserve">LUCRO/PREJUIZO -  LIQUIDO DA OBRA -  282 - </t>
  </si>
  <si>
    <t xml:space="preserve">LUCRO/PREJUIZO -  LIQUIDO DA OBRA -  284 - </t>
  </si>
  <si>
    <t xml:space="preserve">    Cursos e treinamentos - 849</t>
  </si>
  <si>
    <t xml:space="preserve">    Cursos e treinamentos</t>
  </si>
  <si>
    <t>OBRA 265 - EPIC - PATRIANI</t>
  </si>
  <si>
    <t xml:space="preserve">LUCRO/PREJUIZO -  LIQUIDO DA OBRA -  285 - </t>
  </si>
  <si>
    <t xml:space="preserve">LUCRO/PREJUIZO -  LIQUIDO DA OBRA -  287 - </t>
  </si>
  <si>
    <t xml:space="preserve">LUCRO/PREJUIZO -  LIQUIDO DA OBRA -  270 - </t>
  </si>
  <si>
    <t xml:space="preserve">LUCRO/PREJUIZO -  LIQUIDO DA OBRA -  269 - </t>
  </si>
  <si>
    <t>OBRA 288 - LASAR CHACARA KLABIN - LIBERCON</t>
  </si>
  <si>
    <t xml:space="preserve">LUCRO/PREJUIZO -  LIQUIDO DA OBRA -  288 - </t>
  </si>
  <si>
    <t xml:space="preserve"> DEMONSTRAÇÃO DO RESULTADO APURADO</t>
  </si>
  <si>
    <t>OBRA 259 - ORION PATRIANI - PATRIANI</t>
  </si>
  <si>
    <t>Total Desp Administrativas/Técnico - ( 5,56% Taxa Adm. Prevista)</t>
  </si>
  <si>
    <t>Total Despesas Financeiras -( 0,01% s/ Custo de Obras-média)</t>
  </si>
  <si>
    <t xml:space="preserve">  OBRA ENCERRADA</t>
  </si>
  <si>
    <t xml:space="preserve">LUCRO/PREJUIZO -  LIQUIDO DA OBRA -  286 - </t>
  </si>
  <si>
    <t xml:space="preserve">LUCRO/PREJUIZO -  LIQUIDO DA OBRA -  289 - </t>
  </si>
  <si>
    <t xml:space="preserve">LUCRO/PREJUIZO -  LIQUIDO DA OBRA -  283 - </t>
  </si>
  <si>
    <t xml:space="preserve">LUCRO/PREJUIZO -  LIQUIDO DA OBRA -  290 - </t>
  </si>
  <si>
    <t xml:space="preserve">    Confraternização de Funcionários</t>
  </si>
  <si>
    <t xml:space="preserve">LUCRO/PREJUIZO -  LIQUIDO DA OBRA -  291 - </t>
  </si>
  <si>
    <t>Março a Dez/23</t>
  </si>
  <si>
    <t>Janeiro/2024</t>
  </si>
  <si>
    <t>Fevereiro/2024</t>
  </si>
  <si>
    <t>Março/2024</t>
  </si>
  <si>
    <t>Abril/2024</t>
  </si>
  <si>
    <t>Maio/2024</t>
  </si>
  <si>
    <t>Jan a Dez/2023</t>
  </si>
  <si>
    <t>Junho/2024</t>
  </si>
  <si>
    <t>Julho/2024</t>
  </si>
  <si>
    <t>Agosto/2024</t>
  </si>
  <si>
    <t>Setembro/2024</t>
  </si>
  <si>
    <t>Outubro/2024</t>
  </si>
  <si>
    <t>Novembro/2024</t>
  </si>
  <si>
    <t>Dezembro/2024</t>
  </si>
  <si>
    <t>Jan a Dez/23</t>
  </si>
  <si>
    <t>Ago a Dez/2023</t>
  </si>
  <si>
    <t>Agos a Dez/2023</t>
  </si>
  <si>
    <t>Mar a Dez/2023</t>
  </si>
  <si>
    <t>Abril a Dez/2023</t>
  </si>
  <si>
    <t>Julho a Dez/2023</t>
  </si>
  <si>
    <t>Maio a Dez/2023</t>
  </si>
  <si>
    <t>Set a Dez/2023</t>
  </si>
  <si>
    <t>Nov a Dez/2023</t>
  </si>
  <si>
    <t xml:space="preserve">LUCRO/PREJUIZO -  LIQUIDO DA OBRA -  </t>
  </si>
  <si>
    <t>FÉRIAS</t>
  </si>
  <si>
    <t xml:space="preserve">LUCRO/PREJUIZO -  LIQUIDO DA OBRA -  292 - </t>
  </si>
  <si>
    <t xml:space="preserve">LUCRO/PREJUIZO -  LIQUIDO DA OBRA -  293 - </t>
  </si>
  <si>
    <t>fev. obra aurea (bico)</t>
  </si>
  <si>
    <t>jan e fev- 266 obra encerrada</t>
  </si>
  <si>
    <t xml:space="preserve">LUCRO/PREJUIZO -  LIQUIDO DA OBRA -  294 - </t>
  </si>
  <si>
    <t>AFASTADO</t>
  </si>
  <si>
    <t>Geraldo Silvino</t>
  </si>
  <si>
    <t xml:space="preserve">                                              DEMONSTRAÇÃO DO RESULTADO APURADO  </t>
  </si>
  <si>
    <t xml:space="preserve">                                              OBRA 269 - V.B FARIA LIMA - BUENO NETO</t>
  </si>
  <si>
    <t xml:space="preserve">              BELA NOVA CONSTRUTORA LTDA</t>
  </si>
  <si>
    <t>BELA NOVA CONSTRUTORA LTDA</t>
  </si>
  <si>
    <t>mar obra aurea e barille (bico)</t>
  </si>
  <si>
    <t xml:space="preserve">LUCRO/PREJUIZO -  LIQUIDO DA OBRA -  296 - </t>
  </si>
  <si>
    <t xml:space="preserve">LUCRO/PREJUIZO -  LIQUIDO DA OBRA -  295 - </t>
  </si>
  <si>
    <t xml:space="preserve">LUCRO/PREJUIZO -  LIQUIDO DA OBRA -  297 - </t>
  </si>
  <si>
    <t xml:space="preserve">                           DEMONSTRAÇÃO DO RESULTADO APURADO</t>
  </si>
  <si>
    <t xml:space="preserve">                 DEMONSTRAÇÃO DO RESULTADO APURADO</t>
  </si>
  <si>
    <t xml:space="preserve">            OBRA 285 - MODO BUTANTA - EVEN</t>
  </si>
  <si>
    <t>OBRA 290 - TOURMALINE - EZTEC</t>
  </si>
  <si>
    <t xml:space="preserve">         DEMONSTRAÇÃO DO RESULTADO APURADO</t>
  </si>
  <si>
    <t xml:space="preserve">      OBRA 294 - UPPER WEST - EXTO</t>
  </si>
  <si>
    <t xml:space="preserve">              OBRA 277 - DREAM VIEW - EZTEC</t>
  </si>
  <si>
    <t xml:space="preserve">                 BELA NOVA CONSTRUTORA LTDA</t>
  </si>
  <si>
    <t xml:space="preserve">Verificar as obras 283 e 290 sempre juntas </t>
  </si>
  <si>
    <t xml:space="preserve">FÉRIAS </t>
  </si>
  <si>
    <t>JOSÉ GUIA DE MENESES</t>
  </si>
  <si>
    <t xml:space="preserve">        OBRA ENCERRADA</t>
  </si>
  <si>
    <t xml:space="preserve">                                                                                OBRA ENCERRADA</t>
  </si>
  <si>
    <t>OBRA ENCERRADA</t>
  </si>
  <si>
    <t xml:space="preserve">LUCRO/PREJUIZO -  LIQUIDO DA OBRA -  299 - </t>
  </si>
  <si>
    <t xml:space="preserve">                            OBRA EM ANDAMENTO</t>
  </si>
  <si>
    <t xml:space="preserve">                              OBRA 287 - ARKADIO - EZTEC</t>
  </si>
  <si>
    <t xml:space="preserve">                  DEMONSTRAÇÃO DO RESULTADO APURADO</t>
  </si>
  <si>
    <t xml:space="preserve">                OBRA 289 - VB STAR CONCEIÇÃO - BUENO NETO</t>
  </si>
  <si>
    <t xml:space="preserve">              DEMONSTRAÇÃO DO RESULTADO APURADO</t>
  </si>
  <si>
    <t xml:space="preserve">                  OBRA 291 - EXPRESSION/EXALT - EZTEC</t>
  </si>
  <si>
    <t xml:space="preserve">                 OBRA EM ANDAMENTO</t>
  </si>
  <si>
    <t xml:space="preserve">                DEMONSTRAÇÃO DO RESULTADO APURADO</t>
  </si>
  <si>
    <t xml:space="preserve">                     OBRA 292 - SELENZA - ACMR</t>
  </si>
  <si>
    <t xml:space="preserve">                                                                     OBRA 297 - LUMIERE - LAVVI</t>
  </si>
  <si>
    <t>FÉRIAS - LUIS AMANCIO SILVA BASTOS</t>
  </si>
  <si>
    <t xml:space="preserve">LUCRO/PREJUIZO -  LIQUIDO DA OBRA -  300 - </t>
  </si>
  <si>
    <t xml:space="preserve">LUCRO/PREJUIZO -  LIQUIDO DA OBRA -  298 - </t>
  </si>
  <si>
    <t xml:space="preserve">               OBRA ENCERRADA</t>
  </si>
  <si>
    <t xml:space="preserve">    Despesas com Radio e Telefonia Celular</t>
  </si>
  <si>
    <t xml:space="preserve">           DEMONSTRAÇÃO DO RESULTADO APURADO</t>
  </si>
  <si>
    <t xml:space="preserve"> </t>
  </si>
  <si>
    <t xml:space="preserve">                                                      OBRA 281 - SPETTACOLO - PATRIANI</t>
  </si>
  <si>
    <t xml:space="preserve">                                                       DEMONSTRAÇÃO DO RESULTADO APURADO</t>
  </si>
  <si>
    <t xml:space="preserve">                                                                  DEMONSTRAÇÃO DO RESULTADO APURADO</t>
  </si>
  <si>
    <t xml:space="preserve">                                                                      OBRA 282 - MORIAH - PATRIANI</t>
  </si>
  <si>
    <t xml:space="preserve">                                                   DEMONSTRAÇÃO DO RESULTADO APURADO</t>
  </si>
  <si>
    <t xml:space="preserve">                                         DEMONSTRAÇÃO DO RESULTADO APURADO</t>
  </si>
  <si>
    <t xml:space="preserve">                                       OBRA 283 - EMERALD (BANDEIRANTES) - EZTEC</t>
  </si>
  <si>
    <t xml:space="preserve">                                                        DEMONSTRAÇÃO DO RESULTADO APURADO</t>
  </si>
  <si>
    <t xml:space="preserve">                                                         OBRA 284 - MIRAI CAMPESTRE - PATRIANI</t>
  </si>
  <si>
    <t xml:space="preserve">                                            DEMONSTRAÇÃO DO RESULTADO APURADO</t>
  </si>
  <si>
    <t xml:space="preserve">                                                      OBRA 293 - UPPER EAST - EXTO</t>
  </si>
  <si>
    <t xml:space="preserve">           OBRA 295 - LAMP EXTO - EXTO</t>
  </si>
  <si>
    <t>OBS: A partir de Set/24, solicitado considerar "demais obras"</t>
  </si>
  <si>
    <t>OBRA 270 - PÇ LINDENBERG C. MONZA - ADOLPHO LINDENBERG</t>
  </si>
  <si>
    <t xml:space="preserve">LUCRO/PREJUIZO -  LIQUIDO DA OBRA -  301 - </t>
  </si>
  <si>
    <t xml:space="preserve">LUCRO/PREJUIZO -  LIQUIDO DA OBRA -  302 - </t>
  </si>
  <si>
    <t xml:space="preserve">LUCRO/PREJUIZO -  LIQUIDO DA OBRA -  303 - </t>
  </si>
  <si>
    <t xml:space="preserve">LUCRO/PREJUIZO -  LIQUIDO DA OBRA -  304 - </t>
  </si>
  <si>
    <t xml:space="preserve">                                                    DEMONSTRAÇÃO DO RESULTADO APURADO</t>
  </si>
  <si>
    <t xml:space="preserve">LUCRO/PREJUIZO -  LIQUIDO DA OBRA -  306 - </t>
  </si>
  <si>
    <t>Jan a Dez/24</t>
  </si>
  <si>
    <t>Janeiro/2025</t>
  </si>
  <si>
    <t>Fevereiro/2025</t>
  </si>
  <si>
    <t>Março/2025</t>
  </si>
  <si>
    <t>Abril/2025</t>
  </si>
  <si>
    <t>Maio/2025</t>
  </si>
  <si>
    <t>Junho/2025</t>
  </si>
  <si>
    <t>Julho/2025</t>
  </si>
  <si>
    <t>Agosto/2025</t>
  </si>
  <si>
    <t>Setembro/2025</t>
  </si>
  <si>
    <t>Outubro/2025</t>
  </si>
  <si>
    <t>Novembro/2025</t>
  </si>
  <si>
    <t>Dezembro/2025</t>
  </si>
  <si>
    <t>Jan a Dez/2024</t>
  </si>
  <si>
    <t>Julho a Dez/2024</t>
  </si>
  <si>
    <t>Set a Dez/2024</t>
  </si>
  <si>
    <t>Março a Dez/2024</t>
  </si>
  <si>
    <t>Dezembro/2026</t>
  </si>
  <si>
    <t>Dezembro/2027</t>
  </si>
  <si>
    <t>Dezembro/2028</t>
  </si>
  <si>
    <t>Janeiro 2025</t>
  </si>
  <si>
    <t>Junho a Dez/2024</t>
  </si>
  <si>
    <t>Out a Dez/2024</t>
  </si>
  <si>
    <t xml:space="preserve">LUCRO/PREJUIZO -  LIQUIDO DA OBRA -  307 - </t>
  </si>
  <si>
    <t>Maio a Dez/2024</t>
  </si>
  <si>
    <t>310/01/2025</t>
  </si>
  <si>
    <t xml:space="preserve">                   OBRA EM ANDAMENTO</t>
  </si>
  <si>
    <t xml:space="preserve">            DEMONSTRAÇÃO DO RESULTADO APURADO</t>
  </si>
  <si>
    <t xml:space="preserve">                                                     OBRA 286 - HAUTE HUB BROOKLIN - EZTEC</t>
  </si>
  <si>
    <t>10/2024 - NF 399</t>
  </si>
  <si>
    <t>11/2024 - NF 408</t>
  </si>
  <si>
    <t>12/2024 - NF 419 E 420</t>
  </si>
  <si>
    <t>01/2025 - NF 431</t>
  </si>
  <si>
    <t>O faturamento de 10, 11 e 12/2024 e 01/2025, na nota foi informado errado como obra 302, feito carta de correção para obra 303</t>
  </si>
  <si>
    <t>Fevereiro 2025</t>
  </si>
  <si>
    <t xml:space="preserve">LUCRO/PREJUIZO -  LIQUIDO DA OBRA -  305 - </t>
  </si>
  <si>
    <t>Março 2025</t>
  </si>
  <si>
    <t xml:space="preserve">LUCRO/PREJUIZO -  LIQUIDO DA OBRA -  308 - </t>
  </si>
  <si>
    <t xml:space="preserve">LUCRO/PREJUIZO -  LIQUIDO DA OBRA -  309 - </t>
  </si>
  <si>
    <t>Abril 2025</t>
  </si>
  <si>
    <t>Maio 2025</t>
  </si>
  <si>
    <t>Junho 2025</t>
  </si>
  <si>
    <t xml:space="preserve">                                                                OBRA ENCERRADA</t>
  </si>
  <si>
    <t xml:space="preserve">                                                                             OBRA ENCERRADA</t>
  </si>
  <si>
    <t xml:space="preserve">                                                                              OBRA ENCERRADA</t>
  </si>
  <si>
    <t xml:space="preserve">                               OBRA ENCERRADA</t>
  </si>
  <si>
    <t xml:space="preserve">                                                                          OBRA ENCERRADA </t>
  </si>
  <si>
    <t xml:space="preserve">                        DEMONSTRAÇÃO DO RESULTADO APURADO</t>
  </si>
  <si>
    <t xml:space="preserve">                                   OBRA 307 - EAST BLUE  - EZTEC</t>
  </si>
  <si>
    <t xml:space="preserve">                                  OBRA EM ANDAMENTO</t>
  </si>
  <si>
    <t>Julho 2025</t>
  </si>
  <si>
    <t>Agosto 2025</t>
  </si>
  <si>
    <t>Setembro 2025</t>
  </si>
  <si>
    <t>Outubro 2025</t>
  </si>
  <si>
    <t>Novembro 2025</t>
  </si>
  <si>
    <t>Dezembro 2025</t>
  </si>
  <si>
    <t>FATURAMENTO</t>
  </si>
  <si>
    <t>LUCRO OU PREJUIZO</t>
  </si>
  <si>
    <t xml:space="preserve">                     OBRA ENCERRADA</t>
  </si>
  <si>
    <t xml:space="preserve">            OBRA ENCERRADA</t>
  </si>
  <si>
    <t xml:space="preserve">LUCRO/PREJUIZO -  LIQUIDO DA OBRA -  310 - </t>
  </si>
  <si>
    <t xml:space="preserve">                               DEMONSTRAÇÃO DO RESULTADO APURADO</t>
  </si>
  <si>
    <t xml:space="preserve">                       OBRA 296 - TERRARO - EXTO</t>
  </si>
  <si>
    <t xml:space="preserve">                                                                                                                                DEMONSTRAÇÃO DO RESULTADO APURADO</t>
  </si>
  <si>
    <t xml:space="preserve">                                                                                                                                              OBRA 302 - VITRALI - LAVVI</t>
  </si>
  <si>
    <t xml:space="preserve">                                                  OBRA ENCERRADA</t>
  </si>
  <si>
    <t xml:space="preserve">LUCRO/PREJUIZO -  LIQUIDO DA OBRA -  311 - </t>
  </si>
  <si>
    <t xml:space="preserve">LUCRO/PREJUIZO -  LIQUIDO DA OBRA -  312 - </t>
  </si>
  <si>
    <t xml:space="preserve">    Provisão 13º Salario - 314</t>
  </si>
  <si>
    <t xml:space="preserve">   Provisão 13º Salario - 314</t>
  </si>
  <si>
    <t xml:space="preserve">                                                                DEMONSTRAÇÃO DO RESULTADO APURADO</t>
  </si>
  <si>
    <t xml:space="preserve">                                                  OBRA 299 - BLUE HOME - EXTO</t>
  </si>
  <si>
    <t>,</t>
  </si>
  <si>
    <t xml:space="preserve">                              DEMONSTRAÇÃO DO RESULTADO APURADO</t>
  </si>
  <si>
    <t xml:space="preserve">                          OBRA 302 - VITRALI - LAVVI</t>
  </si>
  <si>
    <t xml:space="preserve">                                                     OBRA EM ANDAMENTO                   </t>
  </si>
  <si>
    <t xml:space="preserve">                                                                                                                                               DEMONSTRAÇÃO DO RESULTADO APURADO</t>
  </si>
  <si>
    <t xml:space="preserve">                                                                                                                                                         OBRA 309 - ALTIER  - PLAENGER</t>
  </si>
  <si>
    <t xml:space="preserve">            OBRA 310 - THINK HOME APIACAS LTDA  - THINK</t>
  </si>
  <si>
    <t xml:space="preserve">                  OBRA EM ANDAMENTO</t>
  </si>
  <si>
    <t xml:space="preserve">  DEMONSTRAÇÃO DO RESULTADO APURADO</t>
  </si>
  <si>
    <t xml:space="preserve"> OBRA 311 - EXCELLENGE  - EXTO</t>
  </si>
  <si>
    <t xml:space="preserve"> OBRA EM ANDAMENTO</t>
  </si>
  <si>
    <t xml:space="preserve">    OBRA 312 - ALIVE  - LAVVI</t>
  </si>
  <si>
    <t xml:space="preserve">      OBRA EM ANDAMENTO</t>
  </si>
  <si>
    <t xml:space="preserve">                                                  OBRA FINALIZADA</t>
  </si>
  <si>
    <t xml:space="preserve">                                                                                                                                                                OBRA ENCERRADA</t>
  </si>
  <si>
    <t xml:space="preserve">LUCRO/PREJUIZO -  LIQUIDO DA OBRA -  316 - </t>
  </si>
  <si>
    <t xml:space="preserve">LUCRO/PREJUIZO -  LIQUIDO DA OBRA -  315 - </t>
  </si>
  <si>
    <t xml:space="preserve">    OBRA 317 - EPSON ENGENHARIA  - LOOMI</t>
  </si>
  <si>
    <t xml:space="preserve">LUCRO/PREJUIZO -  LIQUIDO DA OBRA -  317 - </t>
  </si>
  <si>
    <t xml:space="preserve">    OBRA 316 - EXCELLENGE PERDIZES - EXTO BLUE EMPREENDIMENTOS IMOB SPE LTDA  - EXTO</t>
  </si>
  <si>
    <t xml:space="preserve">    OBRA 313- NOVVO BRAS PIRATININGA  - LAVVI</t>
  </si>
  <si>
    <t xml:space="preserve">LUCRO/PREJUIZO -  LIQUIDO DA OBRA -  313 - </t>
  </si>
  <si>
    <t xml:space="preserve">    OBRA 315 - PALACE - VISON EMPREENDIMENTO IMOB LTDA  - LAVVI</t>
  </si>
  <si>
    <t>Jan a Dez/2025</t>
  </si>
  <si>
    <t>Janeiro/2026</t>
  </si>
  <si>
    <t>Fevereiro/2026</t>
  </si>
  <si>
    <t>Março/2026</t>
  </si>
  <si>
    <t>Abril/2026</t>
  </si>
  <si>
    <t>Maio/2026</t>
  </si>
  <si>
    <t>Junho/2026</t>
  </si>
  <si>
    <t>Julho/2026</t>
  </si>
  <si>
    <t>Agosto/2026</t>
  </si>
  <si>
    <t>Setembro/2026</t>
  </si>
  <si>
    <t>Outubro/2026</t>
  </si>
  <si>
    <t>Novembro/2026</t>
  </si>
  <si>
    <t>Fev a Dez/2025</t>
  </si>
  <si>
    <t>Julho a Dez/2025</t>
  </si>
  <si>
    <t>Agosto a Dez/2025</t>
  </si>
  <si>
    <t>Out a Dez/2025</t>
  </si>
  <si>
    <t>Nov a Dez/2025</t>
  </si>
  <si>
    <t xml:space="preserve">    OBRA 314- MARQUISE MIRAD  - EXEMPLAR</t>
  </si>
  <si>
    <t xml:space="preserve">LUCRO/PREJUIZO -  LIQUIDO DA OBRA -  314 - </t>
  </si>
  <si>
    <t xml:space="preserve">                                                     DEMONSTRAÇÃO DO RESULTADO APURADO</t>
  </si>
  <si>
    <t xml:space="preserve">          OBRA 251 - ESTHER TOWERS - EZTEC</t>
  </si>
  <si>
    <t xml:space="preserve">                                                        BELA NOVA CONSTRUTORA LTDA</t>
  </si>
  <si>
    <t xml:space="preserve">                     OBRA EM ANDAMENTO</t>
  </si>
  <si>
    <t xml:space="preserve">                                                                          OBRA 300 - LEDGE - EXTO</t>
  </si>
  <si>
    <t xml:space="preserve">                                                                           OBRA EM ANDAMENTO</t>
  </si>
  <si>
    <t xml:space="preserve">                                                                       OBRA EM ANDAMENTO</t>
  </si>
  <si>
    <t xml:space="preserve">                                                       OBRA 303 - VIRGILIO DE CARVALHO - THINK</t>
  </si>
  <si>
    <t xml:space="preserve">                                                                     DEMONSTRAÇÃO DO RESULTADO APURADO</t>
  </si>
  <si>
    <t xml:space="preserve">                                                                                 OBRA 304 - SQUARE - LAVVI</t>
  </si>
  <si>
    <t xml:space="preserve">                                                                                      OBRA EM ANDAMENTO</t>
  </si>
  <si>
    <t xml:space="preserve">                                                              DEMONSTRAÇÃO DO RESULTADO APURADO</t>
  </si>
  <si>
    <t xml:space="preserve">                                                                   OBRA 306 - SÃO GUALTER - ADOLPHO</t>
  </si>
  <si>
    <t xml:space="preserve">                                                                              OBRA EM ANDAMENTO</t>
  </si>
  <si>
    <t xml:space="preserve">                                                          DEMONSTRAÇÃO DO RESULTADO APURADO</t>
  </si>
  <si>
    <t xml:space="preserve">                                                                       OBRA 308 - TANABI  - THINK         </t>
  </si>
  <si>
    <t xml:space="preserve">                                                                          OBRA EM ANDAMENTO</t>
  </si>
  <si>
    <t xml:space="preserve">                                                       OBRA ENCERRADA</t>
  </si>
  <si>
    <t xml:space="preserve">                 OBRA ENCERRADA</t>
  </si>
  <si>
    <t xml:space="preserve">                                                         OBRA ENCERRADA</t>
  </si>
  <si>
    <t xml:space="preserve">    OBRA 318 - VISTA BROOKLIN - ADOLPHO</t>
  </si>
  <si>
    <t xml:space="preserve">LUCRO/PREJUIZO -  LIQUIDO DA OBRA -  318 - </t>
  </si>
  <si>
    <t xml:space="preserve">LUCRO/PREJUIZO -  LIQUIDO DA OBRA -  319 - </t>
  </si>
  <si>
    <t xml:space="preserve">    OBRA 319 - BOSQUE VILA NOVA - R YAZBEK</t>
  </si>
  <si>
    <t xml:space="preserve">                                                                                                          OBRA 298 - GALLERIA - LAVVI                    </t>
  </si>
  <si>
    <t xml:space="preserve">                                                                                                              OBRA EM ANDAMENTO</t>
  </si>
  <si>
    <t xml:space="preserve">                                                                           BELA NOVA CONSTRUTORA LTDA</t>
  </si>
  <si>
    <t xml:space="preserve">                                                                                               DEMONSTRAÇÃO DO RESULTADO APURADO</t>
  </si>
  <si>
    <t xml:space="preserve">    BELA NOVA CONSTRUTORA LTDA</t>
  </si>
  <si>
    <t xml:space="preserve">                                                                                                                       DEMONSTRAÇÃO DO RESULTADO APURADO</t>
  </si>
  <si>
    <t xml:space="preserve">                                                                                                                                  OBRA 301 - JOTA - ADOLPHO</t>
  </si>
  <si>
    <t xml:space="preserve">                                                                                                                                       OBRA EM ANDAMENTO</t>
  </si>
  <si>
    <t xml:space="preserve">                                                                                                                                            OBRA 305 - SAFFIRE  - LAVVI</t>
  </si>
  <si>
    <t xml:space="preserve">                                                                                                                                                    OBRA EM ANDAMENTO</t>
  </si>
  <si>
    <t>DEMONSTRAÇÃO DO RESULTADO APURADO - JUNHO/2026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</si>
</sst>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#,###,##0.00;\(#,###,###,##0.00\)"/>
  </numFmts>
  <fonts count="22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b/>
      <sz val="12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indexed="8"/>
      <name val="Arial"/>
      <family val="2"/>
    </font>
    <font>
      <b/>
      <sz val="7"/>
      <color indexed="8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219">
    <xf numFmtId="0" fontId="0" fillId="0" borderId="0" xfId="0"/>
    <xf numFmtId="0" fontId="8" fillId="0" borderId="0" xfId="0" applyFont="1" applyAlignment="1">
      <alignment horizont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2" borderId="5" xfId="0" applyFont="1" applyFill="1" applyBorder="1" applyAlignment="1">
      <alignment vertical="top"/>
    </xf>
    <xf numFmtId="164" fontId="1" fillId="2" borderId="5" xfId="0" applyNumberFormat="1" applyFont="1" applyFill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4" borderId="5" xfId="0" applyFont="1" applyFill="1" applyBorder="1" applyAlignment="1">
      <alignment vertical="top"/>
    </xf>
    <xf numFmtId="164" fontId="1" fillId="4" borderId="5" xfId="0" applyNumberFormat="1" applyFont="1" applyFill="1" applyBorder="1" applyAlignment="1">
      <alignment vertical="top"/>
    </xf>
    <xf numFmtId="0" fontId="3" fillId="0" borderId="0" xfId="0" applyFont="1"/>
    <xf numFmtId="0" fontId="8" fillId="0" borderId="0" xfId="0" applyFont="1"/>
    <xf numFmtId="0" fontId="5" fillId="0" borderId="6" xfId="0" applyFont="1" applyBorder="1" applyAlignment="1">
      <alignment vertical="top"/>
    </xf>
    <xf numFmtId="0" fontId="4" fillId="0" borderId="7" xfId="0" applyFont="1" applyBorder="1" applyAlignment="1">
      <alignment horizontal="center" vertical="top"/>
    </xf>
    <xf numFmtId="0" fontId="6" fillId="0" borderId="7" xfId="0" applyFont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5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44" fontId="5" fillId="0" borderId="9" xfId="0" applyNumberFormat="1" applyFont="1" applyBorder="1" applyAlignment="1">
      <alignment vertical="top"/>
    </xf>
    <xf numFmtId="44" fontId="4" fillId="0" borderId="9" xfId="0" applyNumberFormat="1" applyFont="1" applyBorder="1" applyAlignment="1">
      <alignment vertical="top"/>
    </xf>
    <xf numFmtId="10" fontId="6" fillId="7" borderId="7" xfId="0" applyNumberFormat="1" applyFont="1" applyFill="1" applyBorder="1" applyAlignment="1">
      <alignment horizontal="center" vertical="top"/>
    </xf>
    <xf numFmtId="44" fontId="4" fillId="2" borderId="9" xfId="0" applyNumberFormat="1" applyFont="1" applyFill="1" applyBorder="1" applyAlignment="1">
      <alignment vertical="top"/>
    </xf>
    <xf numFmtId="0" fontId="4" fillId="8" borderId="7" xfId="0" applyFont="1" applyFill="1" applyBorder="1" applyAlignment="1">
      <alignment vertical="top"/>
    </xf>
    <xf numFmtId="44" fontId="4" fillId="8" borderId="9" xfId="0" applyNumberFormat="1" applyFont="1" applyFill="1" applyBorder="1" applyAlignment="1">
      <alignment vertical="top"/>
    </xf>
    <xf numFmtId="0" fontId="4" fillId="2" borderId="11" xfId="0" applyFont="1" applyFill="1" applyBorder="1" applyAlignment="1">
      <alignment vertical="top"/>
    </xf>
    <xf numFmtId="164" fontId="4" fillId="2" borderId="0" xfId="0" applyNumberFormat="1" applyFont="1" applyFill="1" applyAlignment="1">
      <alignment vertical="top"/>
    </xf>
    <xf numFmtId="0" fontId="5" fillId="0" borderId="12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5" fillId="0" borderId="7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44" fontId="5" fillId="2" borderId="15" xfId="0" applyNumberFormat="1" applyFont="1" applyFill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16" xfId="0" applyFont="1" applyFill="1" applyBorder="1" applyAlignment="1">
      <alignment vertical="top"/>
    </xf>
    <xf numFmtId="0" fontId="4" fillId="3" borderId="8" xfId="0" applyFont="1" applyFill="1" applyBorder="1" applyAlignment="1">
      <alignment vertical="top"/>
    </xf>
    <xf numFmtId="44" fontId="4" fillId="3" borderId="7" xfId="0" applyNumberFormat="1" applyFont="1" applyFill="1" applyBorder="1" applyAlignment="1">
      <alignment vertical="top"/>
    </xf>
    <xf numFmtId="0" fontId="4" fillId="2" borderId="17" xfId="0" applyFont="1" applyFill="1" applyBorder="1" applyAlignment="1">
      <alignment vertical="top"/>
    </xf>
    <xf numFmtId="164" fontId="4" fillId="2" borderId="12" xfId="0" applyNumberFormat="1" applyFont="1" applyFill="1" applyBorder="1" applyAlignment="1">
      <alignment vertical="top"/>
    </xf>
    <xf numFmtId="0" fontId="4" fillId="4" borderId="7" xfId="0" applyFont="1" applyFill="1" applyBorder="1" applyAlignment="1">
      <alignment vertical="top"/>
    </xf>
    <xf numFmtId="44" fontId="4" fillId="5" borderId="7" xfId="0" applyNumberFormat="1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44" fontId="4" fillId="2" borderId="0" xfId="0" applyNumberFormat="1" applyFont="1" applyFill="1" applyAlignment="1">
      <alignment vertical="top"/>
    </xf>
    <xf numFmtId="0" fontId="5" fillId="0" borderId="0" xfId="0" applyFont="1" applyAlignment="1">
      <alignment vertical="top"/>
    </xf>
    <xf numFmtId="0" fontId="3" fillId="0" borderId="12" xfId="0" applyFont="1" applyBorder="1" applyAlignment="1">
      <alignment vertical="top"/>
    </xf>
    <xf numFmtId="44" fontId="4" fillId="2" borderId="7" xfId="0" applyNumberFormat="1" applyFont="1" applyFill="1" applyBorder="1" applyAlignment="1">
      <alignment vertical="top"/>
    </xf>
    <xf numFmtId="44" fontId="4" fillId="0" borderId="0" xfId="0" applyNumberFormat="1" applyFont="1" applyAlignment="1">
      <alignment vertical="top"/>
    </xf>
    <xf numFmtId="44" fontId="5" fillId="0" borderId="0" xfId="0" applyNumberFormat="1" applyFont="1" applyAlignment="1">
      <alignment vertical="top"/>
    </xf>
    <xf numFmtId="0" fontId="4" fillId="0" borderId="7" xfId="0" applyFont="1" applyBorder="1" applyAlignment="1">
      <alignment vertical="top"/>
    </xf>
    <xf numFmtId="44" fontId="4" fillId="0" borderId="7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14" fontId="6" fillId="0" borderId="0" xfId="0" applyNumberFormat="1" applyFont="1" applyAlignment="1">
      <alignment vertical="top"/>
    </xf>
    <xf numFmtId="0" fontId="4" fillId="9" borderId="7" xfId="0" applyFont="1" applyFill="1" applyBorder="1" applyAlignment="1">
      <alignment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49" fontId="4" fillId="0" borderId="18" xfId="0" applyNumberFormat="1" applyFont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44" fontId="4" fillId="10" borderId="7" xfId="0" applyNumberFormat="1" applyFont="1" applyFill="1" applyBorder="1" applyAlignment="1">
      <alignment vertical="top"/>
    </xf>
    <xf numFmtId="0" fontId="4" fillId="0" borderId="0" xfId="0" applyFont="1" applyAlignment="1">
      <alignment horizontal="center" vertical="center"/>
    </xf>
    <xf numFmtId="49" fontId="4" fillId="0" borderId="7" xfId="0" applyNumberFormat="1" applyFont="1" applyBorder="1" applyAlignment="1">
      <alignment horizontal="center" vertical="top"/>
    </xf>
    <xf numFmtId="164" fontId="4" fillId="0" borderId="0" xfId="0" applyNumberFormat="1" applyFont="1" applyAlignment="1">
      <alignment vertical="top"/>
    </xf>
    <xf numFmtId="164" fontId="4" fillId="0" borderId="12" xfId="0" applyNumberFormat="1" applyFont="1" applyBorder="1" applyAlignment="1">
      <alignment vertical="top"/>
    </xf>
    <xf numFmtId="0" fontId="6" fillId="0" borderId="0" xfId="0" applyFont="1"/>
    <xf numFmtId="49" fontId="4" fillId="0" borderId="14" xfId="0" applyNumberFormat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44" fontId="4" fillId="12" borderId="9" xfId="0" applyNumberFormat="1" applyFont="1" applyFill="1" applyBorder="1" applyAlignment="1">
      <alignment vertical="top"/>
    </xf>
    <xf numFmtId="0" fontId="4" fillId="12" borderId="7" xfId="0" applyFont="1" applyFill="1" applyBorder="1" applyAlignment="1">
      <alignment vertical="top"/>
    </xf>
    <xf numFmtId="44" fontId="4" fillId="12" borderId="7" xfId="0" applyNumberFormat="1" applyFont="1" applyFill="1" applyBorder="1" applyAlignment="1">
      <alignment vertical="top"/>
    </xf>
    <xf numFmtId="44" fontId="3" fillId="0" borderId="0" xfId="0" applyNumberFormat="1" applyFont="1"/>
    <xf numFmtId="0" fontId="8" fillId="0" borderId="0" xfId="0" applyFont="1" applyAlignment="1">
      <alignment wrapText="1"/>
    </xf>
    <xf numFmtId="0" fontId="6" fillId="4" borderId="7" xfId="0" applyFont="1" applyFill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Border="1" applyAlignment="1">
      <alignment horizontal="center" vertical="top"/>
    </xf>
    <xf numFmtId="44" fontId="6" fillId="0" borderId="0" xfId="0" applyNumberFormat="1" applyFont="1" applyAlignment="1">
      <alignment vertical="top"/>
    </xf>
    <xf numFmtId="44" fontId="5" fillId="0" borderId="15" xfId="0" applyNumberFormat="1" applyFont="1" applyBorder="1" applyAlignment="1">
      <alignment vertical="top"/>
    </xf>
    <xf numFmtId="0" fontId="4" fillId="0" borderId="9" xfId="0" applyFont="1" applyBorder="1" applyAlignment="1">
      <alignment horizontal="center" vertical="top"/>
    </xf>
    <xf numFmtId="0" fontId="4" fillId="10" borderId="8" xfId="0" applyFont="1" applyFill="1" applyBorder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44" fontId="6" fillId="0" borderId="0" xfId="0" applyNumberFormat="1" applyFont="1" applyAlignment="1">
      <alignment horizontal="center" vertical="top"/>
    </xf>
    <xf numFmtId="14" fontId="6" fillId="0" borderId="0" xfId="0" applyNumberFormat="1" applyFont="1" applyAlignment="1">
      <alignment horizontal="left" vertical="top"/>
    </xf>
    <xf numFmtId="44" fontId="4" fillId="13" borderId="7" xfId="0" applyNumberFormat="1" applyFont="1" applyFill="1" applyBorder="1" applyAlignment="1">
      <alignment vertical="top"/>
    </xf>
    <xf numFmtId="4" fontId="0" fillId="0" borderId="0" xfId="0" applyNumberFormat="1"/>
    <xf numFmtId="0" fontId="13" fillId="0" borderId="0" xfId="0" applyFont="1"/>
    <xf numFmtId="0" fontId="9" fillId="0" borderId="7" xfId="0" applyFont="1" applyBorder="1" applyAlignment="1">
      <alignment vertical="top"/>
    </xf>
    <xf numFmtId="0" fontId="8" fillId="0" borderId="0" xfId="0" applyFont="1" applyAlignment="1">
      <alignment horizontal="center" wrapText="1"/>
    </xf>
    <xf numFmtId="14" fontId="0" fillId="0" borderId="0" xfId="0" applyNumberFormat="1"/>
    <xf numFmtId="0" fontId="4" fillId="14" borderId="0" xfId="0" applyFont="1" applyFill="1" applyAlignment="1">
      <alignment horizontal="center" vertical="top"/>
    </xf>
    <xf numFmtId="0" fontId="3" fillId="0" borderId="7" xfId="0" applyFont="1" applyBorder="1"/>
    <xf numFmtId="0" fontId="0" fillId="0" borderId="7" xfId="0" applyBorder="1"/>
    <xf numFmtId="44" fontId="4" fillId="10" borderId="13" xfId="0" applyNumberFormat="1" applyFont="1" applyFill="1" applyBorder="1" applyAlignment="1">
      <alignment vertical="top"/>
    </xf>
    <xf numFmtId="0" fontId="4" fillId="4" borderId="0" xfId="0" applyFont="1" applyFill="1" applyAlignment="1">
      <alignment horizontal="center" vertical="top"/>
    </xf>
    <xf numFmtId="0" fontId="6" fillId="4" borderId="0" xfId="0" applyFont="1" applyFill="1" applyAlignment="1">
      <alignment vertical="top"/>
    </xf>
    <xf numFmtId="44" fontId="4" fillId="5" borderId="13" xfId="0" applyNumberFormat="1" applyFont="1" applyFill="1" applyBorder="1" applyAlignment="1">
      <alignment vertical="top"/>
    </xf>
    <xf numFmtId="44" fontId="4" fillId="15" borderId="9" xfId="0" applyNumberFormat="1" applyFont="1" applyFill="1" applyBorder="1" applyAlignment="1">
      <alignment vertical="top"/>
    </xf>
    <xf numFmtId="44" fontId="0" fillId="0" borderId="0" xfId="0" applyNumberFormat="1"/>
    <xf numFmtId="44" fontId="6" fillId="0" borderId="0" xfId="0" applyNumberFormat="1" applyFont="1"/>
    <xf numFmtId="44" fontId="3" fillId="0" borderId="0" xfId="0" applyNumberFormat="1" applyFont="1" applyAlignment="1">
      <alignment vertical="top"/>
    </xf>
    <xf numFmtId="10" fontId="0" fillId="0" borderId="0" xfId="2" applyNumberFormat="1" applyFont="1"/>
    <xf numFmtId="44" fontId="4" fillId="0" borderId="0" xfId="0" applyNumberFormat="1" applyFont="1" applyAlignment="1">
      <alignment horizontal="center" vertical="top"/>
    </xf>
    <xf numFmtId="0" fontId="1" fillId="16" borderId="0" xfId="0" applyFont="1" applyFill="1"/>
    <xf numFmtId="0" fontId="6" fillId="4" borderId="0" xfId="0" applyFont="1" applyFill="1" applyAlignment="1">
      <alignment horizontal="center"/>
    </xf>
    <xf numFmtId="0" fontId="14" fillId="0" borderId="0" xfId="0" applyFont="1"/>
    <xf numFmtId="0" fontId="15" fillId="0" borderId="0" xfId="0" applyFont="1" applyAlignment="1">
      <alignment vertical="top"/>
    </xf>
    <xf numFmtId="0" fontId="13" fillId="4" borderId="0" xfId="0" applyFont="1" applyFill="1"/>
    <xf numFmtId="0" fontId="8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5" fillId="0" borderId="6" xfId="0" applyFont="1" applyBorder="1" applyAlignment="1">
      <alignment horizontal="left" vertical="top"/>
    </xf>
    <xf numFmtId="49" fontId="4" fillId="0" borderId="7" xfId="0" applyNumberFormat="1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2" borderId="8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4" fillId="10" borderId="8" xfId="0" applyFont="1" applyFill="1" applyBorder="1" applyAlignment="1">
      <alignment horizontal="left" vertical="top"/>
    </xf>
    <xf numFmtId="44" fontId="5" fillId="0" borderId="9" xfId="0" applyNumberFormat="1" applyFont="1" applyBorder="1" applyAlignment="1">
      <alignment horizontal="left" vertical="top"/>
    </xf>
    <xf numFmtId="44" fontId="4" fillId="0" borderId="9" xfId="0" applyNumberFormat="1" applyFont="1" applyBorder="1" applyAlignment="1">
      <alignment horizontal="left" vertical="top"/>
    </xf>
    <xf numFmtId="44" fontId="4" fillId="2" borderId="9" xfId="0" applyNumberFormat="1" applyFont="1" applyFill="1" applyBorder="1" applyAlignment="1">
      <alignment horizontal="left" vertical="top"/>
    </xf>
    <xf numFmtId="0" fontId="4" fillId="8" borderId="7" xfId="0" applyFont="1" applyFill="1" applyBorder="1" applyAlignment="1">
      <alignment horizontal="left" vertical="top"/>
    </xf>
    <xf numFmtId="44" fontId="4" fillId="8" borderId="9" xfId="0" applyNumberFormat="1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164" fontId="4" fillId="2" borderId="0" xfId="0" applyNumberFormat="1" applyFont="1" applyFill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44" fontId="5" fillId="2" borderId="15" xfId="0" applyNumberFormat="1" applyFont="1" applyFill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2" borderId="16" xfId="0" applyFont="1" applyFill="1" applyBorder="1" applyAlignment="1">
      <alignment horizontal="left" vertical="top"/>
    </xf>
    <xf numFmtId="0" fontId="4" fillId="3" borderId="8" xfId="0" applyFont="1" applyFill="1" applyBorder="1" applyAlignment="1">
      <alignment horizontal="left" vertical="top"/>
    </xf>
    <xf numFmtId="44" fontId="4" fillId="3" borderId="7" xfId="0" applyNumberFormat="1" applyFont="1" applyFill="1" applyBorder="1" applyAlignment="1">
      <alignment horizontal="left" vertical="top"/>
    </xf>
    <xf numFmtId="0" fontId="4" fillId="2" borderId="17" xfId="0" applyFont="1" applyFill="1" applyBorder="1" applyAlignment="1">
      <alignment horizontal="left" vertical="top"/>
    </xf>
    <xf numFmtId="164" fontId="4" fillId="2" borderId="12" xfId="0" applyNumberFormat="1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left" vertical="top"/>
    </xf>
    <xf numFmtId="44" fontId="4" fillId="10" borderId="7" xfId="0" applyNumberFormat="1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44" fontId="4" fillId="2" borderId="0" xfId="0" applyNumberFormat="1" applyFont="1" applyFill="1" applyAlignment="1">
      <alignment horizontal="left" vertical="top"/>
    </xf>
    <xf numFmtId="44" fontId="4" fillId="2" borderId="7" xfId="0" applyNumberFormat="1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44" fontId="5" fillId="0" borderId="0" xfId="0" applyNumberFormat="1" applyFont="1" applyAlignment="1">
      <alignment horizontal="left" vertical="top"/>
    </xf>
    <xf numFmtId="44" fontId="4" fillId="0" borderId="7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9" borderId="7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0" fillId="0" borderId="7" xfId="0" applyFont="1" applyBorder="1" applyAlignment="1">
      <alignment vertical="top"/>
    </xf>
    <xf numFmtId="14" fontId="18" fillId="0" borderId="0" xfId="0" applyNumberFormat="1" applyFont="1"/>
    <xf numFmtId="0" fontId="4" fillId="17" borderId="0" xfId="0" applyFont="1" applyFill="1" applyAlignment="1">
      <alignment vertical="top"/>
    </xf>
    <xf numFmtId="44" fontId="9" fillId="0" borderId="0" xfId="0" applyNumberFormat="1" applyFont="1" applyAlignment="1">
      <alignment horizontal="center" vertical="top"/>
    </xf>
    <xf numFmtId="44" fontId="4" fillId="0" borderId="21" xfId="0" applyNumberFormat="1" applyFont="1" applyBorder="1" applyAlignment="1">
      <alignment horizontal="center" vertical="top"/>
    </xf>
    <xf numFmtId="44" fontId="5" fillId="2" borderId="9" xfId="0" applyNumberFormat="1" applyFont="1" applyFill="1" applyBorder="1" applyAlignment="1">
      <alignment vertical="top"/>
    </xf>
    <xf numFmtId="0" fontId="0" fillId="0" borderId="0" xfId="0" applyAlignment="1">
      <alignment horizontal="center"/>
    </xf>
    <xf numFmtId="44" fontId="4" fillId="10" borderId="9" xfId="0" applyNumberFormat="1" applyFont="1" applyFill="1" applyBorder="1" applyAlignment="1">
      <alignment vertical="top"/>
    </xf>
    <xf numFmtId="44" fontId="4" fillId="5" borderId="9" xfId="0" applyNumberFormat="1" applyFont="1" applyFill="1" applyBorder="1" applyAlignment="1">
      <alignment vertical="top"/>
    </xf>
    <xf numFmtId="44" fontId="9" fillId="0" borderId="0" xfId="0" applyNumberFormat="1" applyFont="1" applyAlignment="1">
      <alignment horizontal="right" vertical="top"/>
    </xf>
    <xf numFmtId="44" fontId="4" fillId="10" borderId="9" xfId="0" applyNumberFormat="1" applyFont="1" applyFill="1" applyBorder="1" applyAlignment="1">
      <alignment horizontal="left" vertical="top"/>
    </xf>
    <xf numFmtId="0" fontId="6" fillId="0" borderId="7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14" fontId="0" fillId="0" borderId="0" xfId="0" applyNumberFormat="1" applyAlignment="1">
      <alignment horizontal="center"/>
    </xf>
    <xf numFmtId="44" fontId="4" fillId="5" borderId="7" xfId="0" applyNumberFormat="1" applyFont="1" applyFill="1" applyBorder="1" applyAlignment="1">
      <alignment horizontal="left" vertical="top"/>
    </xf>
    <xf numFmtId="44" fontId="4" fillId="5" borderId="9" xfId="0" applyNumberFormat="1" applyFont="1" applyFill="1" applyBorder="1" applyAlignment="1">
      <alignment horizontal="left" vertical="top"/>
    </xf>
    <xf numFmtId="0" fontId="0" fillId="0" borderId="11" xfId="0" applyBorder="1"/>
    <xf numFmtId="0" fontId="13" fillId="0" borderId="0" xfId="0" applyFont="1" applyAlignment="1">
      <alignment horizontal="left" wrapText="1"/>
    </xf>
    <xf numFmtId="0" fontId="0" fillId="0" borderId="0" xfId="0" applyAlignment="1">
      <alignment horizontal="left" vertical="top"/>
    </xf>
    <xf numFmtId="0" fontId="13" fillId="4" borderId="0" xfId="0" applyFont="1" applyFill="1" applyAlignment="1">
      <alignment horizontal="left" vertical="top"/>
    </xf>
    <xf numFmtId="164" fontId="1" fillId="0" borderId="5" xfId="0" applyNumberFormat="1" applyFont="1" applyBorder="1" applyAlignment="1">
      <alignment vertical="top"/>
    </xf>
    <xf numFmtId="44" fontId="13" fillId="4" borderId="0" xfId="0" applyNumberFormat="1" applyFont="1" applyFill="1"/>
    <xf numFmtId="0" fontId="6" fillId="18" borderId="0" xfId="0" applyFont="1" applyFill="1" applyAlignment="1">
      <alignment horizontal="left" vertical="top"/>
    </xf>
    <xf numFmtId="44" fontId="4" fillId="4" borderId="0" xfId="0" applyNumberFormat="1" applyFont="1" applyFill="1"/>
    <xf numFmtId="0" fontId="13" fillId="4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44" fontId="13" fillId="0" borderId="0" xfId="0" applyNumberFormat="1" applyFont="1"/>
    <xf numFmtId="43" fontId="3" fillId="0" borderId="0" xfId="3" applyFont="1"/>
    <xf numFmtId="43" fontId="3" fillId="5" borderId="0" xfId="3" applyFont="1" applyFill="1"/>
    <xf numFmtId="43" fontId="3" fillId="0" borderId="0" xfId="0" applyNumberFormat="1" applyFont="1"/>
    <xf numFmtId="0" fontId="6" fillId="4" borderId="8" xfId="0" applyFont="1" applyFill="1" applyBorder="1" applyAlignment="1">
      <alignment vertical="top"/>
    </xf>
    <xf numFmtId="0" fontId="13" fillId="0" borderId="0" xfId="0" applyFont="1" applyAlignment="1">
      <alignment horizontal="center"/>
    </xf>
    <xf numFmtId="0" fontId="13" fillId="10" borderId="0" xfId="0" applyFont="1" applyFill="1" applyAlignment="1">
      <alignment horizontal="center"/>
    </xf>
    <xf numFmtId="43" fontId="3" fillId="14" borderId="0" xfId="0" applyNumberFormat="1" applyFont="1" applyFill="1"/>
    <xf numFmtId="44" fontId="3" fillId="10" borderId="0" xfId="0" applyNumberFormat="1" applyFont="1" applyFill="1"/>
    <xf numFmtId="0" fontId="4" fillId="0" borderId="19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/>
    </xf>
    <xf numFmtId="0" fontId="3" fillId="0" borderId="7" xfId="0" applyFont="1" applyBorder="1" applyAlignment="1">
      <alignment horizontal="center" vertical="top"/>
    </xf>
    <xf numFmtId="0" fontId="6" fillId="0" borderId="7" xfId="0" applyFont="1" applyBorder="1" applyAlignment="1">
      <alignment horizontal="left" vertical="top"/>
    </xf>
    <xf numFmtId="44" fontId="3" fillId="5" borderId="0" xfId="0" applyNumberFormat="1" applyFont="1" applyFill="1"/>
    <xf numFmtId="44" fontId="4" fillId="16" borderId="9" xfId="0" applyNumberFormat="1" applyFont="1" applyFill="1" applyBorder="1" applyAlignment="1">
      <alignment vertical="top"/>
    </xf>
    <xf numFmtId="43" fontId="3" fillId="16" borderId="0" xfId="3" applyFont="1" applyFill="1"/>
    <xf numFmtId="44" fontId="4" fillId="19" borderId="9" xfId="0" applyNumberFormat="1" applyFont="1" applyFill="1" applyBorder="1" applyAlignment="1">
      <alignment vertical="top"/>
    </xf>
    <xf numFmtId="43" fontId="3" fillId="19" borderId="0" xfId="3" applyFont="1" applyFill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3" fillId="0" borderId="23" xfId="0" applyFont="1" applyBorder="1" applyAlignment="1">
      <alignment horizontal="left"/>
    </xf>
    <xf numFmtId="0" fontId="13" fillId="0" borderId="0" xfId="0" applyFont="1" applyAlignment="1">
      <alignment horizontal="left"/>
    </xf>
    <xf numFmtId="14" fontId="6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/>
    </xf>
    <xf numFmtId="14" fontId="6" fillId="0" borderId="0" xfId="0" applyNumberFormat="1" applyFont="1" applyAlignment="1">
      <alignment horizontal="left" vertical="top"/>
    </xf>
    <xf numFmtId="0" fontId="4" fillId="11" borderId="7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left" vertical="top"/>
    </xf>
    <xf numFmtId="0" fontId="4" fillId="9" borderId="20" xfId="0" applyFont="1" applyFill="1" applyBorder="1" applyAlignment="1">
      <alignment horizontal="left" vertical="top"/>
    </xf>
    <xf numFmtId="0" fontId="4" fillId="9" borderId="9" xfId="0" applyFont="1" applyFill="1" applyBorder="1" applyAlignment="1">
      <alignment horizontal="left" vertical="top"/>
    </xf>
    <xf numFmtId="0" fontId="8" fillId="0" borderId="0" xfId="0" applyFont="1" applyAlignment="1">
      <alignment horizontal="center" wrapText="1"/>
    </xf>
    <xf numFmtId="44" fontId="4" fillId="0" borderId="21" xfId="0" applyNumberFormat="1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44" fontId="4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13" fillId="4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/>
    </xf>
  </cellXfs>
  <cellStyles count="4">
    <cellStyle name="Moeda" xfId="1" xr:uid="{00000000-0005-0000-0000-000000000000}"/>
    <cellStyle name="Normal" xfId="0" builtinId="0"/>
    <cellStyle name="Porcentagem" xfId="2" xr:uid="{00000000-0005-0000-0000-000002000000}"/>
    <cellStyle name="Separador de milhares" xfId="3" xr:uid="{00000000-0005-0000-0000-000003000000}"/>
  </cellStyles>
  <dxfs count="210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ana Andrade" id="{0B3F39F0-C438-44D8-915E-1B092DD8482A}" userId="9371ed887d9d5d8b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" dT="2025-04-25T16:37:52.04" personId="{0B3F39F0-C438-44D8-915E-1B092DD8482A}" id="{53142B1B-6AD8-413C-899A-23347A0329D0}">
    <text xml:space="preserve">Juju linda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Relationship Id="rId4" Type="http://schemas.microsoft.com/office/2017/10/relationships/threadedComment" Target="../threadedComments/threadedComment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X66"/>
  <sheetViews>
    <sheetView topLeftCell="A39" zoomScale="85" zoomScaleNormal="85" workbookViewId="0">
      <pane xSplit="1" topLeftCell="J1" activePane="topRight" state="frozen"/>
      <selection activeCell="D33" sqref="D33"/>
      <selection pane="topRight" activeCell="J57" sqref="J57"/>
    </sheetView>
  </sheetViews>
  <sheetFormatPr defaultColWidth="9.140625" defaultRowHeight="12.75" x14ac:dyDescent="0.2"/>
  <cols>
    <col min="1" max="1" width="44.28515625" style="10" customWidth="1"/>
    <col min="2" max="2" width="15.85546875" style="10" customWidth="1"/>
    <col min="3" max="3" width="16.85546875" style="10" customWidth="1"/>
    <col min="4" max="4" width="17.7109375" style="10" customWidth="1"/>
    <col min="5" max="5" width="17.28515625" style="10" customWidth="1"/>
    <col min="6" max="6" width="18.140625" style="10" customWidth="1"/>
    <col min="7" max="7" width="16.28515625" style="10" customWidth="1"/>
    <col min="8" max="8" width="15.85546875" style="10" customWidth="1"/>
    <col min="9" max="9" width="15.42578125" style="10" customWidth="1"/>
    <col min="10" max="10" width="15.140625" style="10" bestFit="1" customWidth="1"/>
    <col min="11" max="11" width="11.85546875" style="10" hidden="1" customWidth="1"/>
    <col min="12" max="12" width="13.28515625" style="10" hidden="1" customWidth="1"/>
    <col min="13" max="13" width="16.28515625" style="10" hidden="1" customWidth="1"/>
    <col min="14" max="14" width="14.7109375" style="10" hidden="1" customWidth="1"/>
    <col min="15" max="15" width="17" style="10" hidden="1" customWidth="1"/>
    <col min="16" max="16" width="16.85546875" style="10" hidden="1" customWidth="1"/>
    <col min="17" max="17" width="18" style="10" bestFit="1" customWidth="1"/>
    <col min="18" max="18" width="9.140625" style="10"/>
    <col min="19" max="19" width="3.42578125" style="10" customWidth="1"/>
    <col min="20" max="20" width="15.42578125" style="10" bestFit="1" customWidth="1"/>
    <col min="21" max="21" width="5.42578125" style="10" customWidth="1"/>
    <col min="22" max="22" width="15.42578125" style="10" bestFit="1" customWidth="1"/>
    <col min="23" max="23" width="2.5703125" style="10" customWidth="1"/>
    <col min="24" max="24" width="16" style="10" bestFit="1" customWidth="1"/>
    <col min="25" max="16384" width="9.140625" style="10"/>
  </cols>
  <sheetData>
    <row r="1" spans="1:24" ht="15.75" x14ac:dyDescent="0.25">
      <c r="A1" s="1"/>
      <c r="B1" s="1" t="s">
        <v>324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4" ht="9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24" ht="15.75" x14ac:dyDescent="0.25">
      <c r="B3" s="1" t="s">
        <v>322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24" ht="12.6" customHeight="1" x14ac:dyDescent="0.25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</row>
    <row r="5" spans="1:24" ht="15.6" customHeight="1" x14ac:dyDescent="0.25">
      <c r="A5" s="88"/>
      <c r="B5" s="202" t="s">
        <v>323</v>
      </c>
      <c r="C5" s="202"/>
      <c r="D5" s="202"/>
      <c r="E5" s="202"/>
      <c r="F5" s="71"/>
      <c r="G5" s="71"/>
      <c r="H5" s="71"/>
      <c r="I5" s="71"/>
      <c r="J5" s="88"/>
      <c r="K5" s="88"/>
      <c r="L5" s="88"/>
      <c r="M5" s="88"/>
      <c r="N5" s="88"/>
      <c r="O5" s="88"/>
      <c r="P5" s="88"/>
      <c r="Q5" s="88"/>
      <c r="R5" s="88"/>
      <c r="S5" s="71"/>
      <c r="T5" s="71"/>
      <c r="U5" s="71"/>
    </row>
    <row r="6" spans="1:24" ht="12.6" customHeight="1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</row>
    <row r="7" spans="1:24" ht="15.6" customHeight="1" x14ac:dyDescent="0.25">
      <c r="A7" s="88"/>
      <c r="B7" s="202" t="s">
        <v>325</v>
      </c>
      <c r="C7" s="202"/>
      <c r="D7" s="202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71"/>
      <c r="T7" s="71"/>
      <c r="U7" s="71"/>
    </row>
    <row r="8" spans="1:24" ht="9.6" customHeight="1" x14ac:dyDescent="0.2"/>
    <row r="9" spans="1:24" ht="15" x14ac:dyDescent="0.2">
      <c r="A9" s="12"/>
      <c r="B9" s="60" t="s">
        <v>116</v>
      </c>
      <c r="C9" s="60" t="s">
        <v>208</v>
      </c>
      <c r="D9" s="60" t="s">
        <v>303</v>
      </c>
      <c r="E9" s="60" t="s">
        <v>304</v>
      </c>
      <c r="F9" s="60" t="s">
        <v>305</v>
      </c>
      <c r="G9" s="60" t="s">
        <v>306</v>
      </c>
      <c r="H9" s="60" t="s">
        <v>307</v>
      </c>
      <c r="I9" s="60" t="s">
        <v>308</v>
      </c>
      <c r="J9" s="60" t="s">
        <v>309</v>
      </c>
      <c r="K9" s="60" t="s">
        <v>310</v>
      </c>
      <c r="L9" s="60" t="s">
        <v>311</v>
      </c>
      <c r="M9" s="60" t="s">
        <v>312</v>
      </c>
      <c r="N9" s="60" t="s">
        <v>313</v>
      </c>
      <c r="O9" s="60" t="s">
        <v>314</v>
      </c>
      <c r="P9" s="60" t="s">
        <v>225</v>
      </c>
      <c r="Q9" s="13" t="s">
        <v>1</v>
      </c>
      <c r="R9" s="14" t="s">
        <v>2</v>
      </c>
      <c r="X9" s="104">
        <v>2025</v>
      </c>
    </row>
    <row r="10" spans="1:24" ht="15" x14ac:dyDescent="0.2">
      <c r="A10" s="15" t="s">
        <v>3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7"/>
      <c r="R10" s="18"/>
    </row>
    <row r="11" spans="1:24" ht="15" x14ac:dyDescent="0.2">
      <c r="A11" s="78" t="s">
        <v>4</v>
      </c>
      <c r="B11" s="19">
        <v>0</v>
      </c>
      <c r="C11" s="19">
        <f>SUM(E11:P11)</f>
        <v>0</v>
      </c>
      <c r="D11" s="19">
        <f>SUM(F11:Q11)</f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20">
        <f>B11+C11+E11+F11+G11+H11+I11+J11+K11+L11+M11+N11+O11+P11</f>
        <v>0</v>
      </c>
      <c r="R11" s="21">
        <v>1</v>
      </c>
      <c r="T11" s="70">
        <f>SUM(B11,C11,E11)</f>
        <v>0</v>
      </c>
      <c r="V11" s="70">
        <f>T11-Q11</f>
        <v>0</v>
      </c>
    </row>
    <row r="12" spans="1:24" ht="15" x14ac:dyDescent="0.2">
      <c r="A12" s="15" t="s">
        <v>5</v>
      </c>
      <c r="B12" s="22">
        <v>0</v>
      </c>
      <c r="C12" s="19">
        <f>SUM(E12:P12)</f>
        <v>0</v>
      </c>
      <c r="D12" s="19">
        <f>SUM(F12:Q12)</f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20">
        <f>B12+C12+E12+F12+G12+H12+I12+J12+K12+L12+M12+N12+O12+P12</f>
        <v>0</v>
      </c>
      <c r="R12" s="21"/>
      <c r="T12" s="70">
        <f t="shared" ref="T12:T15" si="0">SUM(B12,C12,E12)</f>
        <v>0</v>
      </c>
      <c r="V12" s="70">
        <f>T12-Q12</f>
        <v>0</v>
      </c>
    </row>
    <row r="13" spans="1:24" ht="15" x14ac:dyDescent="0.2">
      <c r="A13" s="23" t="s">
        <v>6</v>
      </c>
      <c r="B13" s="24">
        <f t="shared" ref="B13:P13" si="1">SUM(B11:B12)</f>
        <v>0</v>
      </c>
      <c r="C13" s="24">
        <f>SUM(C11:C12)</f>
        <v>0</v>
      </c>
      <c r="D13" s="24">
        <f>SUM(D11:D12)</f>
        <v>0</v>
      </c>
      <c r="E13" s="24">
        <f t="shared" si="1"/>
        <v>0</v>
      </c>
      <c r="F13" s="24">
        <f t="shared" si="1"/>
        <v>0</v>
      </c>
      <c r="G13" s="24">
        <f t="shared" si="1"/>
        <v>0</v>
      </c>
      <c r="H13" s="24">
        <f t="shared" si="1"/>
        <v>0</v>
      </c>
      <c r="I13" s="24">
        <f t="shared" si="1"/>
        <v>0</v>
      </c>
      <c r="J13" s="24">
        <f t="shared" si="1"/>
        <v>0</v>
      </c>
      <c r="K13" s="24">
        <f t="shared" si="1"/>
        <v>0</v>
      </c>
      <c r="L13" s="24">
        <f t="shared" si="1"/>
        <v>0</v>
      </c>
      <c r="M13" s="24">
        <f t="shared" si="1"/>
        <v>0</v>
      </c>
      <c r="N13" s="24">
        <f t="shared" si="1"/>
        <v>0</v>
      </c>
      <c r="O13" s="24">
        <f t="shared" si="1"/>
        <v>0</v>
      </c>
      <c r="P13" s="24">
        <f t="shared" si="1"/>
        <v>0</v>
      </c>
      <c r="Q13" s="24">
        <f>SUM(Q11:Q12)</f>
        <v>0</v>
      </c>
      <c r="R13" s="21">
        <v>1</v>
      </c>
      <c r="T13" s="70">
        <f t="shared" si="0"/>
        <v>0</v>
      </c>
      <c r="V13" s="70">
        <f t="shared" ref="V13" si="2">T13-Q13</f>
        <v>0</v>
      </c>
    </row>
    <row r="14" spans="1:24" ht="15" x14ac:dyDescent="0.2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7"/>
      <c r="R14" s="28"/>
      <c r="T14" s="70">
        <f t="shared" si="0"/>
        <v>0</v>
      </c>
    </row>
    <row r="15" spans="1:24" ht="15" x14ac:dyDescent="0.2">
      <c r="A15" s="29" t="s">
        <v>7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0"/>
      <c r="R15" s="31"/>
      <c r="T15" s="70">
        <f t="shared" si="0"/>
        <v>0</v>
      </c>
    </row>
    <row r="16" spans="1:24" ht="15" x14ac:dyDescent="0.2">
      <c r="A16" s="15" t="s">
        <v>8</v>
      </c>
      <c r="B16" s="32">
        <v>-10118.69</v>
      </c>
      <c r="C16" s="19">
        <v>-2203.29</v>
      </c>
      <c r="D16" s="76">
        <v>-46770.85</v>
      </c>
      <c r="E16" s="76">
        <v>-6536.59</v>
      </c>
      <c r="F16" s="76">
        <v>-5430.1</v>
      </c>
      <c r="G16" s="76">
        <v>-5318.8</v>
      </c>
      <c r="H16" s="76">
        <v>-4979.32</v>
      </c>
      <c r="I16" s="76">
        <v>-5067.6400000000003</v>
      </c>
      <c r="J16" s="76">
        <v>-3536.82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20">
        <f>SUM(B16:P16)</f>
        <v>-89962.10000000002</v>
      </c>
      <c r="R16" s="21"/>
      <c r="T16" s="70">
        <f>SUM(B16:P16)</f>
        <v>-89962.10000000002</v>
      </c>
      <c r="V16" s="70">
        <f>Q16-T16</f>
        <v>0</v>
      </c>
      <c r="X16" s="70">
        <f>Q16-C16-B16</f>
        <v>-77640.120000000024</v>
      </c>
    </row>
    <row r="17" spans="1:24" ht="15" x14ac:dyDescent="0.2">
      <c r="A17" s="33" t="s">
        <v>9</v>
      </c>
      <c r="B17" s="32">
        <v>0</v>
      </c>
      <c r="C17" s="19">
        <f t="shared" ref="C17:C41" si="3">SUM(E17:P17)</f>
        <v>0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20">
        <f t="shared" ref="Q17:Q41" si="4">SUM(B17:P17)</f>
        <v>0</v>
      </c>
      <c r="R17" s="21"/>
      <c r="T17" s="70">
        <f t="shared" ref="T17:T53" si="5">SUM(B17:P17)</f>
        <v>0</v>
      </c>
      <c r="V17" s="70">
        <f t="shared" ref="V17:V53" si="6">Q17-T17</f>
        <v>0</v>
      </c>
      <c r="X17" s="70">
        <f t="shared" ref="X17:X54" si="7">Q17-C17-B17</f>
        <v>0</v>
      </c>
    </row>
    <row r="18" spans="1:24" ht="15" x14ac:dyDescent="0.2">
      <c r="A18" s="15" t="s">
        <v>10</v>
      </c>
      <c r="B18" s="32">
        <v>0</v>
      </c>
      <c r="C18" s="19">
        <f t="shared" si="3"/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20">
        <f t="shared" si="4"/>
        <v>0</v>
      </c>
      <c r="R18" s="21"/>
      <c r="T18" s="70">
        <f t="shared" si="5"/>
        <v>0</v>
      </c>
      <c r="V18" s="70">
        <f t="shared" si="6"/>
        <v>0</v>
      </c>
      <c r="X18" s="70">
        <f t="shared" si="7"/>
        <v>0</v>
      </c>
    </row>
    <row r="19" spans="1:24" ht="15" x14ac:dyDescent="0.2">
      <c r="A19" s="33" t="s">
        <v>11</v>
      </c>
      <c r="B19" s="32">
        <v>0</v>
      </c>
      <c r="C19" s="19">
        <v>-143.13999999999999</v>
      </c>
      <c r="D19" s="76">
        <v>-41.1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20">
        <f t="shared" si="4"/>
        <v>-184.23999999999998</v>
      </c>
      <c r="R19" s="21"/>
      <c r="T19" s="70">
        <f t="shared" si="5"/>
        <v>-184.23999999999998</v>
      </c>
      <c r="V19" s="70">
        <f t="shared" si="6"/>
        <v>0</v>
      </c>
      <c r="X19" s="70">
        <f t="shared" si="7"/>
        <v>-41.099999999999994</v>
      </c>
    </row>
    <row r="20" spans="1:24" ht="15" x14ac:dyDescent="0.2">
      <c r="A20" s="15" t="s">
        <v>12</v>
      </c>
      <c r="B20" s="32">
        <v>-7450.73</v>
      </c>
      <c r="C20" s="19">
        <v>-8327.3799999999992</v>
      </c>
      <c r="D20" s="76">
        <v>-37246.46</v>
      </c>
      <c r="E20" s="76">
        <v>-4224.71</v>
      </c>
      <c r="F20" s="76">
        <v>-3562.89</v>
      </c>
      <c r="G20" s="76">
        <f>-3562.89</f>
        <v>-3562.89</v>
      </c>
      <c r="H20" s="76">
        <v>-3339.96</v>
      </c>
      <c r="I20" s="76">
        <v>-2266.6999999999998</v>
      </c>
      <c r="J20" s="76">
        <v>-2930.17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20">
        <f t="shared" si="4"/>
        <v>-72911.89</v>
      </c>
      <c r="R20" s="21"/>
      <c r="T20" s="70">
        <f t="shared" si="5"/>
        <v>-72911.89</v>
      </c>
      <c r="V20" s="70">
        <f t="shared" si="6"/>
        <v>0</v>
      </c>
      <c r="X20" s="70">
        <f t="shared" si="7"/>
        <v>-57133.78</v>
      </c>
    </row>
    <row r="21" spans="1:24" ht="15" x14ac:dyDescent="0.2">
      <c r="A21" s="15" t="s">
        <v>13</v>
      </c>
      <c r="B21" s="32">
        <v>-5450.68</v>
      </c>
      <c r="C21" s="19">
        <v>-5940.21</v>
      </c>
      <c r="D21" s="76">
        <v>-27685.78</v>
      </c>
      <c r="E21" s="76">
        <v>-2539.14</v>
      </c>
      <c r="F21" s="76">
        <v>-5335.84</v>
      </c>
      <c r="G21" s="76">
        <f>-2451.92-942.17</f>
        <v>-3394.09</v>
      </c>
      <c r="H21" s="76">
        <v>-2312.2600000000002</v>
      </c>
      <c r="I21" s="76">
        <v>-1513.16</v>
      </c>
      <c r="J21" s="76">
        <v>-1819.93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20">
        <f>SUM(B21:P21)</f>
        <v>-55991.09</v>
      </c>
      <c r="R21" s="21"/>
      <c r="T21" s="70">
        <f t="shared" si="5"/>
        <v>-55991.09</v>
      </c>
      <c r="V21" s="70">
        <f t="shared" si="6"/>
        <v>0</v>
      </c>
      <c r="X21" s="70">
        <f t="shared" si="7"/>
        <v>-44600.2</v>
      </c>
    </row>
    <row r="22" spans="1:24" ht="15" x14ac:dyDescent="0.2">
      <c r="A22" s="15" t="s">
        <v>14</v>
      </c>
      <c r="B22" s="32">
        <v>-10981.63</v>
      </c>
      <c r="C22" s="19">
        <v>-9195.5499999999993</v>
      </c>
      <c r="D22" s="76">
        <v>-26232.959999999999</v>
      </c>
      <c r="E22" s="76">
        <v>-2167.4499999999998</v>
      </c>
      <c r="F22" s="76">
        <v>-3557.58</v>
      </c>
      <c r="G22" s="76">
        <v>-2952.16</v>
      </c>
      <c r="H22" s="76">
        <v>-1732.73</v>
      </c>
      <c r="I22" s="76">
        <v>-760.59</v>
      </c>
      <c r="J22" s="76">
        <v>-1288.42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20">
        <f t="shared" si="4"/>
        <v>-58869.07</v>
      </c>
      <c r="R22" s="21"/>
      <c r="T22" s="70">
        <f t="shared" si="5"/>
        <v>-58869.07</v>
      </c>
      <c r="V22" s="70">
        <f t="shared" si="6"/>
        <v>0</v>
      </c>
      <c r="X22" s="70">
        <f t="shared" si="7"/>
        <v>-38691.890000000007</v>
      </c>
    </row>
    <row r="23" spans="1:24" ht="15" x14ac:dyDescent="0.2">
      <c r="A23" s="15" t="s">
        <v>15</v>
      </c>
      <c r="B23" s="32">
        <v>0</v>
      </c>
      <c r="C23" s="19">
        <v>-929.69</v>
      </c>
      <c r="D23" s="76">
        <v>-218.99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20">
        <f t="shared" si="4"/>
        <v>-1148.68</v>
      </c>
      <c r="R23" s="21"/>
      <c r="T23" s="70">
        <f t="shared" si="5"/>
        <v>-1148.68</v>
      </c>
      <c r="V23" s="70">
        <f t="shared" si="6"/>
        <v>0</v>
      </c>
      <c r="X23" s="70">
        <f t="shared" si="7"/>
        <v>-218.99</v>
      </c>
    </row>
    <row r="24" spans="1:24" ht="15" x14ac:dyDescent="0.2">
      <c r="A24" s="15" t="s">
        <v>16</v>
      </c>
      <c r="B24" s="32">
        <v>0</v>
      </c>
      <c r="C24" s="19">
        <f t="shared" si="3"/>
        <v>0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20">
        <f t="shared" si="4"/>
        <v>0</v>
      </c>
      <c r="R24" s="21"/>
      <c r="T24" s="70">
        <f t="shared" si="5"/>
        <v>0</v>
      </c>
      <c r="V24" s="70">
        <f t="shared" si="6"/>
        <v>0</v>
      </c>
      <c r="X24" s="70">
        <f t="shared" si="7"/>
        <v>0</v>
      </c>
    </row>
    <row r="25" spans="1:24" ht="15" x14ac:dyDescent="0.2">
      <c r="A25" s="15" t="s">
        <v>17</v>
      </c>
      <c r="B25" s="32">
        <v>-6087.45</v>
      </c>
      <c r="C25" s="19">
        <v>-6549.45</v>
      </c>
      <c r="D25" s="76">
        <v>-44939.97</v>
      </c>
      <c r="E25" s="76">
        <v>-5629.42</v>
      </c>
      <c r="F25" s="76">
        <v>-5841.54</v>
      </c>
      <c r="G25" s="76">
        <v>-5615.48</v>
      </c>
      <c r="H25" s="76">
        <v>-5363.61</v>
      </c>
      <c r="I25" s="76">
        <v>-3724</v>
      </c>
      <c r="J25" s="76">
        <v>-4381.26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20">
        <f t="shared" si="4"/>
        <v>-88132.18</v>
      </c>
      <c r="R25" s="21"/>
      <c r="T25" s="70">
        <f t="shared" si="5"/>
        <v>-88132.18</v>
      </c>
      <c r="V25" s="70">
        <f t="shared" si="6"/>
        <v>0</v>
      </c>
      <c r="X25" s="70">
        <f t="shared" si="7"/>
        <v>-75495.28</v>
      </c>
    </row>
    <row r="26" spans="1:24" ht="15" x14ac:dyDescent="0.2">
      <c r="A26" s="15" t="s">
        <v>18</v>
      </c>
      <c r="B26" s="32">
        <v>0</v>
      </c>
      <c r="C26" s="19">
        <f t="shared" si="3"/>
        <v>0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20">
        <f t="shared" si="4"/>
        <v>0</v>
      </c>
      <c r="R26" s="21"/>
      <c r="T26" s="70">
        <f t="shared" si="5"/>
        <v>0</v>
      </c>
      <c r="V26" s="70">
        <f t="shared" si="6"/>
        <v>0</v>
      </c>
      <c r="X26" s="70">
        <f t="shared" si="7"/>
        <v>0</v>
      </c>
    </row>
    <row r="27" spans="1:24" ht="15" x14ac:dyDescent="0.2">
      <c r="A27" s="15" t="s">
        <v>19</v>
      </c>
      <c r="B27" s="32">
        <v>0</v>
      </c>
      <c r="C27" s="19">
        <f t="shared" si="3"/>
        <v>0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20">
        <f t="shared" si="4"/>
        <v>0</v>
      </c>
      <c r="R27" s="21"/>
      <c r="T27" s="70">
        <f t="shared" si="5"/>
        <v>0</v>
      </c>
      <c r="V27" s="70">
        <f t="shared" si="6"/>
        <v>0</v>
      </c>
      <c r="X27" s="70">
        <f t="shared" si="7"/>
        <v>0</v>
      </c>
    </row>
    <row r="28" spans="1:24" ht="15" x14ac:dyDescent="0.2">
      <c r="A28" s="15" t="s">
        <v>20</v>
      </c>
      <c r="B28" s="32">
        <v>0</v>
      </c>
      <c r="C28" s="19">
        <f t="shared" si="3"/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20">
        <f t="shared" si="4"/>
        <v>0</v>
      </c>
      <c r="R28" s="21"/>
      <c r="T28" s="70">
        <f t="shared" si="5"/>
        <v>0</v>
      </c>
      <c r="V28" s="70">
        <f t="shared" si="6"/>
        <v>0</v>
      </c>
      <c r="X28" s="70">
        <f t="shared" si="7"/>
        <v>0</v>
      </c>
    </row>
    <row r="29" spans="1:24" ht="15" x14ac:dyDescent="0.2">
      <c r="A29" s="15" t="s">
        <v>59</v>
      </c>
      <c r="B29" s="32">
        <v>0</v>
      </c>
      <c r="C29" s="19">
        <f t="shared" si="3"/>
        <v>0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20">
        <f t="shared" si="4"/>
        <v>0</v>
      </c>
      <c r="R29" s="21"/>
      <c r="T29" s="70">
        <f t="shared" si="5"/>
        <v>0</v>
      </c>
      <c r="V29" s="70">
        <f t="shared" si="6"/>
        <v>0</v>
      </c>
      <c r="X29" s="70">
        <f t="shared" si="7"/>
        <v>0</v>
      </c>
    </row>
    <row r="30" spans="1:24" ht="15" x14ac:dyDescent="0.2">
      <c r="A30" s="15" t="s">
        <v>21</v>
      </c>
      <c r="B30" s="32">
        <v>-1129.53</v>
      </c>
      <c r="C30" s="19">
        <v>-945</v>
      </c>
      <c r="D30" s="76">
        <v>-2655</v>
      </c>
      <c r="E30" s="76">
        <v>-540</v>
      </c>
      <c r="F30" s="76">
        <v>-540</v>
      </c>
      <c r="G30" s="76">
        <v>0</v>
      </c>
      <c r="H30" s="76">
        <v>0</v>
      </c>
      <c r="I30" s="76">
        <v>-405</v>
      </c>
      <c r="J30" s="76">
        <v>-270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20">
        <f t="shared" si="4"/>
        <v>-6484.53</v>
      </c>
      <c r="R30" s="21"/>
      <c r="T30" s="70">
        <f t="shared" si="5"/>
        <v>-6484.53</v>
      </c>
      <c r="V30" s="70">
        <f t="shared" si="6"/>
        <v>0</v>
      </c>
      <c r="X30" s="70">
        <f t="shared" si="7"/>
        <v>-4410</v>
      </c>
    </row>
    <row r="31" spans="1:24" ht="15" x14ac:dyDescent="0.2">
      <c r="A31" s="15" t="s">
        <v>22</v>
      </c>
      <c r="B31" s="32">
        <v>0</v>
      </c>
      <c r="C31" s="19">
        <f t="shared" si="3"/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20">
        <f t="shared" si="4"/>
        <v>0</v>
      </c>
      <c r="R31" s="21"/>
      <c r="T31" s="70">
        <f t="shared" si="5"/>
        <v>0</v>
      </c>
      <c r="V31" s="70">
        <f t="shared" si="6"/>
        <v>0</v>
      </c>
      <c r="X31" s="70">
        <f t="shared" si="7"/>
        <v>0</v>
      </c>
    </row>
    <row r="32" spans="1:24" ht="15" x14ac:dyDescent="0.2">
      <c r="A32" s="33" t="s">
        <v>23</v>
      </c>
      <c r="B32" s="32">
        <v>-82.98</v>
      </c>
      <c r="C32" s="19">
        <v>-52.47</v>
      </c>
      <c r="D32" s="76">
        <v>-52.47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20">
        <f>SUM(B32:P32)</f>
        <v>-187.92</v>
      </c>
      <c r="R32" s="21"/>
      <c r="T32" s="70">
        <f t="shared" si="5"/>
        <v>-187.92</v>
      </c>
      <c r="V32" s="70">
        <f t="shared" si="6"/>
        <v>0</v>
      </c>
      <c r="X32" s="70">
        <f t="shared" si="7"/>
        <v>-52.469999999999985</v>
      </c>
    </row>
    <row r="33" spans="1:24" ht="15" x14ac:dyDescent="0.2">
      <c r="A33" s="15" t="s">
        <v>24</v>
      </c>
      <c r="B33" s="32">
        <v>-13328</v>
      </c>
      <c r="C33" s="19">
        <v>-13234</v>
      </c>
      <c r="D33" s="76">
        <v>-280065.19</v>
      </c>
      <c r="E33" s="76">
        <v>-27000.14</v>
      </c>
      <c r="F33" s="76">
        <v>-29351</v>
      </c>
      <c r="G33" s="76">
        <v>-38254</v>
      </c>
      <c r="H33" s="76">
        <v>-23599</v>
      </c>
      <c r="I33" s="76">
        <v>-14288</v>
      </c>
      <c r="J33" s="76">
        <v>-16583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20">
        <f t="shared" si="4"/>
        <v>-455702.33</v>
      </c>
      <c r="R33" s="21"/>
      <c r="T33" s="70">
        <f t="shared" si="5"/>
        <v>-455702.33</v>
      </c>
      <c r="V33" s="70">
        <f t="shared" si="6"/>
        <v>0</v>
      </c>
      <c r="X33" s="70">
        <f t="shared" si="7"/>
        <v>-429140.33</v>
      </c>
    </row>
    <row r="34" spans="1:24" ht="15" x14ac:dyDescent="0.2">
      <c r="A34" s="34" t="s">
        <v>25</v>
      </c>
      <c r="B34" s="32">
        <v>-57521.82</v>
      </c>
      <c r="C34" s="19">
        <v>-58824.79</v>
      </c>
      <c r="D34" s="76">
        <v>-262861.95</v>
      </c>
      <c r="E34" s="76">
        <v>-29573.7</v>
      </c>
      <c r="F34" s="76">
        <v>-27159.75</v>
      </c>
      <c r="G34" s="76">
        <v>-24143.11</v>
      </c>
      <c r="H34" s="76">
        <v>-27388.23</v>
      </c>
      <c r="I34" s="76">
        <v>-18754.419999999998</v>
      </c>
      <c r="J34" s="76">
        <v>-22058.21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20">
        <f t="shared" si="4"/>
        <v>-528285.98</v>
      </c>
      <c r="R34" s="21"/>
      <c r="T34" s="70">
        <f t="shared" si="5"/>
        <v>-528285.98</v>
      </c>
      <c r="V34" s="70">
        <f t="shared" si="6"/>
        <v>0</v>
      </c>
      <c r="X34" s="70">
        <f t="shared" si="7"/>
        <v>-411939.37</v>
      </c>
    </row>
    <row r="35" spans="1:24" ht="15" x14ac:dyDescent="0.2">
      <c r="A35" s="15" t="s">
        <v>26</v>
      </c>
      <c r="B35" s="32">
        <v>0</v>
      </c>
      <c r="C35" s="19">
        <v>-405</v>
      </c>
      <c r="D35" s="76">
        <v>-405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20">
        <f t="shared" si="4"/>
        <v>-810</v>
      </c>
      <c r="R35" s="21"/>
      <c r="T35" s="70">
        <f t="shared" si="5"/>
        <v>-810</v>
      </c>
      <c r="V35" s="70">
        <f t="shared" si="6"/>
        <v>0</v>
      </c>
      <c r="X35" s="70">
        <f t="shared" si="7"/>
        <v>-405</v>
      </c>
    </row>
    <row r="36" spans="1:24" ht="15" x14ac:dyDescent="0.2">
      <c r="A36" s="15" t="s">
        <v>27</v>
      </c>
      <c r="B36" s="32">
        <v>0</v>
      </c>
      <c r="C36" s="19">
        <f t="shared" si="3"/>
        <v>0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20">
        <f t="shared" si="4"/>
        <v>0</v>
      </c>
      <c r="R36" s="21"/>
      <c r="T36" s="70">
        <f t="shared" si="5"/>
        <v>0</v>
      </c>
      <c r="V36" s="70">
        <f t="shared" si="6"/>
        <v>0</v>
      </c>
      <c r="X36" s="70">
        <f t="shared" si="7"/>
        <v>0</v>
      </c>
    </row>
    <row r="37" spans="1:24" ht="15" x14ac:dyDescent="0.2">
      <c r="A37" s="33" t="s">
        <v>28</v>
      </c>
      <c r="B37" s="32">
        <v>-639.86</v>
      </c>
      <c r="C37" s="19">
        <v>-1211.3800000000001</v>
      </c>
      <c r="D37" s="76">
        <v>-2528.41</v>
      </c>
      <c r="E37" s="76">
        <v>0</v>
      </c>
      <c r="F37" s="76">
        <v>-20.059999999999999</v>
      </c>
      <c r="G37" s="76">
        <v>0</v>
      </c>
      <c r="H37" s="76">
        <v>-153.65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20">
        <f t="shared" si="4"/>
        <v>-4553.3599999999997</v>
      </c>
      <c r="R37" s="21"/>
      <c r="T37" s="70">
        <f t="shared" si="5"/>
        <v>-4553.3599999999997</v>
      </c>
      <c r="V37" s="70">
        <f t="shared" si="6"/>
        <v>0</v>
      </c>
      <c r="X37" s="70">
        <f t="shared" si="7"/>
        <v>-2702.1199999999994</v>
      </c>
    </row>
    <row r="38" spans="1:24" ht="15" x14ac:dyDescent="0.2">
      <c r="A38" s="15" t="s">
        <v>29</v>
      </c>
      <c r="B38" s="32">
        <v>-6096.88</v>
      </c>
      <c r="C38" s="19">
        <v>-7130</v>
      </c>
      <c r="D38" s="76">
        <v>-22363.09</v>
      </c>
      <c r="E38" s="76">
        <v>-2934.44</v>
      </c>
      <c r="F38" s="76">
        <v>-2679.63</v>
      </c>
      <c r="G38" s="76">
        <v>-3062.45</v>
      </c>
      <c r="H38" s="76">
        <v>-2516.6799999999998</v>
      </c>
      <c r="I38" s="76">
        <v>-3016.06</v>
      </c>
      <c r="J38" s="76">
        <v>-1228.06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20">
        <f t="shared" si="4"/>
        <v>-51027.289999999994</v>
      </c>
      <c r="R38" s="21"/>
      <c r="T38" s="70">
        <f t="shared" si="5"/>
        <v>-51027.289999999994</v>
      </c>
      <c r="V38" s="70">
        <f t="shared" si="6"/>
        <v>0</v>
      </c>
      <c r="X38" s="70">
        <f t="shared" si="7"/>
        <v>-37800.409999999996</v>
      </c>
    </row>
    <row r="39" spans="1:24" ht="15" x14ac:dyDescent="0.2">
      <c r="A39" s="15" t="s">
        <v>276</v>
      </c>
      <c r="B39" s="32">
        <v>-5681.26</v>
      </c>
      <c r="C39" s="19">
        <v>-6444.74</v>
      </c>
      <c r="D39" s="76">
        <v>-26689.52</v>
      </c>
      <c r="E39" s="76">
        <v>-3168.53</v>
      </c>
      <c r="F39" s="76">
        <v>-2672.17</v>
      </c>
      <c r="G39" s="76">
        <v>-2672.17</v>
      </c>
      <c r="H39" s="76">
        <v>-2718.45</v>
      </c>
      <c r="I39" s="76">
        <v>-1924.49</v>
      </c>
      <c r="J39" s="76">
        <v>-2197.62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20">
        <f t="shared" si="4"/>
        <v>-54168.95</v>
      </c>
      <c r="R39" s="21"/>
      <c r="T39" s="70">
        <f t="shared" si="5"/>
        <v>-54168.95</v>
      </c>
      <c r="V39" s="70">
        <f t="shared" si="6"/>
        <v>0</v>
      </c>
      <c r="X39" s="70">
        <f t="shared" si="7"/>
        <v>-42042.95</v>
      </c>
    </row>
    <row r="40" spans="1:24" ht="15" x14ac:dyDescent="0.2">
      <c r="A40" s="15" t="s">
        <v>96</v>
      </c>
      <c r="B40" s="32">
        <v>0</v>
      </c>
      <c r="C40" s="19">
        <f t="shared" si="3"/>
        <v>0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20">
        <f t="shared" si="4"/>
        <v>0</v>
      </c>
      <c r="R40" s="21"/>
      <c r="T40" s="70">
        <f t="shared" si="5"/>
        <v>0</v>
      </c>
      <c r="V40" s="70">
        <f t="shared" si="6"/>
        <v>0</v>
      </c>
      <c r="X40" s="70">
        <f t="shared" si="7"/>
        <v>0</v>
      </c>
    </row>
    <row r="41" spans="1:24" ht="15" x14ac:dyDescent="0.2">
      <c r="A41" s="15" t="s">
        <v>114</v>
      </c>
      <c r="B41" s="32">
        <v>0</v>
      </c>
      <c r="C41" s="19">
        <f t="shared" si="3"/>
        <v>0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20">
        <f t="shared" si="4"/>
        <v>0</v>
      </c>
      <c r="R41" s="21"/>
      <c r="T41" s="70">
        <f t="shared" si="5"/>
        <v>0</v>
      </c>
      <c r="V41" s="70">
        <f t="shared" si="6"/>
        <v>0</v>
      </c>
      <c r="X41" s="70">
        <f t="shared" si="7"/>
        <v>0</v>
      </c>
    </row>
    <row r="42" spans="1:24" ht="15" x14ac:dyDescent="0.2">
      <c r="A42" s="35" t="s">
        <v>31</v>
      </c>
      <c r="B42" s="36">
        <f>SUM(B16:B41)</f>
        <v>-124569.51</v>
      </c>
      <c r="C42" s="36">
        <f>SUM(C16:C41)</f>
        <v>-121536.09000000001</v>
      </c>
      <c r="D42" s="36">
        <f>SUM(D16:D41)</f>
        <v>-780756.74</v>
      </c>
      <c r="E42" s="36">
        <f>SUM(E16:E41)</f>
        <v>-84314.12</v>
      </c>
      <c r="F42" s="36">
        <f t="shared" ref="F42:P42" si="8">SUM(F16:F41)</f>
        <v>-86150.56</v>
      </c>
      <c r="G42" s="36">
        <f>SUM(G16:G41)</f>
        <v>-88975.15</v>
      </c>
      <c r="H42" s="36">
        <f t="shared" si="8"/>
        <v>-74103.889999999985</v>
      </c>
      <c r="I42" s="36">
        <f t="shared" si="8"/>
        <v>-51720.05999999999</v>
      </c>
      <c r="J42" s="36">
        <f t="shared" si="8"/>
        <v>-56293.49</v>
      </c>
      <c r="K42" s="36">
        <f t="shared" si="8"/>
        <v>0</v>
      </c>
      <c r="L42" s="36">
        <f t="shared" si="8"/>
        <v>0</v>
      </c>
      <c r="M42" s="36">
        <f t="shared" si="8"/>
        <v>0</v>
      </c>
      <c r="N42" s="36">
        <f t="shared" si="8"/>
        <v>0</v>
      </c>
      <c r="O42" s="36">
        <f t="shared" si="8"/>
        <v>0</v>
      </c>
      <c r="P42" s="36">
        <f t="shared" si="8"/>
        <v>0</v>
      </c>
      <c r="Q42" s="36">
        <f>SUM(Q16:Q41)</f>
        <v>-1468419.61</v>
      </c>
      <c r="R42" s="21"/>
      <c r="T42" s="70">
        <f t="shared" si="5"/>
        <v>-1468419.6099999999</v>
      </c>
      <c r="V42" s="70">
        <f t="shared" si="6"/>
        <v>0</v>
      </c>
      <c r="X42" s="70">
        <f t="shared" si="7"/>
        <v>-1222314.01</v>
      </c>
    </row>
    <row r="43" spans="1:24" ht="15" x14ac:dyDescent="0.2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18"/>
      <c r="T43" s="70">
        <f t="shared" si="5"/>
        <v>0</v>
      </c>
      <c r="V43" s="70">
        <f t="shared" si="6"/>
        <v>0</v>
      </c>
    </row>
    <row r="44" spans="1:24" ht="15" x14ac:dyDescent="0.2">
      <c r="A44" s="39" t="s">
        <v>32</v>
      </c>
      <c r="B44" s="58">
        <f>B13+B42</f>
        <v>-124569.51</v>
      </c>
      <c r="C44" s="58">
        <f>C13+C42</f>
        <v>-121536.09000000001</v>
      </c>
      <c r="D44" s="58">
        <f>D13+D42</f>
        <v>-780756.74</v>
      </c>
      <c r="E44" s="58">
        <f>E13+E42</f>
        <v>-84314.12</v>
      </c>
      <c r="F44" s="58">
        <f t="shared" ref="F44:P44" si="9">F13+F42</f>
        <v>-86150.56</v>
      </c>
      <c r="G44" s="58">
        <f t="shared" si="9"/>
        <v>-88975.15</v>
      </c>
      <c r="H44" s="58">
        <f t="shared" si="9"/>
        <v>-74103.889999999985</v>
      </c>
      <c r="I44" s="58">
        <f t="shared" si="9"/>
        <v>-51720.05999999999</v>
      </c>
      <c r="J44" s="58">
        <f t="shared" si="9"/>
        <v>-56293.49</v>
      </c>
      <c r="K44" s="58">
        <f t="shared" si="9"/>
        <v>0</v>
      </c>
      <c r="L44" s="58">
        <f t="shared" si="9"/>
        <v>0</v>
      </c>
      <c r="M44" s="58">
        <f t="shared" si="9"/>
        <v>0</v>
      </c>
      <c r="N44" s="58">
        <f t="shared" si="9"/>
        <v>0</v>
      </c>
      <c r="O44" s="58">
        <f t="shared" si="9"/>
        <v>0</v>
      </c>
      <c r="P44" s="58">
        <f t="shared" si="9"/>
        <v>0</v>
      </c>
      <c r="Q44" s="58">
        <f>SUM(B44:P44)</f>
        <v>-1468419.6099999999</v>
      </c>
      <c r="R44" s="21"/>
      <c r="T44" s="70">
        <f t="shared" si="5"/>
        <v>-1468419.6099999999</v>
      </c>
      <c r="V44" s="70">
        <f t="shared" si="6"/>
        <v>0</v>
      </c>
      <c r="X44" s="70">
        <f t="shared" si="7"/>
        <v>-1222314.0099999998</v>
      </c>
    </row>
    <row r="45" spans="1:24" ht="15" x14ac:dyDescent="0.2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4"/>
      <c r="T45" s="70">
        <f t="shared" si="5"/>
        <v>0</v>
      </c>
      <c r="V45" s="70">
        <f t="shared" si="6"/>
        <v>0</v>
      </c>
    </row>
    <row r="46" spans="1:24" ht="15" x14ac:dyDescent="0.2">
      <c r="A46" s="29" t="s">
        <v>56</v>
      </c>
      <c r="B46" s="45">
        <f t="shared" ref="B46:M46" si="10">-B11*13.15%</f>
        <v>0</v>
      </c>
      <c r="C46" s="45">
        <f t="shared" si="10"/>
        <v>0</v>
      </c>
      <c r="D46" s="45">
        <f t="shared" ref="D46" si="11">-D11*13.15%</f>
        <v>0</v>
      </c>
      <c r="E46" s="45">
        <f t="shared" si="10"/>
        <v>0</v>
      </c>
      <c r="F46" s="45">
        <f t="shared" si="10"/>
        <v>0</v>
      </c>
      <c r="G46" s="45">
        <f t="shared" si="10"/>
        <v>0</v>
      </c>
      <c r="H46" s="45">
        <f t="shared" si="10"/>
        <v>0</v>
      </c>
      <c r="I46" s="45">
        <f t="shared" si="10"/>
        <v>0</v>
      </c>
      <c r="J46" s="45">
        <f t="shared" si="10"/>
        <v>0</v>
      </c>
      <c r="K46" s="45">
        <f t="shared" si="10"/>
        <v>0</v>
      </c>
      <c r="L46" s="45">
        <f t="shared" si="10"/>
        <v>0</v>
      </c>
      <c r="M46" s="45">
        <f t="shared" si="10"/>
        <v>0</v>
      </c>
      <c r="N46" s="45">
        <f>-N11*13.15%</f>
        <v>0</v>
      </c>
      <c r="O46" s="45">
        <f t="shared" ref="O46:P46" si="12">-O11*13.15%</f>
        <v>0</v>
      </c>
      <c r="P46" s="45">
        <f t="shared" si="12"/>
        <v>0</v>
      </c>
      <c r="Q46" s="20">
        <f t="shared" ref="Q46" si="13">SUM(B46:P46)</f>
        <v>0</v>
      </c>
      <c r="R46" s="21"/>
      <c r="T46" s="70">
        <f t="shared" si="5"/>
        <v>0</v>
      </c>
      <c r="V46" s="70">
        <f t="shared" si="6"/>
        <v>0</v>
      </c>
      <c r="X46" s="70">
        <f t="shared" si="7"/>
        <v>0</v>
      </c>
    </row>
    <row r="47" spans="1:24" ht="15" x14ac:dyDescent="0.2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4"/>
      <c r="T47" s="70">
        <f t="shared" si="5"/>
        <v>0</v>
      </c>
      <c r="V47" s="70">
        <f t="shared" si="6"/>
        <v>0</v>
      </c>
    </row>
    <row r="48" spans="1:24" ht="15" x14ac:dyDescent="0.2">
      <c r="A48" s="29" t="s">
        <v>33</v>
      </c>
      <c r="B48" s="45">
        <f>-B11*1.22%</f>
        <v>0</v>
      </c>
      <c r="C48" s="45">
        <f t="shared" ref="C48:P48" si="14">-C11*1.22%</f>
        <v>0</v>
      </c>
      <c r="D48" s="45">
        <f t="shared" ref="D48" si="15">-D11*1.22%</f>
        <v>0</v>
      </c>
      <c r="E48" s="45">
        <f t="shared" si="14"/>
        <v>0</v>
      </c>
      <c r="F48" s="45">
        <f t="shared" si="14"/>
        <v>0</v>
      </c>
      <c r="G48" s="45">
        <f>-G11*1.22%</f>
        <v>0</v>
      </c>
      <c r="H48" s="45">
        <f t="shared" si="14"/>
        <v>0</v>
      </c>
      <c r="I48" s="45">
        <f t="shared" si="14"/>
        <v>0</v>
      </c>
      <c r="J48" s="45">
        <f t="shared" si="14"/>
        <v>0</v>
      </c>
      <c r="K48" s="45">
        <f t="shared" si="14"/>
        <v>0</v>
      </c>
      <c r="L48" s="45">
        <f t="shared" si="14"/>
        <v>0</v>
      </c>
      <c r="M48" s="45">
        <f t="shared" si="14"/>
        <v>0</v>
      </c>
      <c r="N48" s="45">
        <f t="shared" si="14"/>
        <v>0</v>
      </c>
      <c r="O48" s="45">
        <f t="shared" si="14"/>
        <v>0</v>
      </c>
      <c r="P48" s="45">
        <f t="shared" si="14"/>
        <v>0</v>
      </c>
      <c r="Q48" s="20">
        <f t="shared" ref="Q48" si="16">SUM(B48:P48)</f>
        <v>0</v>
      </c>
      <c r="R48" s="21"/>
      <c r="T48" s="70">
        <f t="shared" si="5"/>
        <v>0</v>
      </c>
      <c r="V48" s="70">
        <f t="shared" si="6"/>
        <v>0</v>
      </c>
      <c r="X48" s="70">
        <f t="shared" si="7"/>
        <v>0</v>
      </c>
    </row>
    <row r="49" spans="1:24" ht="14.25" x14ac:dyDescent="0.2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4"/>
      <c r="T49" s="70">
        <f t="shared" si="5"/>
        <v>0</v>
      </c>
      <c r="V49" s="70">
        <f t="shared" si="6"/>
        <v>0</v>
      </c>
    </row>
    <row r="50" spans="1:24" ht="15" x14ac:dyDescent="0.2">
      <c r="A50" s="87" t="s">
        <v>107</v>
      </c>
      <c r="B50" s="49">
        <f>B42*5.56%</f>
        <v>-6926.0647559999989</v>
      </c>
      <c r="C50" s="49">
        <f t="shared" ref="C50:O50" si="17">C42*5.56%</f>
        <v>-6757.4066039999998</v>
      </c>
      <c r="D50" s="49">
        <f t="shared" ref="D50" si="18">D42*5.56%</f>
        <v>-43410.074743999998</v>
      </c>
      <c r="E50" s="49">
        <f t="shared" si="17"/>
        <v>-4687.8650719999996</v>
      </c>
      <c r="F50" s="49">
        <f t="shared" si="17"/>
        <v>-4789.9711359999992</v>
      </c>
      <c r="G50" s="49">
        <f t="shared" si="17"/>
        <v>-4947.0183399999996</v>
      </c>
      <c r="H50" s="49">
        <f t="shared" si="17"/>
        <v>-4120.1762839999992</v>
      </c>
      <c r="I50" s="49">
        <f>I42*5.56%</f>
        <v>-2875.6353359999994</v>
      </c>
      <c r="J50" s="49">
        <f t="shared" si="17"/>
        <v>-3129.9180439999996</v>
      </c>
      <c r="K50" s="49">
        <f t="shared" si="17"/>
        <v>0</v>
      </c>
      <c r="L50" s="49">
        <f t="shared" si="17"/>
        <v>0</v>
      </c>
      <c r="M50" s="49">
        <f t="shared" si="17"/>
        <v>0</v>
      </c>
      <c r="N50" s="49">
        <f t="shared" si="17"/>
        <v>0</v>
      </c>
      <c r="O50" s="49">
        <f t="shared" si="17"/>
        <v>0</v>
      </c>
      <c r="P50" s="49">
        <f>P42*5.56%</f>
        <v>0</v>
      </c>
      <c r="Q50" s="20">
        <f t="shared" ref="Q50" si="19">SUM(B50:P50)</f>
        <v>-81644.130315999981</v>
      </c>
      <c r="R50" s="21"/>
      <c r="T50" s="70">
        <f t="shared" si="5"/>
        <v>-81644.130315999981</v>
      </c>
      <c r="V50" s="70">
        <f t="shared" si="6"/>
        <v>0</v>
      </c>
      <c r="X50" s="70">
        <f t="shared" si="7"/>
        <v>-67960.658955999985</v>
      </c>
    </row>
    <row r="51" spans="1:24" ht="14.25" x14ac:dyDescent="0.2">
      <c r="A51" s="43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4"/>
      <c r="T51" s="70">
        <f t="shared" si="5"/>
        <v>0</v>
      </c>
      <c r="V51" s="70">
        <f t="shared" si="6"/>
        <v>0</v>
      </c>
    </row>
    <row r="52" spans="1:24" ht="15" x14ac:dyDescent="0.2">
      <c r="A52" s="87" t="s">
        <v>108</v>
      </c>
      <c r="B52" s="49">
        <f t="shared" ref="B52:M52" si="20">B42*0.01%</f>
        <v>-12.456951</v>
      </c>
      <c r="C52" s="49">
        <f t="shared" si="20"/>
        <v>-12.153609000000001</v>
      </c>
      <c r="D52" s="49">
        <f t="shared" ref="D52" si="21">D42*0.01%</f>
        <v>-78.075674000000006</v>
      </c>
      <c r="E52" s="49">
        <f t="shared" si="20"/>
        <v>-8.4314119999999999</v>
      </c>
      <c r="F52" s="49">
        <f t="shared" si="20"/>
        <v>-8.6150560000000009</v>
      </c>
      <c r="G52" s="49">
        <f t="shared" si="20"/>
        <v>-8.8975150000000003</v>
      </c>
      <c r="H52" s="49">
        <f t="shared" si="20"/>
        <v>-7.4103889999999986</v>
      </c>
      <c r="I52" s="49">
        <f t="shared" si="20"/>
        <v>-5.1720059999999997</v>
      </c>
      <c r="J52" s="49">
        <f t="shared" si="20"/>
        <v>-5.6293490000000004</v>
      </c>
      <c r="K52" s="49">
        <f t="shared" si="20"/>
        <v>0</v>
      </c>
      <c r="L52" s="49">
        <f t="shared" si="20"/>
        <v>0</v>
      </c>
      <c r="M52" s="49">
        <f t="shared" si="20"/>
        <v>0</v>
      </c>
      <c r="N52" s="49">
        <f>N42*0.01%</f>
        <v>0</v>
      </c>
      <c r="O52" s="49">
        <f t="shared" ref="O52" si="22">O42*0.01%</f>
        <v>0</v>
      </c>
      <c r="P52" s="49">
        <f>P42*0.01%</f>
        <v>0</v>
      </c>
      <c r="Q52" s="20">
        <f t="shared" ref="Q52" si="23">SUM(B52:P52)</f>
        <v>-146.84196100000003</v>
      </c>
      <c r="R52" s="21"/>
      <c r="T52" s="70">
        <f t="shared" si="5"/>
        <v>-146.84196100000003</v>
      </c>
      <c r="V52" s="70">
        <f t="shared" si="6"/>
        <v>0</v>
      </c>
      <c r="X52" s="70">
        <f t="shared" si="7"/>
        <v>-122.23140100000003</v>
      </c>
    </row>
    <row r="53" spans="1:24" ht="14.25" x14ac:dyDescent="0.2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4"/>
      <c r="T53" s="70">
        <f t="shared" si="5"/>
        <v>0</v>
      </c>
      <c r="V53" s="70">
        <f t="shared" si="6"/>
        <v>0</v>
      </c>
    </row>
    <row r="54" spans="1:24" ht="15" x14ac:dyDescent="0.2">
      <c r="A54" s="39" t="s">
        <v>92</v>
      </c>
      <c r="B54" s="58">
        <f>B44+B50+B52+B46+B48</f>
        <v>-131508.03170699999</v>
      </c>
      <c r="C54" s="58">
        <f>C44+C50+C52+C46+C48</f>
        <v>-128305.65021300002</v>
      </c>
      <c r="D54" s="58">
        <f>D44+D50+D52+D46+D48</f>
        <v>-824244.89041799994</v>
      </c>
      <c r="E54" s="58">
        <f>E44+E50+E52+E46+E48</f>
        <v>-89010.416484000001</v>
      </c>
      <c r="F54" s="58">
        <f>F44+F50+F52+F46+F48</f>
        <v>-90949.146191999986</v>
      </c>
      <c r="G54" s="58">
        <f t="shared" ref="G54" si="24">G44+G50+G52+G46+G48</f>
        <v>-93931.065854999993</v>
      </c>
      <c r="H54" s="58">
        <f t="shared" ref="H54:O54" si="25">H44+H50+H52+H46+H48</f>
        <v>-78231.476672999983</v>
      </c>
      <c r="I54" s="58">
        <f t="shared" si="25"/>
        <v>-54600.86734199999</v>
      </c>
      <c r="J54" s="58">
        <f t="shared" si="25"/>
        <v>-59429.037392999999</v>
      </c>
      <c r="K54" s="58">
        <f t="shared" si="25"/>
        <v>0</v>
      </c>
      <c r="L54" s="58">
        <f t="shared" si="25"/>
        <v>0</v>
      </c>
      <c r="M54" s="58">
        <f t="shared" si="25"/>
        <v>0</v>
      </c>
      <c r="N54" s="58">
        <f t="shared" si="25"/>
        <v>0</v>
      </c>
      <c r="O54" s="58">
        <f t="shared" si="25"/>
        <v>0</v>
      </c>
      <c r="P54" s="58">
        <f>P44+P50+P52+P46+P48</f>
        <v>0</v>
      </c>
      <c r="Q54" s="58">
        <f>SUM(B54:P54)</f>
        <v>-1550210.5822769997</v>
      </c>
      <c r="R54" s="21"/>
      <c r="T54" s="70">
        <f>SUM(B54:P54)</f>
        <v>-1550210.5822769997</v>
      </c>
      <c r="V54" s="70">
        <f>Q54-T54</f>
        <v>0</v>
      </c>
      <c r="X54" s="70">
        <f t="shared" si="7"/>
        <v>-1290396.9003569996</v>
      </c>
    </row>
    <row r="55" spans="1:24" x14ac:dyDescent="0.2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T55" s="70"/>
      <c r="V55" s="70"/>
    </row>
    <row r="56" spans="1:24" ht="15" x14ac:dyDescent="0.2">
      <c r="A56" s="52" t="s">
        <v>35</v>
      </c>
      <c r="B56" s="13"/>
      <c r="C56" s="13"/>
      <c r="D56" s="13"/>
      <c r="E56" s="13">
        <v>13</v>
      </c>
      <c r="F56" s="13">
        <v>12</v>
      </c>
      <c r="G56" s="13">
        <v>11</v>
      </c>
      <c r="H56" s="13">
        <v>11</v>
      </c>
      <c r="I56" s="13">
        <v>7</v>
      </c>
      <c r="J56" s="13">
        <v>8</v>
      </c>
      <c r="K56" s="13"/>
      <c r="L56" s="13"/>
      <c r="M56" s="13"/>
      <c r="N56" s="13"/>
      <c r="O56" s="13"/>
      <c r="P56" s="13"/>
      <c r="Q56" s="53"/>
      <c r="R56" s="50"/>
    </row>
    <row r="57" spans="1:24" ht="15" x14ac:dyDescent="0.2">
      <c r="A57" s="81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53"/>
      <c r="R57" s="50"/>
    </row>
    <row r="58" spans="1:24" ht="15" customHeight="1" x14ac:dyDescent="0.2">
      <c r="A58" s="54" t="s">
        <v>36</v>
      </c>
      <c r="H58" s="50"/>
      <c r="I58" s="50"/>
      <c r="J58" s="50"/>
      <c r="K58" s="50"/>
      <c r="L58" s="50"/>
      <c r="M58" s="50"/>
      <c r="N58" s="50"/>
      <c r="O58" s="50"/>
      <c r="P58" s="50"/>
      <c r="Q58" s="201">
        <v>46203</v>
      </c>
      <c r="R58" s="201"/>
      <c r="S58" s="83"/>
    </row>
    <row r="59" spans="1:24" x14ac:dyDescent="0.2">
      <c r="P59" s="70"/>
    </row>
    <row r="60" spans="1:24" x14ac:dyDescent="0.2">
      <c r="B60" s="70">
        <f>B13+B42+B46+B48+B50+B52</f>
        <v>-131508.03170699999</v>
      </c>
      <c r="C60" s="70">
        <f t="shared" ref="C60:D60" si="26">C13+C42+C46+C48+C50+C52</f>
        <v>-128305.65021300002</v>
      </c>
      <c r="D60" s="70">
        <f t="shared" si="26"/>
        <v>-824244.89041799994</v>
      </c>
      <c r="E60" s="70">
        <f t="shared" ref="E60:I60" si="27">E13+E42+E46+E48+E50+E52</f>
        <v>-89010.416484000001</v>
      </c>
      <c r="F60" s="70">
        <f t="shared" si="27"/>
        <v>-90949.146191999986</v>
      </c>
      <c r="G60" s="70">
        <f t="shared" si="27"/>
        <v>-93931.065854999993</v>
      </c>
      <c r="H60" s="70">
        <f t="shared" si="27"/>
        <v>-78231.476672999983</v>
      </c>
      <c r="I60" s="70">
        <f t="shared" si="27"/>
        <v>-54600.86734199999</v>
      </c>
      <c r="J60" s="70">
        <f t="shared" ref="J60:P60" si="28">J13+J42+J46+J48+J50+J52</f>
        <v>-59429.037392999999</v>
      </c>
      <c r="K60" s="70">
        <f t="shared" si="28"/>
        <v>0</v>
      </c>
      <c r="L60" s="70">
        <f t="shared" si="28"/>
        <v>0</v>
      </c>
      <c r="M60" s="70">
        <f t="shared" si="28"/>
        <v>0</v>
      </c>
      <c r="N60" s="70">
        <f t="shared" si="28"/>
        <v>0</v>
      </c>
      <c r="O60" s="70">
        <f t="shared" si="28"/>
        <v>0</v>
      </c>
      <c r="P60" s="70">
        <f t="shared" si="28"/>
        <v>0</v>
      </c>
      <c r="Q60" s="70">
        <f>Q13+Q42+Q46+Q48+Q50+Q52</f>
        <v>-1550210.5822770002</v>
      </c>
    </row>
    <row r="62" spans="1:24" x14ac:dyDescent="0.2">
      <c r="B62" s="70">
        <f>B60-B54</f>
        <v>0</v>
      </c>
      <c r="C62" s="70">
        <f>C60-C54</f>
        <v>0</v>
      </c>
      <c r="D62" s="70">
        <f>D60-D54</f>
        <v>0</v>
      </c>
      <c r="E62" s="70">
        <f t="shared" ref="E62:P62" si="29">E60-E54</f>
        <v>0</v>
      </c>
      <c r="F62" s="70">
        <f t="shared" si="29"/>
        <v>0</v>
      </c>
      <c r="G62" s="70">
        <f t="shared" si="29"/>
        <v>0</v>
      </c>
      <c r="H62" s="70">
        <f t="shared" si="29"/>
        <v>0</v>
      </c>
      <c r="I62" s="70">
        <f t="shared" si="29"/>
        <v>0</v>
      </c>
      <c r="J62" s="70">
        <f t="shared" si="29"/>
        <v>0</v>
      </c>
      <c r="K62" s="70">
        <f t="shared" si="29"/>
        <v>0</v>
      </c>
      <c r="L62" s="70">
        <f t="shared" si="29"/>
        <v>0</v>
      </c>
      <c r="M62" s="70">
        <f t="shared" si="29"/>
        <v>0</v>
      </c>
      <c r="N62" s="70">
        <f t="shared" si="29"/>
        <v>0</v>
      </c>
      <c r="O62" s="70">
        <f t="shared" si="29"/>
        <v>0</v>
      </c>
      <c r="P62" s="70">
        <f t="shared" si="29"/>
        <v>0</v>
      </c>
      <c r="Q62" s="70">
        <f>Q60-Q54</f>
        <v>0</v>
      </c>
    </row>
    <row r="65" spans="5:17" x14ac:dyDescent="0.2"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</row>
    <row r="66" spans="5:17" x14ac:dyDescent="0.2"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</row>
  </sheetData>
  <mergeCells count="3">
    <mergeCell ref="Q58:R58"/>
    <mergeCell ref="B5:E5"/>
    <mergeCell ref="B7:D7"/>
  </mergeCells>
  <phoneticPr fontId="12" type="noConversion"/>
  <conditionalFormatting sqref="H54">
    <cfRule type="cellIs" dxfId="209" priority="7" operator="lessThan">
      <formula>0</formula>
    </cfRule>
    <cfRule type="cellIs" dxfId="208" priority="8" operator="greaterThan">
      <formula>0</formula>
    </cfRule>
  </conditionalFormatting>
  <conditionalFormatting sqref="J54:K54">
    <cfRule type="cellIs" dxfId="207" priority="3" operator="lessThan">
      <formula>0</formula>
    </cfRule>
    <cfRule type="cellIs" dxfId="206" priority="4" operator="greaterThan">
      <formula>0</formula>
    </cfRule>
  </conditionalFormatting>
  <conditionalFormatting sqref="M54">
    <cfRule type="cellIs" dxfId="205" priority="1" operator="lessThan">
      <formula>0</formula>
    </cfRule>
    <cfRule type="cellIs" dxfId="204" priority="2" operator="greaterThan">
      <formula>0</formula>
    </cfRule>
  </conditionalFormatting>
  <printOptions horizontalCentered="1" verticalCentered="1"/>
  <pageMargins left="0" right="0" top="0.19685039370078741" bottom="0" header="0.9055118110236221" footer="0"/>
  <pageSetup paperSize="9" scale="70" orientation="landscape" r:id="rId1"/>
  <colBreaks count="1" manualBreakCount="1">
    <brk id="18" max="1048575" man="1"/>
  </colBreaks>
  <ignoredErrors>
    <ignoredError sqref="T55:T62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64"/>
  <sheetViews>
    <sheetView zoomScale="90" zoomScaleNormal="90" workbookViewId="0">
      <pane xSplit="1" topLeftCell="M1" activePane="topRight" state="frozen"/>
      <selection activeCell="C16" sqref="C16"/>
      <selection pane="topRight" activeCell="U17" sqref="U17"/>
    </sheetView>
  </sheetViews>
  <sheetFormatPr defaultColWidth="9.140625" defaultRowHeight="12.75" x14ac:dyDescent="0.2"/>
  <cols>
    <col min="1" max="1" width="47.140625" style="10" customWidth="1"/>
    <col min="2" max="2" width="14.85546875" style="10" customWidth="1"/>
    <col min="3" max="3" width="16.140625" style="10" bestFit="1" customWidth="1"/>
    <col min="4" max="5" width="18" style="10" bestFit="1" customWidth="1"/>
    <col min="6" max="7" width="16.7109375" style="10" customWidth="1"/>
    <col min="8" max="9" width="15.7109375" style="10" customWidth="1"/>
    <col min="10" max="10" width="15.5703125" style="10" customWidth="1"/>
    <col min="11" max="11" width="15.7109375" style="10" customWidth="1"/>
    <col min="12" max="12" width="16.140625" style="10" bestFit="1" customWidth="1"/>
    <col min="13" max="14" width="15.5703125" style="10" customWidth="1"/>
    <col min="15" max="15" width="16.140625" style="10" customWidth="1"/>
    <col min="16" max="16" width="17.85546875" style="10" customWidth="1"/>
    <col min="17" max="17" width="16.7109375" style="10" customWidth="1"/>
    <col min="18" max="18" width="17.7109375" style="10" customWidth="1"/>
    <col min="19" max="19" width="9.28515625" style="10" customWidth="1"/>
    <col min="20" max="20" width="3.5703125" style="10" customWidth="1"/>
    <col min="21" max="21" width="16.85546875" style="10" bestFit="1" customWidth="1"/>
    <col min="22" max="16384" width="9.140625" style="10"/>
  </cols>
  <sheetData>
    <row r="1" spans="1:25" ht="15.75" x14ac:dyDescent="0.25">
      <c r="A1" s="203" t="s">
        <v>105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</row>
    <row r="2" spans="1:25" ht="15.75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25" ht="15.75" x14ac:dyDescent="0.25">
      <c r="A3" s="203" t="s">
        <v>106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</row>
    <row r="4" spans="1:25" ht="15.75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25" ht="15.75" x14ac:dyDescent="0.25">
      <c r="A5" s="203" t="s">
        <v>109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</row>
    <row r="6" spans="1:25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25" ht="10.15" customHeight="1" x14ac:dyDescent="0.25">
      <c r="C7" s="57"/>
      <c r="D7" s="57"/>
      <c r="E7" s="57"/>
      <c r="F7" s="57"/>
      <c r="G7" s="57"/>
    </row>
    <row r="8" spans="1:25" ht="21.75" customHeight="1" x14ac:dyDescent="0.2">
      <c r="B8" s="56" t="s">
        <v>55</v>
      </c>
      <c r="C8" s="205" t="s">
        <v>62</v>
      </c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</row>
    <row r="9" spans="1:25" ht="15" x14ac:dyDescent="0.2">
      <c r="A9" s="12"/>
      <c r="B9" s="55" t="s">
        <v>61</v>
      </c>
      <c r="C9" s="55" t="s">
        <v>63</v>
      </c>
      <c r="D9" s="55" t="s">
        <v>83</v>
      </c>
      <c r="E9" s="55" t="s">
        <v>122</v>
      </c>
      <c r="F9" s="55" t="s">
        <v>117</v>
      </c>
      <c r="G9" s="55" t="s">
        <v>118</v>
      </c>
      <c r="H9" s="64" t="s">
        <v>119</v>
      </c>
      <c r="I9" s="64" t="s">
        <v>120</v>
      </c>
      <c r="J9" s="64" t="s">
        <v>121</v>
      </c>
      <c r="K9" s="64" t="s">
        <v>123</v>
      </c>
      <c r="L9" s="64" t="s">
        <v>124</v>
      </c>
      <c r="M9" s="64" t="s">
        <v>125</v>
      </c>
      <c r="N9" s="64" t="s">
        <v>126</v>
      </c>
      <c r="O9" s="60" t="s">
        <v>127</v>
      </c>
      <c r="P9" s="60" t="s">
        <v>128</v>
      </c>
      <c r="Q9" s="60" t="s">
        <v>129</v>
      </c>
      <c r="R9" s="65" t="s">
        <v>1</v>
      </c>
      <c r="S9" s="66" t="s">
        <v>2</v>
      </c>
    </row>
    <row r="10" spans="1:25" ht="15" x14ac:dyDescent="0.2">
      <c r="A10" s="15" t="s">
        <v>3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/>
      <c r="S10" s="18"/>
    </row>
    <row r="11" spans="1:25" ht="15" x14ac:dyDescent="0.2">
      <c r="A11" s="15" t="s">
        <v>4</v>
      </c>
      <c r="B11" s="19">
        <v>0</v>
      </c>
      <c r="C11" s="19">
        <v>246533.35</v>
      </c>
      <c r="D11" s="19">
        <f>1431743.02-B11-C11</f>
        <v>1185209.67</v>
      </c>
      <c r="E11" s="19">
        <f>2893772.95-B11-C11-D11</f>
        <v>1462029.9300000002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20">
        <f>B11+C11+D11+E11+F11+G11+H11+I11+J11+K11+L11+M11+N11+O11+P11+Q11</f>
        <v>2893772.95</v>
      </c>
      <c r="S11" s="21">
        <f>R11/R13</f>
        <v>0.99522701335906139</v>
      </c>
      <c r="U11" s="99">
        <f>SUM(B11:Q11)</f>
        <v>2893772.95</v>
      </c>
      <c r="V11" s="99">
        <f>U11-R11</f>
        <v>0</v>
      </c>
      <c r="W11" s="63"/>
      <c r="X11" s="63"/>
      <c r="Y11" s="63"/>
    </row>
    <row r="12" spans="1:25" ht="15" x14ac:dyDescent="0.2">
      <c r="A12" s="15" t="s">
        <v>5</v>
      </c>
      <c r="B12" s="22">
        <v>0</v>
      </c>
      <c r="C12" s="22">
        <v>13878.18</v>
      </c>
      <c r="D12" s="22">
        <f>13878.18-B12-C12</f>
        <v>0</v>
      </c>
      <c r="E12" s="22">
        <f>13878.18-C12</f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20">
        <f>B12+C12+D12+E12+F12+G12+H12+I12+J12+K12+L12+M12+N12+O12+P12+Q12</f>
        <v>13878.18</v>
      </c>
      <c r="S12" s="21">
        <f>R12/R13</f>
        <v>4.7729866409385912E-3</v>
      </c>
      <c r="U12" s="99">
        <f t="shared" ref="U12:U54" si="0">SUM(B12:Q12)</f>
        <v>13878.18</v>
      </c>
      <c r="V12" s="99">
        <f t="shared" ref="V12:V54" si="1">U12-R12</f>
        <v>0</v>
      </c>
      <c r="W12" s="63"/>
      <c r="X12" s="63"/>
      <c r="Y12" s="63"/>
    </row>
    <row r="13" spans="1:25" ht="15" x14ac:dyDescent="0.2">
      <c r="A13" s="68" t="s">
        <v>6</v>
      </c>
      <c r="B13" s="67">
        <f>B11+B12</f>
        <v>0</v>
      </c>
      <c r="C13" s="67">
        <f>C11+C12</f>
        <v>260411.53</v>
      </c>
      <c r="D13" s="67">
        <f>D11+D12</f>
        <v>1185209.67</v>
      </c>
      <c r="E13" s="67">
        <f t="shared" ref="E13:G13" si="2">E11+E12</f>
        <v>1462029.9300000002</v>
      </c>
      <c r="F13" s="67"/>
      <c r="G13" s="67">
        <f t="shared" si="2"/>
        <v>0</v>
      </c>
      <c r="H13" s="69">
        <f t="shared" ref="H13:N13" si="3">H11</f>
        <v>0</v>
      </c>
      <c r="I13" s="69">
        <f t="shared" si="3"/>
        <v>0</v>
      </c>
      <c r="J13" s="69">
        <f t="shared" si="3"/>
        <v>0</v>
      </c>
      <c r="K13" s="69">
        <f t="shared" si="3"/>
        <v>0</v>
      </c>
      <c r="L13" s="69">
        <f t="shared" si="3"/>
        <v>0</v>
      </c>
      <c r="M13" s="69">
        <f t="shared" si="3"/>
        <v>0</v>
      </c>
      <c r="N13" s="69">
        <f t="shared" si="3"/>
        <v>0</v>
      </c>
      <c r="O13" s="69">
        <f>O11</f>
        <v>0</v>
      </c>
      <c r="P13" s="69">
        <f t="shared" ref="P13:Q13" si="4">P11</f>
        <v>0</v>
      </c>
      <c r="Q13" s="69">
        <f t="shared" si="4"/>
        <v>0</v>
      </c>
      <c r="R13" s="67">
        <f>SUM(R11:R12)</f>
        <v>2907651.1300000004</v>
      </c>
      <c r="S13" s="21">
        <f>SUM(S11:S12)</f>
        <v>1</v>
      </c>
      <c r="U13" s="99">
        <f t="shared" si="0"/>
        <v>2907651.13</v>
      </c>
      <c r="V13" s="99">
        <f t="shared" si="1"/>
        <v>0</v>
      </c>
    </row>
    <row r="14" spans="1:25" ht="15" x14ac:dyDescent="0.2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7"/>
      <c r="S14" s="28"/>
      <c r="U14" s="99">
        <f t="shared" si="0"/>
        <v>0</v>
      </c>
      <c r="V14" s="99">
        <f t="shared" si="1"/>
        <v>0</v>
      </c>
    </row>
    <row r="15" spans="1:25" ht="15" x14ac:dyDescent="0.2">
      <c r="A15" s="29" t="s">
        <v>7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30"/>
      <c r="S15" s="31"/>
      <c r="U15" s="99">
        <f t="shared" si="0"/>
        <v>0</v>
      </c>
      <c r="V15" s="99">
        <f t="shared" si="1"/>
        <v>0</v>
      </c>
    </row>
    <row r="16" spans="1:25" ht="15" x14ac:dyDescent="0.2">
      <c r="A16" s="15" t="s">
        <v>8</v>
      </c>
      <c r="B16" s="32">
        <f>15.07-287.72</f>
        <v>-272.65000000000003</v>
      </c>
      <c r="C16" s="32">
        <v>-3147.8</v>
      </c>
      <c r="D16" s="32">
        <f>-84418.97-B16-C16</f>
        <v>-80998.52</v>
      </c>
      <c r="E16" s="32">
        <f>-190214.4-B16-C16-D16</f>
        <v>-105795.43000000001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20">
        <f>B16+C16+D16+E16+F16+G16+H16+I16+J16+K16+L16+M16+N16+O16+P16+Q16</f>
        <v>-190214.40000000002</v>
      </c>
      <c r="S16" s="21">
        <f>-R16/$R$13</f>
        <v>6.5418577228004648E-2</v>
      </c>
      <c r="U16" s="99">
        <f>SUM(B16:Q16)</f>
        <v>-190214.40000000002</v>
      </c>
      <c r="V16" s="99">
        <f t="shared" si="1"/>
        <v>0</v>
      </c>
    </row>
    <row r="17" spans="1:22" ht="15" x14ac:dyDescent="0.2">
      <c r="A17" s="33" t="s">
        <v>9</v>
      </c>
      <c r="B17" s="32">
        <v>0</v>
      </c>
      <c r="C17" s="32">
        <v>0</v>
      </c>
      <c r="D17" s="32">
        <f>-4053.88-B17-C17</f>
        <v>-4053.88</v>
      </c>
      <c r="E17" s="32">
        <f>-4053.88-B17-C17-D17</f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20">
        <f t="shared" ref="R17:R41" si="5">B17+C17+D17+E17+F17+G17+H17+I17+J17+K17+L17+M17+N17+O17+P17+Q17</f>
        <v>-4053.88</v>
      </c>
      <c r="S17" s="21">
        <f>-R17/$R$13</f>
        <v>1.3942112787100423E-3</v>
      </c>
      <c r="U17" s="99">
        <f t="shared" si="0"/>
        <v>-4053.88</v>
      </c>
      <c r="V17" s="99">
        <f t="shared" si="1"/>
        <v>0</v>
      </c>
    </row>
    <row r="18" spans="1:22" ht="15" x14ac:dyDescent="0.2">
      <c r="A18" s="15" t="s">
        <v>10</v>
      </c>
      <c r="B18" s="32">
        <v>0</v>
      </c>
      <c r="C18" s="32">
        <v>0</v>
      </c>
      <c r="D18" s="32">
        <f>-1094-B18-C18</f>
        <v>-1094</v>
      </c>
      <c r="E18" s="32">
        <f>-2174-B18-C18-D18</f>
        <v>-1080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20">
        <f t="shared" si="5"/>
        <v>-2174</v>
      </c>
      <c r="S18" s="21">
        <f>-R18/$R$13</f>
        <v>7.4768254608316778E-4</v>
      </c>
      <c r="U18" s="99">
        <f t="shared" si="0"/>
        <v>-2174</v>
      </c>
      <c r="V18" s="99">
        <f t="shared" si="1"/>
        <v>0</v>
      </c>
    </row>
    <row r="19" spans="1:22" ht="15" x14ac:dyDescent="0.2">
      <c r="A19" s="33" t="s">
        <v>11</v>
      </c>
      <c r="B19" s="32">
        <v>0</v>
      </c>
      <c r="C19" s="32">
        <v>-3467.31</v>
      </c>
      <c r="D19" s="32">
        <f>-8069.23-B19-C19</f>
        <v>-4601.92</v>
      </c>
      <c r="E19" s="32">
        <f>-10788.86-B19-C19-D19</f>
        <v>-2719.630000000001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20">
        <f t="shared" si="5"/>
        <v>-10788.86</v>
      </c>
      <c r="S19" s="21">
        <f>-R19/$R$13</f>
        <v>3.7105070442202603E-3</v>
      </c>
      <c r="U19" s="99">
        <f t="shared" si="0"/>
        <v>-10788.86</v>
      </c>
      <c r="V19" s="99">
        <f t="shared" si="1"/>
        <v>0</v>
      </c>
    </row>
    <row r="20" spans="1:22" ht="15" x14ac:dyDescent="0.2">
      <c r="A20" s="15" t="s">
        <v>12</v>
      </c>
      <c r="B20" s="32">
        <f>-263.47-696.64</f>
        <v>-960.11</v>
      </c>
      <c r="C20" s="32">
        <v>-4277.3999999999996</v>
      </c>
      <c r="D20" s="32">
        <f>-54093.61-B20-C20</f>
        <v>-48856.1</v>
      </c>
      <c r="E20" s="32">
        <f>-102612.88-B20-C20-D20</f>
        <v>-48519.270000000011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20">
        <f t="shared" si="5"/>
        <v>-102612.88</v>
      </c>
      <c r="S20" s="21">
        <f>-R20/$R$13</f>
        <v>3.5290643688742671E-2</v>
      </c>
      <c r="U20" s="99">
        <f t="shared" si="0"/>
        <v>-102612.88</v>
      </c>
      <c r="V20" s="99">
        <f t="shared" si="1"/>
        <v>0</v>
      </c>
    </row>
    <row r="21" spans="1:22" ht="15" x14ac:dyDescent="0.2">
      <c r="A21" s="15" t="s">
        <v>13</v>
      </c>
      <c r="B21" s="32">
        <f>-162.42-460.3</f>
        <v>-622.72</v>
      </c>
      <c r="C21" s="32">
        <v>-1064</v>
      </c>
      <c r="D21" s="32">
        <f>-29386.17-B21-C21</f>
        <v>-27699.449999999997</v>
      </c>
      <c r="E21" s="32">
        <f>-60590.37-B21-C21-D21</f>
        <v>-31204.200000000004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20">
        <f t="shared" si="5"/>
        <v>-60590.37</v>
      </c>
      <c r="S21" s="21">
        <f t="shared" ref="S21:S22" si="6">-R21/$R$13</f>
        <v>2.0838253040350131E-2</v>
      </c>
      <c r="U21" s="99">
        <f t="shared" si="0"/>
        <v>-60590.37</v>
      </c>
      <c r="V21" s="99">
        <f t="shared" si="1"/>
        <v>0</v>
      </c>
    </row>
    <row r="22" spans="1:22" ht="15" x14ac:dyDescent="0.2">
      <c r="A22" s="15" t="s">
        <v>14</v>
      </c>
      <c r="B22" s="32">
        <v>-632.27</v>
      </c>
      <c r="C22" s="32">
        <v>0</v>
      </c>
      <c r="D22" s="32">
        <f>-19127.09-B22-C22</f>
        <v>-18494.82</v>
      </c>
      <c r="E22" s="32">
        <f>-41851.18-B22-C22-D22</f>
        <v>-22724.090000000004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20">
        <f t="shared" si="5"/>
        <v>-41851.180000000008</v>
      </c>
      <c r="S22" s="21">
        <f t="shared" si="6"/>
        <v>1.4393466798061156E-2</v>
      </c>
      <c r="U22" s="99">
        <f t="shared" si="0"/>
        <v>-41851.180000000008</v>
      </c>
      <c r="V22" s="99">
        <f t="shared" si="1"/>
        <v>0</v>
      </c>
    </row>
    <row r="23" spans="1:22" ht="15" x14ac:dyDescent="0.2">
      <c r="A23" s="15" t="s">
        <v>15</v>
      </c>
      <c r="B23" s="32">
        <v>0</v>
      </c>
      <c r="C23" s="32">
        <v>0</v>
      </c>
      <c r="D23" s="32">
        <f>2189.52-B23-C23</f>
        <v>2189.52</v>
      </c>
      <c r="E23" s="32">
        <f>2866.52-B23-C23-D23</f>
        <v>677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20">
        <f t="shared" si="5"/>
        <v>2866.52</v>
      </c>
      <c r="S23" s="21">
        <f>R23/$R$13</f>
        <v>9.8585417295231001E-4</v>
      </c>
      <c r="U23" s="99">
        <f t="shared" si="0"/>
        <v>2866.52</v>
      </c>
      <c r="V23" s="99">
        <f t="shared" si="1"/>
        <v>0</v>
      </c>
    </row>
    <row r="24" spans="1:22" ht="15" x14ac:dyDescent="0.2">
      <c r="A24" s="15" t="s">
        <v>16</v>
      </c>
      <c r="B24" s="32">
        <v>0</v>
      </c>
      <c r="C24" s="32">
        <v>0</v>
      </c>
      <c r="D24" s="32">
        <f>0-B24-C24</f>
        <v>0</v>
      </c>
      <c r="E24" s="32">
        <f>0-B24-C24-D24</f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20">
        <f t="shared" si="5"/>
        <v>0</v>
      </c>
      <c r="S24" s="21">
        <f>R24/$R$13</f>
        <v>0</v>
      </c>
      <c r="U24" s="99">
        <f t="shared" si="0"/>
        <v>0</v>
      </c>
      <c r="V24" s="99">
        <f t="shared" si="1"/>
        <v>0</v>
      </c>
    </row>
    <row r="25" spans="1:22" ht="15" x14ac:dyDescent="0.2">
      <c r="A25" s="15" t="s">
        <v>17</v>
      </c>
      <c r="B25" s="32">
        <f>-176.19-555.14</f>
        <v>-731.32999999999993</v>
      </c>
      <c r="C25" s="32">
        <v>-1730.4</v>
      </c>
      <c r="D25" s="32">
        <f>-35654.44-B25-C25</f>
        <v>-33192.71</v>
      </c>
      <c r="E25" s="32">
        <f>-70619.5-B25-C25-D25</f>
        <v>-34965.060000000005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20">
        <f t="shared" si="5"/>
        <v>-70619.5</v>
      </c>
      <c r="S25" s="21">
        <f t="shared" ref="S25" si="7">-R25/$R$13</f>
        <v>2.4287473580092117E-2</v>
      </c>
      <c r="U25" s="99">
        <f t="shared" si="0"/>
        <v>-70619.5</v>
      </c>
      <c r="V25" s="99">
        <f t="shared" si="1"/>
        <v>0</v>
      </c>
    </row>
    <row r="26" spans="1:22" ht="15" x14ac:dyDescent="0.2">
      <c r="A26" s="15" t="s">
        <v>18</v>
      </c>
      <c r="B26" s="32">
        <v>0</v>
      </c>
      <c r="C26" s="32">
        <v>0</v>
      </c>
      <c r="D26" s="32">
        <f>-2889-B26-C26</f>
        <v>-2889</v>
      </c>
      <c r="E26" s="32">
        <f>-7329-B26-C26-D26</f>
        <v>-4440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20">
        <f t="shared" si="5"/>
        <v>-7329</v>
      </c>
      <c r="S26" s="21">
        <f>-R26/$R$13</f>
        <v>2.520591251261976E-3</v>
      </c>
      <c r="U26" s="99">
        <f t="shared" si="0"/>
        <v>-7329</v>
      </c>
      <c r="V26" s="99">
        <f t="shared" si="1"/>
        <v>0</v>
      </c>
    </row>
    <row r="27" spans="1:22" ht="15" x14ac:dyDescent="0.2">
      <c r="A27" s="15" t="s">
        <v>19</v>
      </c>
      <c r="B27" s="32">
        <v>0</v>
      </c>
      <c r="C27" s="32">
        <v>0</v>
      </c>
      <c r="D27" s="32">
        <f>-14203.89-B27-C27</f>
        <v>-14203.89</v>
      </c>
      <c r="E27" s="32">
        <f>-33430.49-B27-C27-D27</f>
        <v>-19226.599999999999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20">
        <f t="shared" si="5"/>
        <v>-33430.49</v>
      </c>
      <c r="S27" s="21">
        <f t="shared" ref="S27:S29" si="8">-R27/$R$13</f>
        <v>1.1497421287952106E-2</v>
      </c>
      <c r="U27" s="99">
        <f t="shared" si="0"/>
        <v>-33430.49</v>
      </c>
      <c r="V27" s="99">
        <f t="shared" si="1"/>
        <v>0</v>
      </c>
    </row>
    <row r="28" spans="1:22" ht="15" x14ac:dyDescent="0.2">
      <c r="A28" s="15" t="s">
        <v>20</v>
      </c>
      <c r="B28" s="32">
        <f>-42.42-69.23</f>
        <v>-111.65</v>
      </c>
      <c r="C28" s="32">
        <v>0</v>
      </c>
      <c r="D28" s="32">
        <f>-111.65-B28-C28</f>
        <v>0</v>
      </c>
      <c r="E28" s="32">
        <f>-111.65-B28-C28-D28</f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20">
        <f t="shared" si="5"/>
        <v>-111.65</v>
      </c>
      <c r="S28" s="21">
        <f t="shared" si="8"/>
        <v>3.8398691936607946E-5</v>
      </c>
      <c r="U28" s="99">
        <f t="shared" si="0"/>
        <v>-111.65</v>
      </c>
      <c r="V28" s="99">
        <f t="shared" si="1"/>
        <v>0</v>
      </c>
    </row>
    <row r="29" spans="1:22" ht="15" x14ac:dyDescent="0.2">
      <c r="A29" s="15" t="s">
        <v>59</v>
      </c>
      <c r="B29" s="32">
        <v>0</v>
      </c>
      <c r="C29" s="32">
        <v>0</v>
      </c>
      <c r="D29" s="32">
        <f>-220-B29-C29</f>
        <v>-220</v>
      </c>
      <c r="E29" s="32">
        <f>-220-B29-C29-D29</f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20">
        <f t="shared" si="5"/>
        <v>-220</v>
      </c>
      <c r="S29" s="21">
        <f t="shared" si="8"/>
        <v>7.5662447165729949E-5</v>
      </c>
      <c r="U29" s="99">
        <f t="shared" si="0"/>
        <v>-220</v>
      </c>
      <c r="V29" s="99">
        <f t="shared" si="1"/>
        <v>0</v>
      </c>
    </row>
    <row r="30" spans="1:22" ht="15" x14ac:dyDescent="0.2">
      <c r="A30" s="15" t="s">
        <v>21</v>
      </c>
      <c r="B30" s="32">
        <v>0</v>
      </c>
      <c r="C30" s="32">
        <v>0</v>
      </c>
      <c r="D30" s="32">
        <f>-4553.96-B30-C30</f>
        <v>-4553.96</v>
      </c>
      <c r="E30" s="32">
        <f>-7000.4-B30-C30-D30</f>
        <v>-2446.4399999999996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20">
        <f t="shared" si="5"/>
        <v>-7000.4</v>
      </c>
      <c r="S30" s="21">
        <f>-R30/$R$13</f>
        <v>2.4075790688135269E-3</v>
      </c>
      <c r="U30" s="99">
        <f t="shared" si="0"/>
        <v>-7000.4</v>
      </c>
      <c r="V30" s="99">
        <f t="shared" si="1"/>
        <v>0</v>
      </c>
    </row>
    <row r="31" spans="1:22" ht="15" x14ac:dyDescent="0.2">
      <c r="A31" s="15" t="s">
        <v>22</v>
      </c>
      <c r="B31" s="32">
        <v>0</v>
      </c>
      <c r="C31" s="32">
        <v>0</v>
      </c>
      <c r="D31" s="32">
        <f>-1700-B31-C31</f>
        <v>-1700</v>
      </c>
      <c r="E31" s="32">
        <f>-1700-B31-C31-D31</f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20">
        <f t="shared" si="5"/>
        <v>-1700</v>
      </c>
      <c r="S31" s="21">
        <f>-R31/$R$13</f>
        <v>5.8466436446245862E-4</v>
      </c>
      <c r="U31" s="99">
        <f t="shared" si="0"/>
        <v>-1700</v>
      </c>
      <c r="V31" s="99">
        <f t="shared" si="1"/>
        <v>0</v>
      </c>
    </row>
    <row r="32" spans="1:22" ht="15" x14ac:dyDescent="0.2">
      <c r="A32" s="33" t="s">
        <v>23</v>
      </c>
      <c r="B32" s="32">
        <v>0</v>
      </c>
      <c r="C32" s="32">
        <v>-9447.0400000000009</v>
      </c>
      <c r="D32" s="32">
        <f>-31028.35-B32-C32</f>
        <v>-21581.309999999998</v>
      </c>
      <c r="E32" s="32">
        <f>-31119.46-B32-C32-D32</f>
        <v>-91.110000000000582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20">
        <f t="shared" si="5"/>
        <v>-31119.46</v>
      </c>
      <c r="S32" s="21">
        <f t="shared" ref="S32:S35" si="9">-R32/$R$13</f>
        <v>1.0702611354891119E-2</v>
      </c>
      <c r="U32" s="99">
        <f t="shared" si="0"/>
        <v>-31119.46</v>
      </c>
      <c r="V32" s="99">
        <f t="shared" si="1"/>
        <v>0</v>
      </c>
    </row>
    <row r="33" spans="1:22" ht="15" x14ac:dyDescent="0.2">
      <c r="A33" s="15" t="s">
        <v>24</v>
      </c>
      <c r="B33" s="32">
        <f>-1301-1682</f>
        <v>-2983</v>
      </c>
      <c r="C33" s="32">
        <v>-1644</v>
      </c>
      <c r="D33" s="32">
        <f>-164963.45-B33-C33</f>
        <v>-160336.45000000001</v>
      </c>
      <c r="E33" s="32">
        <f>-346100.83-B33-C33-D33</f>
        <v>-181137.38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20">
        <f t="shared" si="5"/>
        <v>-346100.83</v>
      </c>
      <c r="S33" s="21">
        <f t="shared" si="9"/>
        <v>0.11903107165404674</v>
      </c>
      <c r="U33" s="99">
        <f t="shared" si="0"/>
        <v>-346100.83</v>
      </c>
      <c r="V33" s="99">
        <f t="shared" si="1"/>
        <v>0</v>
      </c>
    </row>
    <row r="34" spans="1:22" ht="15" x14ac:dyDescent="0.2">
      <c r="A34" s="34" t="s">
        <v>25</v>
      </c>
      <c r="B34" s="32">
        <f>-2028.78-5591.34</f>
        <v>-7620.12</v>
      </c>
      <c r="C34" s="32">
        <v>-13299.43</v>
      </c>
      <c r="D34" s="32">
        <f>-357928.53-B34-C34</f>
        <v>-337008.98000000004</v>
      </c>
      <c r="E34" s="32">
        <f>-706283.73-B34-C34-D34</f>
        <v>-348355.1999999999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20">
        <f t="shared" si="5"/>
        <v>-706283.73</v>
      </c>
      <c r="S34" s="21">
        <f t="shared" si="9"/>
        <v>0.24290525184154396</v>
      </c>
      <c r="U34" s="99">
        <f t="shared" si="0"/>
        <v>-706283.73</v>
      </c>
      <c r="V34" s="99">
        <f t="shared" si="1"/>
        <v>0</v>
      </c>
    </row>
    <row r="35" spans="1:22" ht="15" x14ac:dyDescent="0.2">
      <c r="A35" s="15" t="s">
        <v>26</v>
      </c>
      <c r="B35" s="32">
        <v>-300</v>
      </c>
      <c r="C35" s="32">
        <v>0</v>
      </c>
      <c r="D35" s="32">
        <f>-364.5-B35-C35</f>
        <v>-64.5</v>
      </c>
      <c r="E35" s="32">
        <f>-437.3-B35-C35-D35</f>
        <v>-72.800000000000011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20">
        <f t="shared" si="5"/>
        <v>-437.3</v>
      </c>
      <c r="S35" s="21">
        <f t="shared" si="9"/>
        <v>1.5039630975260775E-4</v>
      </c>
      <c r="U35" s="99">
        <f t="shared" si="0"/>
        <v>-437.3</v>
      </c>
      <c r="V35" s="99">
        <f t="shared" si="1"/>
        <v>0</v>
      </c>
    </row>
    <row r="36" spans="1:22" ht="15" x14ac:dyDescent="0.2">
      <c r="A36" s="15" t="s">
        <v>27</v>
      </c>
      <c r="B36" s="32">
        <v>0</v>
      </c>
      <c r="C36" s="32">
        <v>0</v>
      </c>
      <c r="D36" s="32">
        <f>0-B36-C36</f>
        <v>0</v>
      </c>
      <c r="E36" s="32">
        <f>0-B36-C36-D36</f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32">
        <v>0</v>
      </c>
      <c r="R36" s="20">
        <f t="shared" si="5"/>
        <v>0</v>
      </c>
      <c r="S36" s="21">
        <f>R36/$R$13</f>
        <v>0</v>
      </c>
      <c r="U36" s="99">
        <f t="shared" si="0"/>
        <v>0</v>
      </c>
      <c r="V36" s="99">
        <f t="shared" si="1"/>
        <v>0</v>
      </c>
    </row>
    <row r="37" spans="1:22" ht="15" x14ac:dyDescent="0.2">
      <c r="A37" s="33" t="s">
        <v>28</v>
      </c>
      <c r="B37" s="32">
        <v>0</v>
      </c>
      <c r="C37" s="32">
        <v>-3442</v>
      </c>
      <c r="D37" s="32">
        <f>-6568.64-B37-C37</f>
        <v>-3126.6400000000003</v>
      </c>
      <c r="E37" s="32">
        <f>-10452.41-B37-C37-D37</f>
        <v>-3883.7699999999995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20">
        <f t="shared" si="5"/>
        <v>-10452.41</v>
      </c>
      <c r="S37" s="21">
        <f>-R37/$R$13</f>
        <v>3.5947950880888513E-3</v>
      </c>
      <c r="U37" s="99">
        <f t="shared" si="0"/>
        <v>-10452.41</v>
      </c>
      <c r="V37" s="99">
        <f t="shared" si="1"/>
        <v>0</v>
      </c>
    </row>
    <row r="38" spans="1:22" ht="15" x14ac:dyDescent="0.2">
      <c r="A38" s="15" t="s">
        <v>29</v>
      </c>
      <c r="B38" s="32">
        <f>121.81+183.78</f>
        <v>305.59000000000003</v>
      </c>
      <c r="C38" s="32">
        <v>156.6</v>
      </c>
      <c r="D38" s="32">
        <f>-28488.44-B38-C38</f>
        <v>-28950.629999999997</v>
      </c>
      <c r="E38" s="32">
        <f>-67336.36-B38-C38-D38</f>
        <v>-38847.920000000006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20">
        <f t="shared" si="5"/>
        <v>-67336.36</v>
      </c>
      <c r="S38" s="21">
        <f t="shared" ref="S38:S42" si="10">-R38/$R$13</f>
        <v>2.315833536742078E-2</v>
      </c>
      <c r="U38" s="99">
        <f t="shared" si="0"/>
        <v>-67336.36</v>
      </c>
      <c r="V38" s="99">
        <f t="shared" si="1"/>
        <v>0</v>
      </c>
    </row>
    <row r="39" spans="1:22" ht="15" x14ac:dyDescent="0.2">
      <c r="A39" s="15" t="s">
        <v>30</v>
      </c>
      <c r="B39" s="32">
        <f>-197.61-522.48</f>
        <v>-720.09</v>
      </c>
      <c r="C39" s="32">
        <v>-3174.64</v>
      </c>
      <c r="D39" s="32">
        <f>-38780.29-B39-C39</f>
        <v>-34885.560000000005</v>
      </c>
      <c r="E39" s="32">
        <f>-74177.15-B39-C39-D39</f>
        <v>-35396.859999999993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20">
        <f t="shared" si="5"/>
        <v>-74177.149999999994</v>
      </c>
      <c r="S39" s="21">
        <f t="shared" si="10"/>
        <v>2.5511021330815568E-2</v>
      </c>
      <c r="U39" s="99">
        <f t="shared" si="0"/>
        <v>-74177.149999999994</v>
      </c>
      <c r="V39" s="99">
        <f t="shared" si="1"/>
        <v>0</v>
      </c>
    </row>
    <row r="40" spans="1:22" ht="15" x14ac:dyDescent="0.2">
      <c r="A40" s="15" t="s">
        <v>97</v>
      </c>
      <c r="B40" s="32">
        <v>0</v>
      </c>
      <c r="C40" s="32">
        <v>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20">
        <f t="shared" si="5"/>
        <v>0</v>
      </c>
      <c r="S40" s="21">
        <f t="shared" si="10"/>
        <v>0</v>
      </c>
      <c r="U40" s="99">
        <f t="shared" si="0"/>
        <v>0</v>
      </c>
      <c r="V40" s="99">
        <f t="shared" si="1"/>
        <v>0</v>
      </c>
    </row>
    <row r="41" spans="1:22" ht="15" x14ac:dyDescent="0.2">
      <c r="A41" s="15" t="s">
        <v>114</v>
      </c>
      <c r="B41" s="32">
        <v>0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32">
        <v>0</v>
      </c>
      <c r="R41" s="20">
        <f t="shared" si="5"/>
        <v>0</v>
      </c>
      <c r="S41" s="21"/>
      <c r="U41" s="99">
        <f t="shared" si="0"/>
        <v>0</v>
      </c>
      <c r="V41" s="99">
        <f t="shared" si="1"/>
        <v>0</v>
      </c>
    </row>
    <row r="42" spans="1:22" ht="15" x14ac:dyDescent="0.2">
      <c r="A42" s="35" t="s">
        <v>31</v>
      </c>
      <c r="B42" s="36">
        <f>SUM(B16:B41)</f>
        <v>-14648.349999999999</v>
      </c>
      <c r="C42" s="36">
        <f t="shared" ref="C42:Q42" si="11">SUM(C16:C41)</f>
        <v>-44537.420000000006</v>
      </c>
      <c r="D42" s="36">
        <f t="shared" si="11"/>
        <v>-826322.8</v>
      </c>
      <c r="E42" s="36">
        <f t="shared" si="11"/>
        <v>-880228.76</v>
      </c>
      <c r="F42" s="36">
        <f t="shared" si="11"/>
        <v>0</v>
      </c>
      <c r="G42" s="36">
        <f t="shared" si="11"/>
        <v>0</v>
      </c>
      <c r="H42" s="36">
        <f t="shared" si="11"/>
        <v>0</v>
      </c>
      <c r="I42" s="36">
        <f t="shared" si="11"/>
        <v>0</v>
      </c>
      <c r="J42" s="36">
        <f t="shared" si="11"/>
        <v>0</v>
      </c>
      <c r="K42" s="36">
        <f t="shared" si="11"/>
        <v>0</v>
      </c>
      <c r="L42" s="36">
        <f t="shared" si="11"/>
        <v>0</v>
      </c>
      <c r="M42" s="36">
        <f t="shared" si="11"/>
        <v>0</v>
      </c>
      <c r="N42" s="36">
        <f t="shared" si="11"/>
        <v>0</v>
      </c>
      <c r="O42" s="36">
        <f t="shared" si="11"/>
        <v>0</v>
      </c>
      <c r="P42" s="36">
        <f t="shared" si="11"/>
        <v>0</v>
      </c>
      <c r="Q42" s="36">
        <f t="shared" si="11"/>
        <v>0</v>
      </c>
      <c r="R42" s="36">
        <f>SUM(R16:R41)</f>
        <v>-1765737.3299999998</v>
      </c>
      <c r="S42" s="21">
        <f t="shared" si="10"/>
        <v>0.60727276108946382</v>
      </c>
      <c r="U42" s="99">
        <f t="shared" si="0"/>
        <v>-1765737.33</v>
      </c>
      <c r="V42" s="99">
        <f t="shared" si="1"/>
        <v>0</v>
      </c>
    </row>
    <row r="43" spans="1:22" ht="15" x14ac:dyDescent="0.2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27"/>
      <c r="S43" s="18"/>
      <c r="U43" s="99">
        <f t="shared" si="0"/>
        <v>0</v>
      </c>
      <c r="V43" s="99">
        <f t="shared" si="1"/>
        <v>0</v>
      </c>
    </row>
    <row r="44" spans="1:22" ht="15" x14ac:dyDescent="0.2">
      <c r="A44" s="39" t="s">
        <v>32</v>
      </c>
      <c r="B44" s="58">
        <f t="shared" ref="B44" si="12">B13+B42</f>
        <v>-14648.349999999999</v>
      </c>
      <c r="C44" s="58">
        <f t="shared" ref="C44:J44" si="13">C13+C42</f>
        <v>215874.11</v>
      </c>
      <c r="D44" s="40">
        <f>D13+D42</f>
        <v>358886.86999999988</v>
      </c>
      <c r="E44" s="40">
        <f t="shared" si="13"/>
        <v>581801.17000000016</v>
      </c>
      <c r="F44" s="40">
        <f t="shared" si="13"/>
        <v>0</v>
      </c>
      <c r="G44" s="40">
        <f t="shared" si="13"/>
        <v>0</v>
      </c>
      <c r="H44" s="40">
        <f>H13+H42</f>
        <v>0</v>
      </c>
      <c r="I44" s="40">
        <f t="shared" si="13"/>
        <v>0</v>
      </c>
      <c r="J44" s="84">
        <f t="shared" si="13"/>
        <v>0</v>
      </c>
      <c r="K44" s="40">
        <f>K13+K42</f>
        <v>0</v>
      </c>
      <c r="L44" s="40">
        <f t="shared" ref="L44:Q44" si="14">L13+L42</f>
        <v>0</v>
      </c>
      <c r="M44" s="40">
        <f t="shared" si="14"/>
        <v>0</v>
      </c>
      <c r="N44" s="40">
        <f t="shared" si="14"/>
        <v>0</v>
      </c>
      <c r="O44" s="84">
        <f t="shared" si="14"/>
        <v>0</v>
      </c>
      <c r="P44" s="40">
        <f t="shared" si="14"/>
        <v>0</v>
      </c>
      <c r="Q44" s="40">
        <f t="shared" si="14"/>
        <v>0</v>
      </c>
      <c r="R44" s="40">
        <f>B44+C44+D44+E44+F44+G44+H44+I44+J44+K44+L44+M44+N44+O44+P44+Q44</f>
        <v>1141913.8</v>
      </c>
      <c r="S44" s="21">
        <f>R44/$R$13</f>
        <v>0.39272723891053596</v>
      </c>
      <c r="U44" s="99">
        <f t="shared" si="0"/>
        <v>1141913.8</v>
      </c>
      <c r="V44" s="99">
        <f t="shared" si="1"/>
        <v>0</v>
      </c>
    </row>
    <row r="45" spans="1:22" ht="15" x14ac:dyDescent="0.2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3"/>
      <c r="S45" s="44"/>
      <c r="U45" s="99">
        <f t="shared" si="0"/>
        <v>0</v>
      </c>
      <c r="V45" s="99">
        <f t="shared" si="1"/>
        <v>0</v>
      </c>
    </row>
    <row r="46" spans="1:22" ht="15" x14ac:dyDescent="0.2">
      <c r="A46" s="29" t="s">
        <v>56</v>
      </c>
      <c r="B46" s="45">
        <f>B13*-12.46%</f>
        <v>0</v>
      </c>
      <c r="C46" s="45">
        <f>-C13*12.46%</f>
        <v>-32447.276637999999</v>
      </c>
      <c r="D46" s="45">
        <f>-D13*12.46%</f>
        <v>-147677.124882</v>
      </c>
      <c r="E46" s="45">
        <f t="shared" ref="E46:N46" si="15">-E13*13.15%</f>
        <v>-192256.93579500003</v>
      </c>
      <c r="F46" s="45">
        <f t="shared" si="15"/>
        <v>0</v>
      </c>
      <c r="G46" s="45">
        <f t="shared" si="15"/>
        <v>0</v>
      </c>
      <c r="H46" s="45">
        <f t="shared" si="15"/>
        <v>0</v>
      </c>
      <c r="I46" s="45">
        <f t="shared" si="15"/>
        <v>0</v>
      </c>
      <c r="J46" s="45">
        <f t="shared" si="15"/>
        <v>0</v>
      </c>
      <c r="K46" s="45">
        <f t="shared" si="15"/>
        <v>0</v>
      </c>
      <c r="L46" s="45">
        <f t="shared" si="15"/>
        <v>0</v>
      </c>
      <c r="M46" s="45">
        <f t="shared" si="15"/>
        <v>0</v>
      </c>
      <c r="N46" s="45">
        <f t="shared" si="15"/>
        <v>0</v>
      </c>
      <c r="O46" s="45">
        <f>-O11*13.15%</f>
        <v>0</v>
      </c>
      <c r="P46" s="45">
        <f t="shared" ref="P46:Q46" si="16">-P11*13.15%</f>
        <v>0</v>
      </c>
      <c r="Q46" s="45">
        <f t="shared" si="16"/>
        <v>0</v>
      </c>
      <c r="R46" s="45">
        <f>B46+C46+D46+E46+F46+G46+H46+I46+J46+K46+L46+M46+N46+O46+P46+Q46</f>
        <v>-372381.33731500001</v>
      </c>
      <c r="S46" s="21">
        <f t="shared" ref="S46" si="17">-R46/$R$13</f>
        <v>0.12806946936409114</v>
      </c>
      <c r="U46" s="99">
        <f t="shared" si="0"/>
        <v>-372381.33731500001</v>
      </c>
      <c r="V46" s="99">
        <f t="shared" si="1"/>
        <v>0</v>
      </c>
    </row>
    <row r="47" spans="1:22" ht="15" x14ac:dyDescent="0.2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4"/>
      <c r="U47" s="99">
        <f t="shared" si="0"/>
        <v>0</v>
      </c>
      <c r="V47" s="99">
        <f t="shared" si="1"/>
        <v>0</v>
      </c>
    </row>
    <row r="48" spans="1:22" ht="15" x14ac:dyDescent="0.2">
      <c r="A48" s="29" t="s">
        <v>33</v>
      </c>
      <c r="B48" s="45">
        <f t="shared" ref="B48" si="18">-B11*1.22%</f>
        <v>0</v>
      </c>
      <c r="C48" s="45">
        <f t="shared" ref="C48:K48" si="19">-C11*1.22%</f>
        <v>-3007.70687</v>
      </c>
      <c r="D48" s="45">
        <f t="shared" si="19"/>
        <v>-14459.557973999998</v>
      </c>
      <c r="E48" s="45">
        <f t="shared" ref="E48:G48" si="20">-E11*1.22%</f>
        <v>-17836.765146000002</v>
      </c>
      <c r="F48" s="45">
        <f t="shared" si="20"/>
        <v>0</v>
      </c>
      <c r="G48" s="45">
        <f t="shared" si="20"/>
        <v>0</v>
      </c>
      <c r="H48" s="45">
        <f t="shared" si="19"/>
        <v>0</v>
      </c>
      <c r="I48" s="45">
        <f t="shared" si="19"/>
        <v>0</v>
      </c>
      <c r="J48" s="45">
        <f t="shared" si="19"/>
        <v>0</v>
      </c>
      <c r="K48" s="45">
        <f t="shared" si="19"/>
        <v>0</v>
      </c>
      <c r="L48" s="45">
        <f t="shared" ref="L48:Q48" si="21">-L11*1.22%</f>
        <v>0</v>
      </c>
      <c r="M48" s="45">
        <f t="shared" si="21"/>
        <v>0</v>
      </c>
      <c r="N48" s="45">
        <f t="shared" si="21"/>
        <v>0</v>
      </c>
      <c r="O48" s="45">
        <f t="shared" si="21"/>
        <v>0</v>
      </c>
      <c r="P48" s="45">
        <f t="shared" si="21"/>
        <v>0</v>
      </c>
      <c r="Q48" s="45">
        <f t="shared" si="21"/>
        <v>0</v>
      </c>
      <c r="R48" s="45">
        <f>B48+C48+D48+E48+F48+G48+H48+I48+J48+K48+L48+M48+N48+O48+P48+Q48</f>
        <v>-35304.029989999995</v>
      </c>
      <c r="S48" s="21">
        <f t="shared" ref="S48" si="22">-R48/$R$13</f>
        <v>1.2141769562980546E-2</v>
      </c>
      <c r="U48" s="99">
        <f t="shared" si="0"/>
        <v>-35304.029989999995</v>
      </c>
      <c r="V48" s="99">
        <f t="shared" si="1"/>
        <v>0</v>
      </c>
    </row>
    <row r="49" spans="1:22" ht="14.25" x14ac:dyDescent="0.2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4"/>
      <c r="U49" s="99">
        <f t="shared" si="0"/>
        <v>0</v>
      </c>
      <c r="V49" s="99">
        <f t="shared" si="1"/>
        <v>0</v>
      </c>
    </row>
    <row r="50" spans="1:22" ht="15" x14ac:dyDescent="0.2">
      <c r="A50" s="87" t="s">
        <v>107</v>
      </c>
      <c r="B50" s="49">
        <f t="shared" ref="B50" si="23">B42*5.56%</f>
        <v>-814.44825999999989</v>
      </c>
      <c r="C50" s="49">
        <f t="shared" ref="C50:K50" si="24">C42*5.56%</f>
        <v>-2476.2805520000002</v>
      </c>
      <c r="D50" s="49">
        <f t="shared" si="24"/>
        <v>-45943.547680000003</v>
      </c>
      <c r="E50" s="49">
        <f t="shared" ref="E50:G50" si="25">E42*5.56%</f>
        <v>-48940.719055999994</v>
      </c>
      <c r="F50" s="49">
        <f t="shared" si="25"/>
        <v>0</v>
      </c>
      <c r="G50" s="49">
        <f t="shared" si="25"/>
        <v>0</v>
      </c>
      <c r="H50" s="49">
        <f t="shared" si="24"/>
        <v>0</v>
      </c>
      <c r="I50" s="49">
        <f t="shared" si="24"/>
        <v>0</v>
      </c>
      <c r="J50" s="49">
        <f t="shared" si="24"/>
        <v>0</v>
      </c>
      <c r="K50" s="49">
        <f t="shared" si="24"/>
        <v>0</v>
      </c>
      <c r="L50" s="49">
        <f t="shared" ref="L50:Q50" si="26">L42*5.56%</f>
        <v>0</v>
      </c>
      <c r="M50" s="49">
        <f t="shared" si="26"/>
        <v>0</v>
      </c>
      <c r="N50" s="49">
        <f t="shared" si="26"/>
        <v>0</v>
      </c>
      <c r="O50" s="49">
        <f t="shared" si="26"/>
        <v>0</v>
      </c>
      <c r="P50" s="49">
        <f t="shared" si="26"/>
        <v>0</v>
      </c>
      <c r="Q50" s="49">
        <f t="shared" si="26"/>
        <v>0</v>
      </c>
      <c r="R50" s="45">
        <f>B50+C50+D50+E50+F50+G50+H50+I50+J50+K50+L50+M50+N50+O50+P50+Q50</f>
        <v>-98174.995548000006</v>
      </c>
      <c r="S50" s="21">
        <f t="shared" ref="S50" si="27">-R50/$R$13</f>
        <v>3.3764365516574198E-2</v>
      </c>
      <c r="U50" s="99">
        <f t="shared" si="0"/>
        <v>-98174.995548000006</v>
      </c>
      <c r="V50" s="99">
        <f t="shared" si="1"/>
        <v>0</v>
      </c>
    </row>
    <row r="51" spans="1:22" ht="14.25" x14ac:dyDescent="0.2">
      <c r="A51" s="43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4"/>
      <c r="U51" s="99">
        <f t="shared" si="0"/>
        <v>0</v>
      </c>
      <c r="V51" s="99">
        <f t="shared" si="1"/>
        <v>0</v>
      </c>
    </row>
    <row r="52" spans="1:22" ht="15" x14ac:dyDescent="0.2">
      <c r="A52" s="87" t="s">
        <v>108</v>
      </c>
      <c r="B52" s="49">
        <f>B42*2.76%</f>
        <v>-404.29445999999996</v>
      </c>
      <c r="C52" s="49">
        <f>C42*2.76%</f>
        <v>-1229.2327920000002</v>
      </c>
      <c r="D52" s="49">
        <f>D42*2.76%</f>
        <v>-22806.509280000002</v>
      </c>
      <c r="E52" s="49">
        <f t="shared" ref="E52:G52" si="28">E42*0.01%</f>
        <v>-88.022876000000011</v>
      </c>
      <c r="F52" s="49">
        <f t="shared" si="28"/>
        <v>0</v>
      </c>
      <c r="G52" s="49">
        <f t="shared" si="28"/>
        <v>0</v>
      </c>
      <c r="H52" s="49">
        <f t="shared" ref="H52:N52" si="29">H42*0.01%</f>
        <v>0</v>
      </c>
      <c r="I52" s="49">
        <f t="shared" si="29"/>
        <v>0</v>
      </c>
      <c r="J52" s="49">
        <f t="shared" si="29"/>
        <v>0</v>
      </c>
      <c r="K52" s="49">
        <f t="shared" si="29"/>
        <v>0</v>
      </c>
      <c r="L52" s="49">
        <f t="shared" si="29"/>
        <v>0</v>
      </c>
      <c r="M52" s="49">
        <f t="shared" si="29"/>
        <v>0</v>
      </c>
      <c r="N52" s="49">
        <f t="shared" si="29"/>
        <v>0</v>
      </c>
      <c r="O52" s="49">
        <f>O42*0.01%</f>
        <v>0</v>
      </c>
      <c r="P52" s="49">
        <f t="shared" ref="P52:Q52" si="30">P42*0.01%</f>
        <v>0</v>
      </c>
      <c r="Q52" s="49">
        <f t="shared" si="30"/>
        <v>0</v>
      </c>
      <c r="R52" s="45">
        <f>B52+C52+D52+E52+F52+G52+H52+I52+J52+K52+L52+M52+N52+O52+P52+Q52</f>
        <v>-24528.059408000001</v>
      </c>
      <c r="S52" s="21">
        <f t="shared" ref="S52" si="31">-R52/$R$13</f>
        <v>8.4356954501622061E-3</v>
      </c>
      <c r="U52" s="99">
        <f t="shared" si="0"/>
        <v>-24528.059408000001</v>
      </c>
      <c r="V52" s="99">
        <f t="shared" si="1"/>
        <v>0</v>
      </c>
    </row>
    <row r="53" spans="1:22" ht="14.25" x14ac:dyDescent="0.2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4"/>
      <c r="U53" s="99">
        <f t="shared" si="0"/>
        <v>0</v>
      </c>
      <c r="V53" s="99">
        <f t="shared" si="1"/>
        <v>0</v>
      </c>
    </row>
    <row r="54" spans="1:22" ht="15" x14ac:dyDescent="0.2">
      <c r="A54" s="39" t="s">
        <v>34</v>
      </c>
      <c r="B54" s="58">
        <f t="shared" ref="B54" si="32">B44+B50+B52+B46+B48</f>
        <v>-15867.092719999997</v>
      </c>
      <c r="C54" s="58">
        <f t="shared" ref="C54:J54" si="33">C44+C50+C52+C46+C48</f>
        <v>176713.61314799997</v>
      </c>
      <c r="D54" s="40">
        <f t="shared" si="33"/>
        <v>128000.13018399986</v>
      </c>
      <c r="E54" s="40">
        <f t="shared" ref="E54:G54" si="34">E44+E50+E52+E46+E48</f>
        <v>322678.72712700005</v>
      </c>
      <c r="F54" s="40">
        <f t="shared" si="34"/>
        <v>0</v>
      </c>
      <c r="G54" s="58">
        <f t="shared" si="34"/>
        <v>0</v>
      </c>
      <c r="H54" s="40">
        <f>H44+H50+H52+H46+H48</f>
        <v>0</v>
      </c>
      <c r="I54" s="58">
        <f t="shared" si="33"/>
        <v>0</v>
      </c>
      <c r="J54" s="58">
        <f t="shared" si="33"/>
        <v>0</v>
      </c>
      <c r="K54" s="58">
        <f>K44+K50+K52+K46+K48</f>
        <v>0</v>
      </c>
      <c r="L54" s="58">
        <f t="shared" ref="L54:Q54" si="35">L44+L50+L52+L46+L48</f>
        <v>0</v>
      </c>
      <c r="M54" s="40">
        <f t="shared" si="35"/>
        <v>0</v>
      </c>
      <c r="N54" s="58">
        <f t="shared" si="35"/>
        <v>0</v>
      </c>
      <c r="O54" s="84">
        <f t="shared" si="35"/>
        <v>0</v>
      </c>
      <c r="P54" s="58">
        <f>P44+P50+P52+P46+P48</f>
        <v>0</v>
      </c>
      <c r="Q54" s="40">
        <f t="shared" si="35"/>
        <v>0</v>
      </c>
      <c r="R54" s="40">
        <f>B54+C54+D54+E54+F54+G54+H54+I54+J54+K54+L54+M54+N54+O54+P54+Q54</f>
        <v>611525.3777389999</v>
      </c>
      <c r="S54" s="21">
        <f>R54/$R$13</f>
        <v>0.21031593901672785</v>
      </c>
      <c r="U54" s="99">
        <f t="shared" si="0"/>
        <v>611525.3777389999</v>
      </c>
      <c r="V54" s="99">
        <f t="shared" si="1"/>
        <v>0</v>
      </c>
    </row>
    <row r="55" spans="1:22" x14ac:dyDescent="0.2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</row>
    <row r="56" spans="1:22" x14ac:dyDescent="0.2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75"/>
      <c r="S56" s="50"/>
    </row>
    <row r="57" spans="1:22" ht="15" x14ac:dyDescent="0.2">
      <c r="A57" s="206" t="s">
        <v>35</v>
      </c>
      <c r="B57" s="207"/>
      <c r="C57" s="207"/>
      <c r="D57" s="208"/>
      <c r="E57" s="77"/>
      <c r="F57" s="77"/>
      <c r="G57" s="77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53"/>
      <c r="S57" s="50"/>
    </row>
    <row r="59" spans="1:22" x14ac:dyDescent="0.2">
      <c r="A59" s="54" t="s">
        <v>36</v>
      </c>
      <c r="B59" s="54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204">
        <v>45322</v>
      </c>
      <c r="T59" s="204"/>
    </row>
    <row r="61" spans="1:22" x14ac:dyDescent="0.2">
      <c r="B61" s="70">
        <f>B13+B42+B46+B48+B50+B52</f>
        <v>-15867.092719999997</v>
      </c>
      <c r="C61" s="70">
        <f t="shared" ref="C61:R61" si="36">C13+C42+C46+C48+C50+C52</f>
        <v>176713.61314799997</v>
      </c>
      <c r="D61" s="70">
        <f t="shared" si="36"/>
        <v>128000.13018399989</v>
      </c>
      <c r="E61" s="70">
        <f t="shared" si="36"/>
        <v>322678.72712700011</v>
      </c>
      <c r="F61" s="70">
        <f t="shared" si="36"/>
        <v>0</v>
      </c>
      <c r="G61" s="70">
        <f t="shared" si="36"/>
        <v>0</v>
      </c>
      <c r="H61" s="70">
        <f t="shared" si="36"/>
        <v>0</v>
      </c>
      <c r="I61" s="70">
        <f t="shared" si="36"/>
        <v>0</v>
      </c>
      <c r="J61" s="70">
        <f t="shared" si="36"/>
        <v>0</v>
      </c>
      <c r="K61" s="70">
        <f t="shared" si="36"/>
        <v>0</v>
      </c>
      <c r="L61" s="70">
        <f t="shared" si="36"/>
        <v>0</v>
      </c>
      <c r="M61" s="70">
        <f t="shared" si="36"/>
        <v>0</v>
      </c>
      <c r="N61" s="70">
        <f t="shared" si="36"/>
        <v>0</v>
      </c>
      <c r="O61" s="70">
        <f t="shared" si="36"/>
        <v>0</v>
      </c>
      <c r="P61" s="70">
        <f t="shared" si="36"/>
        <v>0</v>
      </c>
      <c r="Q61" s="70">
        <f t="shared" si="36"/>
        <v>0</v>
      </c>
      <c r="R61" s="70">
        <f t="shared" si="36"/>
        <v>611525.3777390006</v>
      </c>
    </row>
    <row r="64" spans="1:22" x14ac:dyDescent="0.2">
      <c r="B64" s="70">
        <f>B61-B54</f>
        <v>0</v>
      </c>
      <c r="C64" s="70">
        <f t="shared" ref="C64:R64" si="37">C61-C54</f>
        <v>0</v>
      </c>
      <c r="D64" s="70">
        <f t="shared" si="37"/>
        <v>0</v>
      </c>
      <c r="E64" s="70">
        <f t="shared" si="37"/>
        <v>0</v>
      </c>
      <c r="F64" s="70">
        <f t="shared" si="37"/>
        <v>0</v>
      </c>
      <c r="G64" s="70">
        <f t="shared" si="37"/>
        <v>0</v>
      </c>
      <c r="H64" s="70">
        <f t="shared" si="37"/>
        <v>0</v>
      </c>
      <c r="I64" s="70">
        <f t="shared" si="37"/>
        <v>0</v>
      </c>
      <c r="J64" s="70">
        <f t="shared" si="37"/>
        <v>0</v>
      </c>
      <c r="K64" s="70">
        <f t="shared" si="37"/>
        <v>0</v>
      </c>
      <c r="L64" s="70">
        <f t="shared" si="37"/>
        <v>0</v>
      </c>
      <c r="M64" s="70">
        <f t="shared" si="37"/>
        <v>0</v>
      </c>
      <c r="N64" s="70">
        <f t="shared" si="37"/>
        <v>0</v>
      </c>
      <c r="O64" s="70">
        <f t="shared" si="37"/>
        <v>0</v>
      </c>
      <c r="P64" s="70">
        <f t="shared" si="37"/>
        <v>0</v>
      </c>
      <c r="Q64" s="70">
        <f t="shared" si="37"/>
        <v>0</v>
      </c>
      <c r="R64" s="70">
        <f t="shared" si="37"/>
        <v>0</v>
      </c>
    </row>
  </sheetData>
  <mergeCells count="6">
    <mergeCell ref="A1:S1"/>
    <mergeCell ref="A3:S3"/>
    <mergeCell ref="A5:S5"/>
    <mergeCell ref="S59:T59"/>
    <mergeCell ref="C8:S8"/>
    <mergeCell ref="A57:D57"/>
  </mergeCells>
  <phoneticPr fontId="12" type="noConversion"/>
  <conditionalFormatting sqref="C44">
    <cfRule type="cellIs" dxfId="203" priority="11" operator="lessThan">
      <formula>0</formula>
    </cfRule>
    <cfRule type="cellIs" dxfId="202" priority="12" operator="greaterThan">
      <formula>0</formula>
    </cfRule>
  </conditionalFormatting>
  <conditionalFormatting sqref="C54">
    <cfRule type="cellIs" dxfId="201" priority="9" operator="lessThan">
      <formula>0</formula>
    </cfRule>
    <cfRule type="cellIs" dxfId="200" priority="10" operator="greaterThan">
      <formula>0</formula>
    </cfRule>
  </conditionalFormatting>
  <conditionalFormatting sqref="I54">
    <cfRule type="cellIs" dxfId="199" priority="13" operator="lessThan">
      <formula>0</formula>
    </cfRule>
    <cfRule type="cellIs" dxfId="198" priority="14" operator="greaterThan">
      <formula>0</formula>
    </cfRule>
  </conditionalFormatting>
  <conditionalFormatting sqref="K54:L54">
    <cfRule type="cellIs" dxfId="197" priority="3" operator="lessThan">
      <formula>0</formula>
    </cfRule>
    <cfRule type="cellIs" dxfId="196" priority="4" operator="greaterThan">
      <formula>0</formula>
    </cfRule>
  </conditionalFormatting>
  <conditionalFormatting sqref="N54">
    <cfRule type="cellIs" dxfId="195" priority="1" operator="lessThan">
      <formula>0</formula>
    </cfRule>
    <cfRule type="cellIs" dxfId="194" priority="2" operator="greaterThan">
      <formula>0</formula>
    </cfRule>
  </conditionalFormatting>
  <pageMargins left="0.39370078740157483" right="0" top="1.1811023622047245" bottom="0" header="0.98425196850393704" footer="0"/>
  <pageSetup paperSize="9" scale="46" orientation="landscape" r:id="rId1"/>
  <headerFooter>
    <oddHeader>&amp;C&amp;"-,Negrito"&amp;14     BELA NOVA CONSTRUTORA EIRELI</oddHeader>
  </headerFooter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U64"/>
  <sheetViews>
    <sheetView zoomScaleNormal="100" workbookViewId="0">
      <pane xSplit="1" topLeftCell="C1" activePane="topRight" state="frozen"/>
      <selection activeCell="A2" sqref="A2"/>
      <selection pane="topRight" activeCell="A8" sqref="A8"/>
    </sheetView>
  </sheetViews>
  <sheetFormatPr defaultColWidth="9.140625" defaultRowHeight="12.75" x14ac:dyDescent="0.2"/>
  <cols>
    <col min="1" max="1" width="50.5703125" style="10" customWidth="1"/>
    <col min="2" max="2" width="17.5703125" style="10" customWidth="1"/>
    <col min="3" max="3" width="18" style="10" bestFit="1" customWidth="1"/>
    <col min="4" max="4" width="15" style="10" customWidth="1"/>
    <col min="5" max="5" width="16.28515625" style="10" customWidth="1"/>
    <col min="6" max="7" width="16.140625" style="10" customWidth="1"/>
    <col min="8" max="8" width="15.7109375" style="10" customWidth="1"/>
    <col min="9" max="15" width="15.7109375" style="10" hidden="1" customWidth="1"/>
    <col min="16" max="16" width="17.85546875" style="10" customWidth="1"/>
    <col min="17" max="17" width="10.140625" style="10" bestFit="1" customWidth="1"/>
    <col min="18" max="18" width="9.140625" style="10"/>
    <col min="19" max="19" width="16.42578125" style="10" bestFit="1" customWidth="1"/>
    <col min="20" max="16384" width="9.140625" style="10"/>
  </cols>
  <sheetData>
    <row r="1" spans="1:21" ht="14.25" customHeight="1" x14ac:dyDescent="0.25">
      <c r="A1" s="203" t="s">
        <v>150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21" ht="9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75" x14ac:dyDescent="0.25">
      <c r="A3" s="203" t="s">
        <v>65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21" ht="15.75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21" ht="15.75" x14ac:dyDescent="0.25">
      <c r="A5" s="203" t="s">
        <v>98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</row>
    <row r="6" spans="1:21" ht="15.75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21" ht="15.75" x14ac:dyDescent="0.25">
      <c r="A7" s="203" t="s">
        <v>109</v>
      </c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</row>
    <row r="8" spans="1:21" ht="9.6" customHeight="1" x14ac:dyDescent="0.2"/>
    <row r="9" spans="1:21" ht="10.15" customHeight="1" x14ac:dyDescent="0.25">
      <c r="E9" s="57"/>
    </row>
    <row r="10" spans="1:21" ht="15" x14ac:dyDescent="0.2">
      <c r="A10" s="12"/>
      <c r="B10" s="60" t="s">
        <v>84</v>
      </c>
      <c r="C10" s="60" t="s">
        <v>122</v>
      </c>
      <c r="D10" s="60" t="s">
        <v>117</v>
      </c>
      <c r="E10" s="60" t="s">
        <v>118</v>
      </c>
      <c r="F10" s="60" t="s">
        <v>119</v>
      </c>
      <c r="G10" s="60" t="s">
        <v>120</v>
      </c>
      <c r="H10" s="60" t="s">
        <v>121</v>
      </c>
      <c r="I10" s="60" t="s">
        <v>123</v>
      </c>
      <c r="J10" s="60" t="s">
        <v>124</v>
      </c>
      <c r="K10" s="60" t="s">
        <v>125</v>
      </c>
      <c r="L10" s="60" t="s">
        <v>126</v>
      </c>
      <c r="M10" s="60" t="s">
        <v>127</v>
      </c>
      <c r="N10" s="60" t="s">
        <v>128</v>
      </c>
      <c r="O10" s="60" t="s">
        <v>129</v>
      </c>
      <c r="P10" s="13" t="s">
        <v>1</v>
      </c>
      <c r="Q10" s="14" t="s">
        <v>2</v>
      </c>
    </row>
    <row r="11" spans="1:21" ht="15" x14ac:dyDescent="0.2">
      <c r="A11" s="15" t="s">
        <v>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7"/>
      <c r="Q11" s="18"/>
    </row>
    <row r="12" spans="1:21" ht="15" x14ac:dyDescent="0.2">
      <c r="A12" s="15" t="s">
        <v>4</v>
      </c>
      <c r="B12" s="19">
        <v>1073054.3600000001</v>
      </c>
      <c r="C12" s="19">
        <f>3039481.55-B12</f>
        <v>1966427.1899999997</v>
      </c>
      <c r="D12" s="19">
        <v>0</v>
      </c>
      <c r="E12" s="19">
        <v>49000</v>
      </c>
      <c r="F12" s="19">
        <v>0</v>
      </c>
      <c r="G12" s="19">
        <v>123252.53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B12+C12+D12+E12+F12+G12+H12+I12+J12+K12+L12+M12+N12+O12</f>
        <v>3211734.0799999996</v>
      </c>
      <c r="Q12" s="21">
        <v>1</v>
      </c>
      <c r="S12" s="70">
        <f>SUM(B12:H12)</f>
        <v>3211734.0799999996</v>
      </c>
      <c r="T12" s="70"/>
      <c r="U12" s="70">
        <f>S12-P12</f>
        <v>0</v>
      </c>
    </row>
    <row r="13" spans="1:21" ht="15" x14ac:dyDescent="0.2">
      <c r="A13" s="15" t="s">
        <v>5</v>
      </c>
      <c r="B13" s="22">
        <v>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B13+C13+D13+E13+F13+G13+H13+I13+J13+K13+L13+M13+N13+O13</f>
        <v>0</v>
      </c>
      <c r="Q13" s="21"/>
      <c r="S13" s="70">
        <f t="shared" ref="S13:S55" si="0">SUM(B13:H13)</f>
        <v>0</v>
      </c>
      <c r="U13" s="70">
        <f t="shared" ref="U13:U55" si="1">S13-P13</f>
        <v>0</v>
      </c>
    </row>
    <row r="14" spans="1:21" ht="15" x14ac:dyDescent="0.2">
      <c r="A14" s="23" t="s">
        <v>6</v>
      </c>
      <c r="B14" s="24">
        <f>B12+B13</f>
        <v>1073054.3600000001</v>
      </c>
      <c r="C14" s="67">
        <f t="shared" ref="C14:E14" si="2">C12+C13</f>
        <v>1966427.1899999997</v>
      </c>
      <c r="D14" s="67">
        <f t="shared" si="2"/>
        <v>0</v>
      </c>
      <c r="E14" s="67">
        <f t="shared" si="2"/>
        <v>49000</v>
      </c>
      <c r="F14" s="69">
        <f t="shared" ref="F14:L14" si="3">F12</f>
        <v>0</v>
      </c>
      <c r="G14" s="69">
        <f t="shared" si="3"/>
        <v>123252.53</v>
      </c>
      <c r="H14" s="69">
        <f t="shared" si="3"/>
        <v>0</v>
      </c>
      <c r="I14" s="69">
        <f t="shared" si="3"/>
        <v>0</v>
      </c>
      <c r="J14" s="69">
        <f t="shared" si="3"/>
        <v>0</v>
      </c>
      <c r="K14" s="69">
        <f t="shared" si="3"/>
        <v>0</v>
      </c>
      <c r="L14" s="69">
        <f t="shared" si="3"/>
        <v>0</v>
      </c>
      <c r="M14" s="69">
        <f>M12</f>
        <v>0</v>
      </c>
      <c r="N14" s="69">
        <f t="shared" ref="N14:O14" si="4">N12</f>
        <v>0</v>
      </c>
      <c r="O14" s="69">
        <f t="shared" si="4"/>
        <v>0</v>
      </c>
      <c r="P14" s="24">
        <f>SUM(P12:P13)</f>
        <v>3211734.0799999996</v>
      </c>
      <c r="Q14" s="21">
        <v>1</v>
      </c>
      <c r="S14" s="70">
        <f t="shared" si="0"/>
        <v>3211734.0799999996</v>
      </c>
      <c r="U14" s="70">
        <f t="shared" si="1"/>
        <v>0</v>
      </c>
    </row>
    <row r="15" spans="1:21" ht="15" x14ac:dyDescent="0.2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8"/>
      <c r="S15" s="70">
        <f t="shared" si="0"/>
        <v>0</v>
      </c>
      <c r="U15" s="70">
        <f t="shared" si="1"/>
        <v>0</v>
      </c>
    </row>
    <row r="16" spans="1:21" ht="15" x14ac:dyDescent="0.2">
      <c r="A16" s="29" t="s">
        <v>7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30"/>
      <c r="Q16" s="31"/>
      <c r="S16" s="70">
        <f t="shared" si="0"/>
        <v>0</v>
      </c>
      <c r="U16" s="70">
        <f t="shared" si="1"/>
        <v>0</v>
      </c>
    </row>
    <row r="17" spans="1:21" ht="15" x14ac:dyDescent="0.2">
      <c r="A17" s="15" t="s">
        <v>8</v>
      </c>
      <c r="B17" s="32">
        <v>-58280.6</v>
      </c>
      <c r="C17" s="32">
        <f>-163575.93-B17</f>
        <v>-105295.32999999999</v>
      </c>
      <c r="D17" s="76">
        <v>-2407.65</v>
      </c>
      <c r="E17" s="32">
        <v>30.14</v>
      </c>
      <c r="F17" s="32">
        <v>15.07</v>
      </c>
      <c r="G17" s="32">
        <v>15.07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20">
        <f>B17+C17+D17+E17+F17+G17+H17+I17+J17+K17+L17+M17+N17+O17</f>
        <v>-165923.29999999996</v>
      </c>
      <c r="Q17" s="21">
        <f>-P17/$P$14</f>
        <v>5.166159335333266E-2</v>
      </c>
      <c r="S17" s="70">
        <f t="shared" si="0"/>
        <v>-165923.29999999996</v>
      </c>
      <c r="U17" s="70">
        <f t="shared" si="1"/>
        <v>0</v>
      </c>
    </row>
    <row r="18" spans="1:21" ht="15" x14ac:dyDescent="0.2">
      <c r="A18" s="33" t="s">
        <v>9</v>
      </c>
      <c r="B18" s="32">
        <v>-3576.92</v>
      </c>
      <c r="C18" s="32">
        <f>-3576.92-B18</f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20">
        <f t="shared" ref="P18:P40" si="5">B18+C18+D18+E18+F18+G18+H18+I18+J18+K18+L18+M18+N18+O18</f>
        <v>-3576.92</v>
      </c>
      <c r="Q18" s="21">
        <f>-P18/$P$14</f>
        <v>1.1137036600489666E-3</v>
      </c>
      <c r="S18" s="70">
        <f t="shared" si="0"/>
        <v>-3576.92</v>
      </c>
      <c r="U18" s="70">
        <f t="shared" si="1"/>
        <v>0</v>
      </c>
    </row>
    <row r="19" spans="1:21" ht="15" x14ac:dyDescent="0.2">
      <c r="A19" s="15" t="s">
        <v>10</v>
      </c>
      <c r="B19" s="32">
        <v>-646</v>
      </c>
      <c r="C19" s="32">
        <f>-1726-B19</f>
        <v>-1080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20">
        <f t="shared" si="5"/>
        <v>-1726</v>
      </c>
      <c r="Q19" s="21">
        <f>-P19/$P$14</f>
        <v>5.3740439183557821E-4</v>
      </c>
      <c r="S19" s="70">
        <f t="shared" si="0"/>
        <v>-1726</v>
      </c>
      <c r="U19" s="70">
        <f t="shared" si="1"/>
        <v>0</v>
      </c>
    </row>
    <row r="20" spans="1:21" ht="15" x14ac:dyDescent="0.2">
      <c r="A20" s="33" t="s">
        <v>11</v>
      </c>
      <c r="B20" s="32">
        <v>-3261.08</v>
      </c>
      <c r="C20" s="32">
        <f>-7389.99-B20</f>
        <v>-4128.91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20">
        <f t="shared" si="5"/>
        <v>-7389.99</v>
      </c>
      <c r="Q20" s="21">
        <f>-P20/$P$14</f>
        <v>2.3009345779959468E-3</v>
      </c>
      <c r="S20" s="70">
        <f t="shared" si="0"/>
        <v>-7389.99</v>
      </c>
      <c r="U20" s="70">
        <f t="shared" si="1"/>
        <v>0</v>
      </c>
    </row>
    <row r="21" spans="1:21" ht="15" x14ac:dyDescent="0.2">
      <c r="A21" s="15" t="s">
        <v>12</v>
      </c>
      <c r="B21" s="32">
        <v>-37222.81</v>
      </c>
      <c r="C21" s="32">
        <f>-92794.88-B21</f>
        <v>-55572.070000000007</v>
      </c>
      <c r="D21" s="32">
        <v>-624.25</v>
      </c>
      <c r="E21" s="32">
        <v>-624.25</v>
      </c>
      <c r="F21" s="32">
        <v>-312.12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20">
        <f t="shared" si="5"/>
        <v>-94355.5</v>
      </c>
      <c r="Q21" s="21">
        <f>-P21/$P$14</f>
        <v>2.9378366218911874E-2</v>
      </c>
      <c r="S21" s="70">
        <f t="shared" si="0"/>
        <v>-94355.5</v>
      </c>
      <c r="U21" s="70">
        <f t="shared" si="1"/>
        <v>0</v>
      </c>
    </row>
    <row r="22" spans="1:21" ht="15" x14ac:dyDescent="0.2">
      <c r="A22" s="15" t="s">
        <v>13</v>
      </c>
      <c r="B22" s="32">
        <v>-22076.799999999999</v>
      </c>
      <c r="C22" s="32">
        <f>-58889.42-B22</f>
        <v>-36812.619999999995</v>
      </c>
      <c r="D22" s="32">
        <v>-384.81</v>
      </c>
      <c r="E22" s="32">
        <v>-384.81</v>
      </c>
      <c r="F22" s="32">
        <v>-192.4</v>
      </c>
      <c r="G22" s="32">
        <v>-192.4</v>
      </c>
      <c r="H22" s="32">
        <v>-256.54000000000002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20">
        <f t="shared" si="5"/>
        <v>-60300.38</v>
      </c>
      <c r="Q22" s="21">
        <f t="shared" ref="Q22:Q23" si="6">-P22/$P$14</f>
        <v>1.877502261955635E-2</v>
      </c>
      <c r="S22" s="70">
        <f t="shared" si="0"/>
        <v>-60300.38</v>
      </c>
      <c r="U22" s="70">
        <f t="shared" si="1"/>
        <v>0</v>
      </c>
    </row>
    <row r="23" spans="1:21" ht="15" x14ac:dyDescent="0.2">
      <c r="A23" s="15" t="s">
        <v>14</v>
      </c>
      <c r="B23" s="32">
        <v>-15783.83</v>
      </c>
      <c r="C23" s="32">
        <f>-34957.72-B23</f>
        <v>-19173.89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20">
        <f t="shared" si="5"/>
        <v>-34957.72</v>
      </c>
      <c r="Q23" s="21">
        <f t="shared" si="6"/>
        <v>1.0884375583174061E-2</v>
      </c>
      <c r="S23" s="70">
        <f t="shared" si="0"/>
        <v>-34957.72</v>
      </c>
      <c r="U23" s="70">
        <f t="shared" si="1"/>
        <v>0</v>
      </c>
    </row>
    <row r="24" spans="1:21" ht="15" x14ac:dyDescent="0.2">
      <c r="A24" s="15" t="s">
        <v>15</v>
      </c>
      <c r="B24" s="32">
        <v>1520.02</v>
      </c>
      <c r="C24" s="32">
        <f>1520.02-B24</f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20">
        <f t="shared" si="5"/>
        <v>1520.02</v>
      </c>
      <c r="Q24" s="21">
        <f>P24/$P$14</f>
        <v>4.7327081325487574E-4</v>
      </c>
      <c r="S24" s="70">
        <f t="shared" si="0"/>
        <v>1520.02</v>
      </c>
      <c r="U24" s="70">
        <f t="shared" si="1"/>
        <v>0</v>
      </c>
    </row>
    <row r="25" spans="1:21" ht="15" x14ac:dyDescent="0.2">
      <c r="A25" s="15" t="s">
        <v>16</v>
      </c>
      <c r="B25" s="32">
        <v>0</v>
      </c>
      <c r="C25" s="32">
        <f>0-B25</f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20">
        <f t="shared" si="5"/>
        <v>0</v>
      </c>
      <c r="Q25" s="21">
        <f>P25/$P$14</f>
        <v>0</v>
      </c>
      <c r="S25" s="70">
        <f t="shared" si="0"/>
        <v>0</v>
      </c>
      <c r="U25" s="70">
        <f t="shared" si="1"/>
        <v>0</v>
      </c>
    </row>
    <row r="26" spans="1:21" ht="15" x14ac:dyDescent="0.2">
      <c r="A26" s="15" t="s">
        <v>17</v>
      </c>
      <c r="B26" s="32">
        <v>-27064.53</v>
      </c>
      <c r="C26" s="32">
        <f>-68169.57-B26</f>
        <v>-41105.040000000008</v>
      </c>
      <c r="D26" s="32">
        <v>-423.29</v>
      </c>
      <c r="E26" s="32">
        <v>-423.29</v>
      </c>
      <c r="F26" s="32">
        <v>-211.65</v>
      </c>
      <c r="G26" s="32">
        <v>-211.65</v>
      </c>
      <c r="H26" s="32">
        <v>-282.19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20">
        <f t="shared" si="5"/>
        <v>-69721.639999999985</v>
      </c>
      <c r="Q26" s="21">
        <f t="shared" ref="Q26" si="7">-P26/$P$14</f>
        <v>2.1708409931621733E-2</v>
      </c>
      <c r="S26" s="70">
        <f t="shared" si="0"/>
        <v>-69721.639999999985</v>
      </c>
      <c r="U26" s="70">
        <f t="shared" si="1"/>
        <v>0</v>
      </c>
    </row>
    <row r="27" spans="1:21" ht="15" x14ac:dyDescent="0.2">
      <c r="A27" s="15" t="s">
        <v>18</v>
      </c>
      <c r="B27" s="32">
        <v>-2514.39</v>
      </c>
      <c r="C27" s="32">
        <f>-4779.39-B27</f>
        <v>-2265.0000000000005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20">
        <f t="shared" si="5"/>
        <v>-4779.3900000000003</v>
      </c>
      <c r="Q27" s="21">
        <f>-P27/$P$14</f>
        <v>1.488102651387627E-3</v>
      </c>
      <c r="S27" s="70">
        <f t="shared" si="0"/>
        <v>-4779.3900000000003</v>
      </c>
      <c r="U27" s="70">
        <f t="shared" si="1"/>
        <v>0</v>
      </c>
    </row>
    <row r="28" spans="1:21" ht="15" x14ac:dyDescent="0.2">
      <c r="A28" s="15" t="s">
        <v>19</v>
      </c>
      <c r="B28" s="32">
        <v>-12475.82</v>
      </c>
      <c r="C28" s="32">
        <f>-40246.35-B28</f>
        <v>-27770.53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20">
        <f t="shared" si="5"/>
        <v>-40246.35</v>
      </c>
      <c r="Q28" s="21">
        <f t="shared" ref="Q28:Q29" si="8">-P28/$P$14</f>
        <v>1.2531034325232804E-2</v>
      </c>
      <c r="S28" s="70">
        <f t="shared" si="0"/>
        <v>-40246.35</v>
      </c>
      <c r="U28" s="70">
        <f t="shared" si="1"/>
        <v>0</v>
      </c>
    </row>
    <row r="29" spans="1:21" ht="15" x14ac:dyDescent="0.2">
      <c r="A29" s="15" t="s">
        <v>20</v>
      </c>
      <c r="B29" s="32">
        <v>0</v>
      </c>
      <c r="C29" s="32">
        <f>0-B29</f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20">
        <f t="shared" si="5"/>
        <v>0</v>
      </c>
      <c r="Q29" s="21">
        <f t="shared" si="8"/>
        <v>0</v>
      </c>
      <c r="S29" s="70">
        <f t="shared" si="0"/>
        <v>0</v>
      </c>
      <c r="U29" s="70">
        <f t="shared" si="1"/>
        <v>0</v>
      </c>
    </row>
    <row r="30" spans="1:21" ht="15" x14ac:dyDescent="0.2">
      <c r="A30" s="15" t="s">
        <v>59</v>
      </c>
      <c r="B30" s="32">
        <v>-220</v>
      </c>
      <c r="C30" s="32">
        <f>-220-B30</f>
        <v>0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20">
        <f t="shared" si="5"/>
        <v>-220</v>
      </c>
      <c r="Q30" s="21">
        <f t="shared" ref="Q30" si="9">-P30/$P$14</f>
        <v>6.8498821670815298E-5</v>
      </c>
      <c r="S30" s="70">
        <f t="shared" si="0"/>
        <v>-220</v>
      </c>
      <c r="U30" s="70">
        <f t="shared" si="1"/>
        <v>0</v>
      </c>
    </row>
    <row r="31" spans="1:21" ht="15" x14ac:dyDescent="0.2">
      <c r="A31" s="15" t="s">
        <v>21</v>
      </c>
      <c r="B31" s="32">
        <v>-2718.34</v>
      </c>
      <c r="C31" s="32">
        <f>-5129.9-B31</f>
        <v>-2411.5599999999995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20">
        <f t="shared" si="5"/>
        <v>-5129.8999999999996</v>
      </c>
      <c r="Q31" s="21">
        <f>-P31/$P$14</f>
        <v>1.5972368422232516E-3</v>
      </c>
      <c r="S31" s="70">
        <f t="shared" si="0"/>
        <v>-5129.8999999999996</v>
      </c>
      <c r="U31" s="70">
        <f t="shared" si="1"/>
        <v>0</v>
      </c>
    </row>
    <row r="32" spans="1:21" ht="15" x14ac:dyDescent="0.2">
      <c r="A32" s="15" t="s">
        <v>22</v>
      </c>
      <c r="B32" s="32">
        <v>0</v>
      </c>
      <c r="C32" s="32">
        <f>0-B32</f>
        <v>0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20">
        <f t="shared" si="5"/>
        <v>0</v>
      </c>
      <c r="Q32" s="21">
        <f>P32/$P$14</f>
        <v>0</v>
      </c>
      <c r="S32" s="70">
        <f t="shared" si="0"/>
        <v>0</v>
      </c>
      <c r="U32" s="70">
        <f t="shared" si="1"/>
        <v>0</v>
      </c>
    </row>
    <row r="33" spans="1:21" ht="15" x14ac:dyDescent="0.2">
      <c r="A33" s="33" t="s">
        <v>23</v>
      </c>
      <c r="B33" s="32">
        <v>-8145.26</v>
      </c>
      <c r="C33" s="32">
        <f>-8814.71-B33</f>
        <v>-669.44999999999891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20">
        <f t="shared" si="5"/>
        <v>-8814.7099999999991</v>
      </c>
      <c r="Q33" s="21">
        <f t="shared" ref="Q33:Q36" si="10">-P33/$P$14</f>
        <v>2.7445329471361465E-3</v>
      </c>
      <c r="S33" s="70">
        <f t="shared" si="0"/>
        <v>-8814.7099999999991</v>
      </c>
      <c r="U33" s="70">
        <f t="shared" si="1"/>
        <v>0</v>
      </c>
    </row>
    <row r="34" spans="1:21" ht="15" x14ac:dyDescent="0.2">
      <c r="A34" s="15" t="s">
        <v>24</v>
      </c>
      <c r="B34" s="32">
        <v>-123190.74</v>
      </c>
      <c r="C34" s="32">
        <f>-301502.74-B34</f>
        <v>-178312</v>
      </c>
      <c r="D34" s="32">
        <v>-2590</v>
      </c>
      <c r="E34" s="32">
        <v>-2638</v>
      </c>
      <c r="F34" s="32">
        <v>-794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20">
        <f t="shared" si="5"/>
        <v>-307524.74</v>
      </c>
      <c r="Q34" s="21">
        <f t="shared" si="10"/>
        <v>9.5750374202835636E-2</v>
      </c>
      <c r="S34" s="70">
        <f t="shared" si="0"/>
        <v>-307524.74</v>
      </c>
      <c r="U34" s="70">
        <f t="shared" si="1"/>
        <v>0</v>
      </c>
    </row>
    <row r="35" spans="1:21" ht="15" x14ac:dyDescent="0.2">
      <c r="A35" s="34" t="s">
        <v>25</v>
      </c>
      <c r="B35" s="32">
        <v>-270622.64</v>
      </c>
      <c r="C35" s="32">
        <f>-672681.71-B35</f>
        <v>-402059.06999999995</v>
      </c>
      <c r="D35" s="32">
        <v>-4808.42</v>
      </c>
      <c r="E35" s="32">
        <v>-4808.42</v>
      </c>
      <c r="F35" s="32">
        <v>-2403.71</v>
      </c>
      <c r="G35" s="32">
        <v>-2404.71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20">
        <f t="shared" si="5"/>
        <v>-687106.97</v>
      </c>
      <c r="Q35" s="21">
        <f t="shared" si="10"/>
        <v>0.21393644457638289</v>
      </c>
      <c r="S35" s="70">
        <f t="shared" si="0"/>
        <v>-687106.97</v>
      </c>
      <c r="U35" s="70">
        <f t="shared" si="1"/>
        <v>0</v>
      </c>
    </row>
    <row r="36" spans="1:21" ht="15" x14ac:dyDescent="0.2">
      <c r="A36" s="15" t="s">
        <v>26</v>
      </c>
      <c r="B36" s="32">
        <v>-64.5</v>
      </c>
      <c r="C36" s="32">
        <f>-137.22-B36</f>
        <v>-72.72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20">
        <f t="shared" si="5"/>
        <v>-137.22</v>
      </c>
      <c r="Q36" s="21">
        <f t="shared" si="10"/>
        <v>4.272458322576943E-5</v>
      </c>
      <c r="S36" s="70">
        <f t="shared" si="0"/>
        <v>-137.22</v>
      </c>
      <c r="U36" s="70">
        <f t="shared" si="1"/>
        <v>0</v>
      </c>
    </row>
    <row r="37" spans="1:21" ht="15" x14ac:dyDescent="0.2">
      <c r="A37" s="15" t="s">
        <v>27</v>
      </c>
      <c r="B37" s="32">
        <v>0</v>
      </c>
      <c r="C37" s="32">
        <f>0-B37</f>
        <v>0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20">
        <f t="shared" si="5"/>
        <v>0</v>
      </c>
      <c r="Q37" s="21">
        <f>P37/$P$14</f>
        <v>0</v>
      </c>
      <c r="S37" s="70">
        <f t="shared" si="0"/>
        <v>0</v>
      </c>
      <c r="U37" s="70">
        <f t="shared" si="1"/>
        <v>0</v>
      </c>
    </row>
    <row r="38" spans="1:21" ht="15" x14ac:dyDescent="0.2">
      <c r="A38" s="33" t="s">
        <v>28</v>
      </c>
      <c r="B38" s="32">
        <v>-4838.47</v>
      </c>
      <c r="C38" s="32">
        <f>-10826.88-B38</f>
        <v>-5988.4099999999989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20">
        <f t="shared" si="5"/>
        <v>-10826.88</v>
      </c>
      <c r="Q38" s="21">
        <f>-P38/$P$14</f>
        <v>3.3710387380514392E-3</v>
      </c>
      <c r="S38" s="70">
        <f t="shared" si="0"/>
        <v>-10826.88</v>
      </c>
      <c r="U38" s="70">
        <f t="shared" si="1"/>
        <v>0</v>
      </c>
    </row>
    <row r="39" spans="1:21" ht="15" x14ac:dyDescent="0.2">
      <c r="A39" s="15" t="s">
        <v>29</v>
      </c>
      <c r="B39" s="32">
        <v>-22442.06</v>
      </c>
      <c r="C39" s="32">
        <f>-63211.64-B39</f>
        <v>-40769.58</v>
      </c>
      <c r="D39" s="32">
        <v>-643.9</v>
      </c>
      <c r="E39" s="32">
        <v>-153</v>
      </c>
      <c r="F39" s="32">
        <v>-258.89999999999998</v>
      </c>
      <c r="G39" s="32">
        <v>-64.7</v>
      </c>
      <c r="H39" s="32">
        <v>-199.5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20">
        <f t="shared" si="5"/>
        <v>-64531.64</v>
      </c>
      <c r="Q39" s="21">
        <f t="shared" ref="Q39:Q43" si="11">-P39/$P$14</f>
        <v>2.009246045675114E-2</v>
      </c>
      <c r="S39" s="70">
        <f t="shared" si="0"/>
        <v>-64531.64</v>
      </c>
      <c r="U39" s="70">
        <f t="shared" si="1"/>
        <v>0</v>
      </c>
    </row>
    <row r="40" spans="1:21" ht="15" x14ac:dyDescent="0.2">
      <c r="A40" s="15" t="s">
        <v>30</v>
      </c>
      <c r="B40" s="32">
        <v>-25007.33</v>
      </c>
      <c r="C40" s="32">
        <f>-65983.22-B40</f>
        <v>-40975.89</v>
      </c>
      <c r="D40" s="32">
        <v>-468.19</v>
      </c>
      <c r="E40" s="32">
        <v>-468.19</v>
      </c>
      <c r="F40" s="32">
        <v>-234.09</v>
      </c>
      <c r="G40" s="32">
        <v>-234.09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20">
        <f t="shared" si="5"/>
        <v>-67387.78</v>
      </c>
      <c r="Q40" s="21">
        <f t="shared" si="11"/>
        <v>2.0981743295509697E-2</v>
      </c>
      <c r="S40" s="70">
        <f t="shared" si="0"/>
        <v>-67387.78</v>
      </c>
      <c r="U40" s="70">
        <f t="shared" si="1"/>
        <v>0</v>
      </c>
    </row>
    <row r="41" spans="1:21" ht="15" x14ac:dyDescent="0.2">
      <c r="A41" s="15" t="s">
        <v>97</v>
      </c>
      <c r="B41" s="32">
        <v>0</v>
      </c>
      <c r="C41" s="32">
        <f>0-B41</f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20">
        <f>B41+C41+D41+E41+F41+G41+H41+I41+J41+K41+L41+M41+N41+O41</f>
        <v>0</v>
      </c>
      <c r="Q41" s="21">
        <f t="shared" si="11"/>
        <v>0</v>
      </c>
      <c r="S41" s="70">
        <f t="shared" si="0"/>
        <v>0</v>
      </c>
      <c r="U41" s="70">
        <f t="shared" si="1"/>
        <v>0</v>
      </c>
    </row>
    <row r="42" spans="1:21" ht="15" x14ac:dyDescent="0.2">
      <c r="A42" s="15" t="s">
        <v>114</v>
      </c>
      <c r="B42" s="32">
        <v>0</v>
      </c>
      <c r="C42" s="32">
        <v>0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20">
        <f>B42+C42+D42+E42+F42+G42+H42+I42+J42+K42+L42+M42+N42+O42</f>
        <v>0</v>
      </c>
      <c r="Q42" s="21">
        <f t="shared" si="11"/>
        <v>0</v>
      </c>
      <c r="S42" s="70">
        <f t="shared" si="0"/>
        <v>0</v>
      </c>
      <c r="U42" s="70">
        <f t="shared" si="1"/>
        <v>0</v>
      </c>
    </row>
    <row r="43" spans="1:21" ht="15" x14ac:dyDescent="0.2">
      <c r="A43" s="35" t="s">
        <v>31</v>
      </c>
      <c r="B43" s="36">
        <f>SUM(B17:B42)</f>
        <v>-638632.1</v>
      </c>
      <c r="C43" s="36">
        <f t="shared" ref="C43:O43" si="12">SUM(C17:C42)</f>
        <v>-964462.07</v>
      </c>
      <c r="D43" s="36">
        <f t="shared" si="12"/>
        <v>-12350.51</v>
      </c>
      <c r="E43" s="36">
        <f t="shared" si="12"/>
        <v>-9469.8200000000015</v>
      </c>
      <c r="F43" s="36">
        <f t="shared" si="12"/>
        <v>-4391.8</v>
      </c>
      <c r="G43" s="36">
        <f t="shared" si="12"/>
        <v>-3092.48</v>
      </c>
      <c r="H43" s="36">
        <f t="shared" si="12"/>
        <v>-738.23</v>
      </c>
      <c r="I43" s="36">
        <f t="shared" si="12"/>
        <v>0</v>
      </c>
      <c r="J43" s="36">
        <f t="shared" si="12"/>
        <v>0</v>
      </c>
      <c r="K43" s="36">
        <f t="shared" si="12"/>
        <v>0</v>
      </c>
      <c r="L43" s="36">
        <f t="shared" si="12"/>
        <v>0</v>
      </c>
      <c r="M43" s="36">
        <f t="shared" si="12"/>
        <v>0</v>
      </c>
      <c r="N43" s="36">
        <f t="shared" si="12"/>
        <v>0</v>
      </c>
      <c r="O43" s="36">
        <f t="shared" si="12"/>
        <v>0</v>
      </c>
      <c r="P43" s="36">
        <f>SUM(P17:P42)</f>
        <v>-1633137.0099999998</v>
      </c>
      <c r="Q43" s="21">
        <f t="shared" si="11"/>
        <v>0.50849073096362951</v>
      </c>
      <c r="S43" s="70">
        <f t="shared" si="0"/>
        <v>-1633137.01</v>
      </c>
      <c r="U43" s="70">
        <f t="shared" si="1"/>
        <v>0</v>
      </c>
    </row>
    <row r="44" spans="1:21" ht="15" x14ac:dyDescent="0.2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18"/>
      <c r="S44" s="70">
        <f t="shared" si="0"/>
        <v>0</v>
      </c>
      <c r="U44" s="70">
        <f t="shared" si="1"/>
        <v>0</v>
      </c>
    </row>
    <row r="45" spans="1:21" ht="15" x14ac:dyDescent="0.2">
      <c r="A45" s="39" t="s">
        <v>32</v>
      </c>
      <c r="B45" s="40">
        <f t="shared" ref="B45:O45" si="13">B14+B43</f>
        <v>434422.26000000013</v>
      </c>
      <c r="C45" s="40">
        <f t="shared" si="13"/>
        <v>1001965.1199999998</v>
      </c>
      <c r="D45" s="58">
        <f t="shared" si="13"/>
        <v>-12350.51</v>
      </c>
      <c r="E45" s="40">
        <f t="shared" si="13"/>
        <v>39530.18</v>
      </c>
      <c r="F45" s="58">
        <f t="shared" si="13"/>
        <v>-4391.8</v>
      </c>
      <c r="G45" s="40">
        <f t="shared" si="13"/>
        <v>120160.05</v>
      </c>
      <c r="H45" s="58">
        <f t="shared" si="13"/>
        <v>-738.23</v>
      </c>
      <c r="I45" s="40">
        <f t="shared" si="13"/>
        <v>0</v>
      </c>
      <c r="J45" s="40">
        <f t="shared" si="13"/>
        <v>0</v>
      </c>
      <c r="K45" s="58">
        <f t="shared" si="13"/>
        <v>0</v>
      </c>
      <c r="L45" s="40">
        <f t="shared" si="13"/>
        <v>0</v>
      </c>
      <c r="M45" s="40">
        <f t="shared" si="13"/>
        <v>0</v>
      </c>
      <c r="N45" s="40">
        <f t="shared" si="13"/>
        <v>0</v>
      </c>
      <c r="O45" s="40">
        <f t="shared" si="13"/>
        <v>0</v>
      </c>
      <c r="P45" s="40">
        <f>B45+C45+D45+E45+F45+G45+H45+I45+J45+K45+L45+M45+N45+O45</f>
        <v>1578597.0699999998</v>
      </c>
      <c r="Q45" s="21">
        <f>P45/$P$14</f>
        <v>0.49150926903637054</v>
      </c>
      <c r="S45" s="70">
        <f t="shared" si="0"/>
        <v>1578597.0699999998</v>
      </c>
      <c r="U45" s="70">
        <f t="shared" si="1"/>
        <v>0</v>
      </c>
    </row>
    <row r="46" spans="1:21" ht="15" x14ac:dyDescent="0.2">
      <c r="A46" s="41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4"/>
      <c r="S46" s="70">
        <f t="shared" si="0"/>
        <v>0</v>
      </c>
      <c r="U46" s="70">
        <f t="shared" si="1"/>
        <v>0</v>
      </c>
    </row>
    <row r="47" spans="1:21" ht="15" x14ac:dyDescent="0.2">
      <c r="A47" s="29" t="s">
        <v>56</v>
      </c>
      <c r="B47" s="45">
        <f>-B12*13.15%</f>
        <v>-141106.64834000001</v>
      </c>
      <c r="C47" s="45">
        <f t="shared" ref="C47:E47" si="14">-C12*13.15%</f>
        <v>-258585.17548499999</v>
      </c>
      <c r="D47" s="45">
        <f t="shared" si="14"/>
        <v>0</v>
      </c>
      <c r="E47" s="45">
        <f t="shared" si="14"/>
        <v>-6443.5</v>
      </c>
      <c r="F47" s="45">
        <f t="shared" ref="F47:L47" si="15">-F12*13.15%</f>
        <v>0</v>
      </c>
      <c r="G47" s="45">
        <f t="shared" si="15"/>
        <v>-16207.707695000001</v>
      </c>
      <c r="H47" s="45">
        <f t="shared" si="15"/>
        <v>0</v>
      </c>
      <c r="I47" s="45">
        <f t="shared" si="15"/>
        <v>0</v>
      </c>
      <c r="J47" s="45">
        <f t="shared" si="15"/>
        <v>0</v>
      </c>
      <c r="K47" s="45">
        <f t="shared" si="15"/>
        <v>0</v>
      </c>
      <c r="L47" s="45">
        <f t="shared" si="15"/>
        <v>0</v>
      </c>
      <c r="M47" s="45">
        <f>-M12*13.15%</f>
        <v>0</v>
      </c>
      <c r="N47" s="45">
        <f t="shared" ref="N47:O47" si="16">-N12*13.15%</f>
        <v>0</v>
      </c>
      <c r="O47" s="45">
        <f t="shared" si="16"/>
        <v>0</v>
      </c>
      <c r="P47" s="49">
        <f>B47+C47+D47+E47+F47+G47+H47+I47+J47+K47+L47+M47+N47+O47</f>
        <v>-422343.03151999996</v>
      </c>
      <c r="Q47" s="21">
        <f t="shared" ref="Q47" si="17">-P47/$P$14</f>
        <v>0.13150000000000001</v>
      </c>
      <c r="S47" s="70">
        <f t="shared" si="0"/>
        <v>-422343.03151999996</v>
      </c>
      <c r="U47" s="70">
        <f t="shared" si="1"/>
        <v>0</v>
      </c>
    </row>
    <row r="48" spans="1:21" ht="15" x14ac:dyDescent="0.2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4"/>
      <c r="S48" s="70">
        <f t="shared" si="0"/>
        <v>0</v>
      </c>
      <c r="U48" s="70">
        <f t="shared" si="1"/>
        <v>0</v>
      </c>
    </row>
    <row r="49" spans="1:21" ht="15" x14ac:dyDescent="0.2">
      <c r="A49" s="29" t="s">
        <v>33</v>
      </c>
      <c r="B49" s="45">
        <f t="shared" ref="B49:O49" si="18">-B12*1.22%</f>
        <v>-13091.263192</v>
      </c>
      <c r="C49" s="45">
        <f t="shared" si="18"/>
        <v>-23990.411717999996</v>
      </c>
      <c r="D49" s="45">
        <f t="shared" si="18"/>
        <v>0</v>
      </c>
      <c r="E49" s="45">
        <f t="shared" si="18"/>
        <v>-597.79999999999995</v>
      </c>
      <c r="F49" s="45">
        <f t="shared" si="18"/>
        <v>0</v>
      </c>
      <c r="G49" s="45">
        <f t="shared" si="18"/>
        <v>-1503.6808659999999</v>
      </c>
      <c r="H49" s="45">
        <f t="shared" si="18"/>
        <v>0</v>
      </c>
      <c r="I49" s="45">
        <f t="shared" si="18"/>
        <v>0</v>
      </c>
      <c r="J49" s="45">
        <f t="shared" si="18"/>
        <v>0</v>
      </c>
      <c r="K49" s="45">
        <f t="shared" si="18"/>
        <v>0</v>
      </c>
      <c r="L49" s="45">
        <f t="shared" si="18"/>
        <v>0</v>
      </c>
      <c r="M49" s="45">
        <f t="shared" si="18"/>
        <v>0</v>
      </c>
      <c r="N49" s="45">
        <f t="shared" si="18"/>
        <v>0</v>
      </c>
      <c r="O49" s="45">
        <f t="shared" si="18"/>
        <v>0</v>
      </c>
      <c r="P49" s="49">
        <f>B49+C49+D49+E49+F49+G49+H49+I49+J49+K49+L49+M49+N49+O49</f>
        <v>-39183.155776</v>
      </c>
      <c r="Q49" s="21">
        <f t="shared" ref="Q49" si="19">-P49/$P$14</f>
        <v>1.2200000000000001E-2</v>
      </c>
      <c r="S49" s="70">
        <f t="shared" si="0"/>
        <v>-39183.155776</v>
      </c>
      <c r="U49" s="70">
        <f t="shared" si="1"/>
        <v>0</v>
      </c>
    </row>
    <row r="50" spans="1:21" ht="14.25" x14ac:dyDescent="0.2">
      <c r="A50" s="43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4"/>
      <c r="S50" s="70">
        <f t="shared" si="0"/>
        <v>0</v>
      </c>
      <c r="U50" s="70">
        <f t="shared" si="1"/>
        <v>0</v>
      </c>
    </row>
    <row r="51" spans="1:21" ht="15" x14ac:dyDescent="0.2">
      <c r="A51" s="48" t="s">
        <v>57</v>
      </c>
      <c r="B51" s="49">
        <f t="shared" ref="B51:O51" si="20">B43*5.56%</f>
        <v>-35507.944759999998</v>
      </c>
      <c r="C51" s="49">
        <f t="shared" si="20"/>
        <v>-53624.091091999995</v>
      </c>
      <c r="D51" s="49">
        <f t="shared" si="20"/>
        <v>-686.688356</v>
      </c>
      <c r="E51" s="49">
        <f t="shared" si="20"/>
        <v>-526.52199200000007</v>
      </c>
      <c r="F51" s="49">
        <f t="shared" si="20"/>
        <v>-244.18407999999999</v>
      </c>
      <c r="G51" s="49">
        <f t="shared" si="20"/>
        <v>-171.94188799999998</v>
      </c>
      <c r="H51" s="49">
        <f t="shared" si="20"/>
        <v>-41.045587999999995</v>
      </c>
      <c r="I51" s="49">
        <f t="shared" si="20"/>
        <v>0</v>
      </c>
      <c r="J51" s="49">
        <f t="shared" si="20"/>
        <v>0</v>
      </c>
      <c r="K51" s="49">
        <f t="shared" si="20"/>
        <v>0</v>
      </c>
      <c r="L51" s="49">
        <f t="shared" si="20"/>
        <v>0</v>
      </c>
      <c r="M51" s="49">
        <f t="shared" si="20"/>
        <v>0</v>
      </c>
      <c r="N51" s="49">
        <f t="shared" si="20"/>
        <v>0</v>
      </c>
      <c r="O51" s="49">
        <f t="shared" si="20"/>
        <v>0</v>
      </c>
      <c r="P51" s="49">
        <f>B51+C51+D51+E51+F51+G51+H51+I51+J51+K51+L51+M51+N51+O51</f>
        <v>-90802.417755999995</v>
      </c>
      <c r="Q51" s="21">
        <f t="shared" ref="Q51" si="21">-P51/$P$14</f>
        <v>2.8272084641577801E-2</v>
      </c>
      <c r="S51" s="70">
        <f t="shared" si="0"/>
        <v>-90802.417755999995</v>
      </c>
      <c r="U51" s="70">
        <f t="shared" si="1"/>
        <v>0</v>
      </c>
    </row>
    <row r="52" spans="1:21" ht="14.25" x14ac:dyDescent="0.2">
      <c r="A52" s="43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4"/>
      <c r="S52" s="70">
        <f t="shared" si="0"/>
        <v>0</v>
      </c>
      <c r="U52" s="70">
        <f t="shared" si="1"/>
        <v>0</v>
      </c>
    </row>
    <row r="53" spans="1:21" ht="15" x14ac:dyDescent="0.2">
      <c r="A53" s="48" t="s">
        <v>58</v>
      </c>
      <c r="B53" s="49">
        <v>-63.86</v>
      </c>
      <c r="C53" s="49">
        <f>C43*0.01%</f>
        <v>-96.446207000000001</v>
      </c>
      <c r="D53" s="49">
        <f>D43*0.01%</f>
        <v>-1.2350510000000001</v>
      </c>
      <c r="E53" s="49">
        <f>E43*0.01%</f>
        <v>-0.94698200000000021</v>
      </c>
      <c r="F53" s="49">
        <f t="shared" ref="F53:L53" si="22">F43*0.01%</f>
        <v>-0.43918000000000001</v>
      </c>
      <c r="G53" s="49">
        <f t="shared" si="22"/>
        <v>-0.30924800000000002</v>
      </c>
      <c r="H53" s="49">
        <f t="shared" si="22"/>
        <v>-7.3823E-2</v>
      </c>
      <c r="I53" s="49">
        <f t="shared" si="22"/>
        <v>0</v>
      </c>
      <c r="J53" s="49">
        <f t="shared" si="22"/>
        <v>0</v>
      </c>
      <c r="K53" s="49">
        <f t="shared" si="22"/>
        <v>0</v>
      </c>
      <c r="L53" s="49">
        <f t="shared" si="22"/>
        <v>0</v>
      </c>
      <c r="M53" s="49">
        <f>M43*0.01%</f>
        <v>0</v>
      </c>
      <c r="N53" s="49">
        <f t="shared" ref="N53:O53" si="23">N43*0.01%</f>
        <v>0</v>
      </c>
      <c r="O53" s="49">
        <f t="shared" si="23"/>
        <v>0</v>
      </c>
      <c r="P53" s="49">
        <f>B53+C53+D53+E53+F53+G53+H53+I53+J53+K53+L53+M53+N53+O53</f>
        <v>-163.31049099999998</v>
      </c>
      <c r="Q53" s="21">
        <f>-P53/$P$14</f>
        <v>5.0848073636283118E-5</v>
      </c>
      <c r="S53" s="70">
        <f t="shared" si="0"/>
        <v>-163.31049099999998</v>
      </c>
      <c r="U53" s="70">
        <f t="shared" si="1"/>
        <v>0</v>
      </c>
    </row>
    <row r="54" spans="1:21" ht="14.25" x14ac:dyDescent="0.2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4"/>
      <c r="S54" s="70">
        <f t="shared" si="0"/>
        <v>0</v>
      </c>
      <c r="U54" s="70">
        <f t="shared" si="1"/>
        <v>0</v>
      </c>
    </row>
    <row r="55" spans="1:21" ht="15" x14ac:dyDescent="0.2">
      <c r="A55" s="39" t="s">
        <v>64</v>
      </c>
      <c r="B55" s="40">
        <f>B45+B51+B53+B47+B49</f>
        <v>244652.54370800013</v>
      </c>
      <c r="C55" s="40">
        <f>C45+C51+C53+C47+C49</f>
        <v>665668.99549799983</v>
      </c>
      <c r="D55" s="58">
        <f>D45+D51+D53+D47+D49</f>
        <v>-13038.433407</v>
      </c>
      <c r="E55" s="40">
        <f>E45+E51+E53+E47+E49</f>
        <v>31961.411025999998</v>
      </c>
      <c r="F55" s="58">
        <f>F45+F51+F53+F47+F49</f>
        <v>-4636.4232600000005</v>
      </c>
      <c r="G55" s="58">
        <f t="shared" ref="G55:M55" si="24">G45+G51+G53+G47+G49</f>
        <v>102276.410303</v>
      </c>
      <c r="H55" s="58">
        <f t="shared" si="24"/>
        <v>-779.34941099999992</v>
      </c>
      <c r="I55" s="58">
        <f t="shared" si="24"/>
        <v>0</v>
      </c>
      <c r="J55" s="58">
        <f t="shared" si="24"/>
        <v>0</v>
      </c>
      <c r="K55" s="58">
        <f t="shared" si="24"/>
        <v>0</v>
      </c>
      <c r="L55" s="58">
        <f t="shared" si="24"/>
        <v>0</v>
      </c>
      <c r="M55" s="40">
        <f t="shared" si="24"/>
        <v>0</v>
      </c>
      <c r="N55" s="58">
        <f>N45+N51+N53+N47+N49</f>
        <v>0</v>
      </c>
      <c r="O55" s="40">
        <f>O45+O51+O53+O47+O49</f>
        <v>0</v>
      </c>
      <c r="P55" s="40">
        <f>B55+C55+D55+E55+F55+G55+H55+I55+J55+K55+L55+M55+N55+O55</f>
        <v>1026105.154457</v>
      </c>
      <c r="Q55" s="21">
        <f>P55/$P$14</f>
        <v>0.31948633632115647</v>
      </c>
      <c r="S55" s="70">
        <f t="shared" si="0"/>
        <v>1026105.154457</v>
      </c>
      <c r="U55" s="70">
        <f t="shared" si="1"/>
        <v>0</v>
      </c>
    </row>
    <row r="56" spans="1:21" x14ac:dyDescent="0.2">
      <c r="A56" s="5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50"/>
    </row>
    <row r="57" spans="1:21" x14ac:dyDescent="0.2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75"/>
      <c r="Q57" s="50"/>
    </row>
    <row r="58" spans="1:21" ht="15" x14ac:dyDescent="0.2">
      <c r="A58" s="52" t="s">
        <v>35</v>
      </c>
      <c r="B58" s="13"/>
      <c r="C58" s="77">
        <v>0</v>
      </c>
      <c r="D58" s="77">
        <v>2</v>
      </c>
      <c r="E58" s="77">
        <v>2</v>
      </c>
      <c r="F58" s="13">
        <v>1</v>
      </c>
      <c r="G58" s="13">
        <v>1</v>
      </c>
      <c r="H58" s="13">
        <v>1</v>
      </c>
      <c r="I58" s="13"/>
      <c r="J58" s="13"/>
      <c r="K58" s="13"/>
      <c r="L58" s="13"/>
      <c r="M58" s="13"/>
      <c r="N58" s="13"/>
      <c r="O58" s="13"/>
      <c r="P58" s="53"/>
      <c r="Q58" s="50"/>
    </row>
    <row r="59" spans="1:21" x14ac:dyDescent="0.2">
      <c r="H59" s="104" t="s">
        <v>165</v>
      </c>
    </row>
    <row r="60" spans="1:21" x14ac:dyDescent="0.2">
      <c r="A60" s="54" t="s">
        <v>36</v>
      </c>
      <c r="B60" s="50"/>
      <c r="C60" s="50"/>
      <c r="D60" s="50"/>
      <c r="E60" s="50"/>
      <c r="F60" s="50"/>
      <c r="G60" s="50"/>
      <c r="H60" s="106" t="s">
        <v>166</v>
      </c>
      <c r="I60" s="50"/>
      <c r="J60" s="50"/>
      <c r="K60" s="50"/>
      <c r="L60" s="50"/>
      <c r="M60" s="50"/>
      <c r="N60" s="50"/>
      <c r="O60" s="50"/>
      <c r="P60" s="50"/>
      <c r="Q60" s="83">
        <v>45443</v>
      </c>
    </row>
    <row r="61" spans="1:21" x14ac:dyDescent="0.2">
      <c r="H61" s="105"/>
    </row>
    <row r="62" spans="1:21" x14ac:dyDescent="0.2">
      <c r="B62" s="70">
        <f>B14+B43+B47+B49+B51+B53</f>
        <v>244652.54370800016</v>
      </c>
      <c r="C62" s="70">
        <f t="shared" ref="C62:O62" si="25">C14+C43+C47+C49+C51+C53</f>
        <v>665668.99549799983</v>
      </c>
      <c r="D62" s="70">
        <f t="shared" si="25"/>
        <v>-13038.433407</v>
      </c>
      <c r="E62" s="70">
        <f>E14+E43+E47+E49+E51+E53</f>
        <v>31961.411025999998</v>
      </c>
      <c r="F62" s="70">
        <f t="shared" si="25"/>
        <v>-4636.4232600000005</v>
      </c>
      <c r="G62" s="70">
        <f t="shared" si="25"/>
        <v>102276.410303</v>
      </c>
      <c r="H62" s="70">
        <f t="shared" si="25"/>
        <v>-779.34941099999992</v>
      </c>
      <c r="I62" s="70">
        <f t="shared" si="25"/>
        <v>0</v>
      </c>
      <c r="J62" s="70">
        <f t="shared" si="25"/>
        <v>0</v>
      </c>
      <c r="K62" s="70">
        <f t="shared" si="25"/>
        <v>0</v>
      </c>
      <c r="L62" s="70">
        <f t="shared" si="25"/>
        <v>0</v>
      </c>
      <c r="M62" s="70">
        <f t="shared" si="25"/>
        <v>0</v>
      </c>
      <c r="N62" s="70">
        <f t="shared" si="25"/>
        <v>0</v>
      </c>
      <c r="O62" s="70">
        <f t="shared" si="25"/>
        <v>0</v>
      </c>
      <c r="P62" s="70">
        <f>P14+P43+P47+P49+P51+P53</f>
        <v>1026105.1544570001</v>
      </c>
    </row>
    <row r="64" spans="1:21" x14ac:dyDescent="0.2">
      <c r="B64" s="70">
        <f>B55-B62</f>
        <v>0</v>
      </c>
      <c r="C64" s="70">
        <f t="shared" ref="C64:O64" si="26">C55-C62</f>
        <v>0</v>
      </c>
      <c r="D64" s="70">
        <f t="shared" si="26"/>
        <v>0</v>
      </c>
      <c r="E64" s="70">
        <f t="shared" si="26"/>
        <v>0</v>
      </c>
      <c r="F64" s="70">
        <f t="shared" si="26"/>
        <v>0</v>
      </c>
      <c r="G64" s="70">
        <f t="shared" si="26"/>
        <v>0</v>
      </c>
      <c r="H64" s="70">
        <f t="shared" si="26"/>
        <v>0</v>
      </c>
      <c r="I64" s="70">
        <f t="shared" si="26"/>
        <v>0</v>
      </c>
      <c r="J64" s="70">
        <f t="shared" si="26"/>
        <v>0</v>
      </c>
      <c r="K64" s="70">
        <f t="shared" si="26"/>
        <v>0</v>
      </c>
      <c r="L64" s="70">
        <f t="shared" si="26"/>
        <v>0</v>
      </c>
      <c r="M64" s="70">
        <f t="shared" si="26"/>
        <v>0</v>
      </c>
      <c r="N64" s="70">
        <f t="shared" si="26"/>
        <v>0</v>
      </c>
      <c r="O64" s="70">
        <f t="shared" si="26"/>
        <v>0</v>
      </c>
      <c r="P64" s="70">
        <f>P55-P62</f>
        <v>0</v>
      </c>
    </row>
  </sheetData>
  <mergeCells count="4">
    <mergeCell ref="A3:Q3"/>
    <mergeCell ref="A5:Q5"/>
    <mergeCell ref="A7:Q7"/>
    <mergeCell ref="A1:P1"/>
  </mergeCells>
  <conditionalFormatting sqref="G55">
    <cfRule type="cellIs" dxfId="193" priority="7" operator="lessThan">
      <formula>0</formula>
    </cfRule>
    <cfRule type="cellIs" dxfId="192" priority="8" operator="greaterThan">
      <formula>0</formula>
    </cfRule>
  </conditionalFormatting>
  <conditionalFormatting sqref="I55:J55">
    <cfRule type="cellIs" dxfId="191" priority="3" operator="lessThan">
      <formula>0</formula>
    </cfRule>
    <cfRule type="cellIs" dxfId="190" priority="4" operator="greaterThan">
      <formula>0</formula>
    </cfRule>
  </conditionalFormatting>
  <conditionalFormatting sqref="L55">
    <cfRule type="cellIs" dxfId="189" priority="1" operator="lessThan">
      <formula>0</formula>
    </cfRule>
    <cfRule type="cellIs" dxfId="188" priority="2" operator="greaterThan">
      <formula>0</formula>
    </cfRule>
  </conditionalFormatting>
  <printOptions horizontalCentered="1" verticalCentered="1"/>
  <pageMargins left="0.19685039370078741" right="0" top="0.19685039370078741" bottom="0" header="0.19685039370078741" footer="0"/>
  <pageSetup paperSize="9" scale="69" orientation="landscape" r:id="rId1"/>
  <ignoredErrors>
    <ignoredError sqref="Q32 Q3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V64"/>
  <sheetViews>
    <sheetView zoomScale="85" zoomScaleNormal="85" workbookViewId="0">
      <pane xSplit="1" topLeftCell="B1" activePane="topRight" state="frozen"/>
      <selection pane="topRight" activeCell="A9" sqref="A9"/>
    </sheetView>
  </sheetViews>
  <sheetFormatPr defaultColWidth="9.140625" defaultRowHeight="12.75" x14ac:dyDescent="0.2"/>
  <cols>
    <col min="1" max="1" width="51.28515625" style="10" customWidth="1"/>
    <col min="2" max="2" width="16.28515625" style="10" bestFit="1" customWidth="1"/>
    <col min="3" max="3" width="18" style="10" bestFit="1" customWidth="1"/>
    <col min="4" max="4" width="18" style="10" customWidth="1"/>
    <col min="5" max="6" width="15.7109375" style="10" customWidth="1"/>
    <col min="7" max="7" width="15" style="10" hidden="1" customWidth="1"/>
    <col min="8" max="8" width="18.140625" style="10" hidden="1" customWidth="1"/>
    <col min="9" max="9" width="15.140625" style="10" hidden="1" customWidth="1"/>
    <col min="10" max="10" width="15" style="10" hidden="1" customWidth="1"/>
    <col min="11" max="11" width="16.140625" style="10" hidden="1" customWidth="1"/>
    <col min="12" max="12" width="16.42578125" style="10" hidden="1" customWidth="1"/>
    <col min="13" max="13" width="16.140625" style="10" hidden="1" customWidth="1"/>
    <col min="14" max="14" width="14.7109375" style="10" hidden="1" customWidth="1"/>
    <col min="15" max="15" width="16.85546875" style="10" hidden="1" customWidth="1"/>
    <col min="16" max="16" width="16.7109375" style="10" hidden="1" customWidth="1"/>
    <col min="17" max="17" width="18" style="10" bestFit="1" customWidth="1"/>
    <col min="18" max="18" width="10.140625" style="10" bestFit="1" customWidth="1"/>
    <col min="19" max="19" width="9.140625" style="10"/>
    <col min="20" max="20" width="16.42578125" style="10" bestFit="1" customWidth="1"/>
    <col min="21" max="21" width="9.140625" style="10"/>
    <col min="22" max="22" width="13.28515625" style="10" bestFit="1" customWidth="1"/>
    <col min="23" max="16384" width="9.140625" style="10"/>
  </cols>
  <sheetData>
    <row r="1" spans="1:22" ht="15.75" x14ac:dyDescent="0.25">
      <c r="A1" s="203" t="s">
        <v>71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</row>
    <row r="3" spans="1:22" ht="10.15" customHeight="1" x14ac:dyDescent="0.2"/>
    <row r="4" spans="1:22" ht="15.6" customHeight="1" x14ac:dyDescent="0.25">
      <c r="A4" s="209" t="s">
        <v>65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71"/>
      <c r="T4" s="71"/>
    </row>
    <row r="5" spans="1:22" ht="12.6" customHeight="1" x14ac:dyDescent="0.25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</row>
    <row r="6" spans="1:22" ht="15.6" customHeight="1" x14ac:dyDescent="0.25">
      <c r="A6" s="209" t="s">
        <v>73</v>
      </c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71"/>
      <c r="T6" s="71"/>
      <c r="U6" s="71"/>
    </row>
    <row r="7" spans="1:22" ht="12.6" customHeight="1" x14ac:dyDescent="0.25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</row>
    <row r="8" spans="1:22" ht="15.6" customHeight="1" x14ac:dyDescent="0.25">
      <c r="A8" s="209" t="s">
        <v>169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71"/>
      <c r="T8" s="71"/>
      <c r="U8" s="71"/>
    </row>
    <row r="9" spans="1:22" ht="9.6" customHeight="1" x14ac:dyDescent="0.2"/>
    <row r="10" spans="1:22" ht="15" x14ac:dyDescent="0.2">
      <c r="A10" s="12"/>
      <c r="B10" s="60" t="s">
        <v>85</v>
      </c>
      <c r="C10" s="60" t="s">
        <v>122</v>
      </c>
      <c r="D10" s="60" t="s">
        <v>221</v>
      </c>
      <c r="E10" s="60" t="s">
        <v>209</v>
      </c>
      <c r="F10" s="60" t="s">
        <v>210</v>
      </c>
      <c r="G10" s="60" t="s">
        <v>211</v>
      </c>
      <c r="H10" s="60" t="s">
        <v>212</v>
      </c>
      <c r="I10" s="60" t="s">
        <v>213</v>
      </c>
      <c r="J10" s="60" t="s">
        <v>214</v>
      </c>
      <c r="K10" s="60" t="s">
        <v>215</v>
      </c>
      <c r="L10" s="60" t="s">
        <v>216</v>
      </c>
      <c r="M10" s="60" t="s">
        <v>217</v>
      </c>
      <c r="N10" s="60" t="s">
        <v>218</v>
      </c>
      <c r="O10" s="60" t="s">
        <v>219</v>
      </c>
      <c r="P10" s="60" t="s">
        <v>220</v>
      </c>
      <c r="Q10" s="13" t="s">
        <v>1</v>
      </c>
      <c r="R10" s="14" t="s">
        <v>2</v>
      </c>
    </row>
    <row r="11" spans="1:22" ht="15" x14ac:dyDescent="0.2">
      <c r="A11" s="15" t="s">
        <v>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7"/>
      <c r="R11" s="18"/>
    </row>
    <row r="12" spans="1:22" ht="15" x14ac:dyDescent="0.2">
      <c r="A12" s="15" t="s">
        <v>4</v>
      </c>
      <c r="B12" s="19">
        <v>0</v>
      </c>
      <c r="C12" s="19">
        <v>1032969.48</v>
      </c>
      <c r="D12" s="19">
        <v>104718.58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20">
        <f>B12+C12+D12+E12+F12+G12+H12+I12+J12+K12+L12+M12+N12+O12+P12</f>
        <v>1137688.06</v>
      </c>
      <c r="R12" s="21">
        <v>1</v>
      </c>
      <c r="T12" s="70">
        <f>SUM(B12:P12)</f>
        <v>1137688.06</v>
      </c>
      <c r="V12" s="70">
        <f>T12-Q12</f>
        <v>0</v>
      </c>
    </row>
    <row r="13" spans="1:22" ht="15" x14ac:dyDescent="0.2">
      <c r="A13" s="15" t="s">
        <v>5</v>
      </c>
      <c r="B13" s="22">
        <v>0</v>
      </c>
      <c r="C13" s="22">
        <v>0</v>
      </c>
      <c r="D13" s="19">
        <f>SUM(E13:P13)</f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20">
        <f>B13+C13+D13+E13+F13+G13+H13+I13+J13+K13+L13+M13+N13+O13+P13</f>
        <v>0</v>
      </c>
      <c r="R13" s="21"/>
      <c r="T13" s="70">
        <f t="shared" ref="T13:T54" si="0">SUM(B13:P13)</f>
        <v>0</v>
      </c>
      <c r="V13" s="70">
        <f t="shared" ref="V13:V55" si="1">T13-Q13</f>
        <v>0</v>
      </c>
    </row>
    <row r="14" spans="1:22" ht="15" x14ac:dyDescent="0.2">
      <c r="A14" s="23" t="s">
        <v>6</v>
      </c>
      <c r="B14" s="24">
        <f>B12+B13</f>
        <v>0</v>
      </c>
      <c r="C14" s="67">
        <f t="shared" ref="C14:F14" si="2">C12+C13</f>
        <v>1032969.48</v>
      </c>
      <c r="D14" s="67">
        <f>SUM(D12:D13)</f>
        <v>104718.58</v>
      </c>
      <c r="E14" s="67">
        <f t="shared" si="2"/>
        <v>0</v>
      </c>
      <c r="F14" s="67">
        <f t="shared" si="2"/>
        <v>0</v>
      </c>
      <c r="G14" s="69">
        <f t="shared" ref="G14:M14" si="3">G12</f>
        <v>0</v>
      </c>
      <c r="H14" s="69">
        <f t="shared" si="3"/>
        <v>0</v>
      </c>
      <c r="I14" s="69">
        <f t="shared" si="3"/>
        <v>0</v>
      </c>
      <c r="J14" s="69">
        <f t="shared" si="3"/>
        <v>0</v>
      </c>
      <c r="K14" s="69">
        <f t="shared" si="3"/>
        <v>0</v>
      </c>
      <c r="L14" s="69">
        <f t="shared" si="3"/>
        <v>0</v>
      </c>
      <c r="M14" s="69">
        <f t="shared" si="3"/>
        <v>0</v>
      </c>
      <c r="N14" s="69">
        <f>N12</f>
        <v>0</v>
      </c>
      <c r="O14" s="69">
        <f t="shared" ref="O14:P14" si="4">O12</f>
        <v>0</v>
      </c>
      <c r="P14" s="69">
        <f t="shared" si="4"/>
        <v>0</v>
      </c>
      <c r="Q14" s="24">
        <f>SUM(Q12:Q13)</f>
        <v>1137688.06</v>
      </c>
      <c r="R14" s="21">
        <v>1</v>
      </c>
      <c r="T14" s="70">
        <f t="shared" si="0"/>
        <v>1137688.06</v>
      </c>
      <c r="V14" s="70">
        <f t="shared" si="1"/>
        <v>0</v>
      </c>
    </row>
    <row r="15" spans="1:22" ht="15" x14ac:dyDescent="0.2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7"/>
      <c r="R15" s="28"/>
      <c r="T15" s="70">
        <f t="shared" si="0"/>
        <v>0</v>
      </c>
      <c r="V15" s="70"/>
    </row>
    <row r="16" spans="1:22" ht="15" x14ac:dyDescent="0.2">
      <c r="A16" s="29" t="s">
        <v>7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30"/>
      <c r="R16" s="31"/>
      <c r="T16" s="70">
        <f t="shared" si="0"/>
        <v>0</v>
      </c>
      <c r="V16" s="70"/>
    </row>
    <row r="17" spans="1:22" ht="15" x14ac:dyDescent="0.2">
      <c r="A17" s="15" t="s">
        <v>8</v>
      </c>
      <c r="B17" s="32">
        <v>-6869.47</v>
      </c>
      <c r="C17" s="32">
        <f>-79288.13-B17</f>
        <v>-72418.66</v>
      </c>
      <c r="D17" s="19">
        <v>-24315.58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20">
        <f>B17+C17+D17+E17+F17+G17+H17+I17+J17+K17+L17+M17+N17+O17+P17</f>
        <v>-103603.71</v>
      </c>
      <c r="R17" s="21">
        <f>-Q17/$Q$14</f>
        <v>9.106512904776376E-2</v>
      </c>
      <c r="T17" s="70">
        <f>SUM(B17:P17)</f>
        <v>-103603.71</v>
      </c>
      <c r="V17" s="70">
        <f t="shared" si="1"/>
        <v>0</v>
      </c>
    </row>
    <row r="18" spans="1:22" ht="15" x14ac:dyDescent="0.2">
      <c r="A18" s="33" t="s">
        <v>9</v>
      </c>
      <c r="B18" s="32">
        <v>-176.92</v>
      </c>
      <c r="C18" s="32">
        <f>-176.92-B18</f>
        <v>0</v>
      </c>
      <c r="D18" s="19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20">
        <f t="shared" ref="Q18:Q42" si="5">B18+C18+D18+E18+F18+G18+H18+I18+J18+K18+L18+M18+N18+O18+P18</f>
        <v>-176.92</v>
      </c>
      <c r="R18" s="21">
        <f t="shared" ref="R18:R55" si="6">-Q18/$Q$14</f>
        <v>1.5550835613058995E-4</v>
      </c>
      <c r="T18" s="70">
        <f t="shared" si="0"/>
        <v>-176.92</v>
      </c>
      <c r="V18" s="70">
        <f t="shared" si="1"/>
        <v>0</v>
      </c>
    </row>
    <row r="19" spans="1:22" ht="15" x14ac:dyDescent="0.2">
      <c r="A19" s="15" t="s">
        <v>10</v>
      </c>
      <c r="B19" s="32">
        <v>0</v>
      </c>
      <c r="C19" s="32">
        <f>0-B19</f>
        <v>0</v>
      </c>
      <c r="D19" s="19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20">
        <f t="shared" si="5"/>
        <v>0</v>
      </c>
      <c r="R19" s="21">
        <f t="shared" si="6"/>
        <v>0</v>
      </c>
      <c r="T19" s="70">
        <f t="shared" si="0"/>
        <v>0</v>
      </c>
      <c r="V19" s="70">
        <f t="shared" si="1"/>
        <v>0</v>
      </c>
    </row>
    <row r="20" spans="1:22" ht="15" x14ac:dyDescent="0.2">
      <c r="A20" s="33" t="s">
        <v>11</v>
      </c>
      <c r="B20" s="32">
        <v>-545.57000000000005</v>
      </c>
      <c r="C20" s="32">
        <f>-3103.7-B20</f>
        <v>-2558.1299999999997</v>
      </c>
      <c r="D20" s="19">
        <v>-725.75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20">
        <f t="shared" si="5"/>
        <v>-3829.45</v>
      </c>
      <c r="R20" s="21">
        <f t="shared" si="6"/>
        <v>3.3659929594409208E-3</v>
      </c>
      <c r="T20" s="70">
        <f t="shared" si="0"/>
        <v>-3829.45</v>
      </c>
      <c r="V20" s="70">
        <f t="shared" si="1"/>
        <v>0</v>
      </c>
    </row>
    <row r="21" spans="1:22" ht="15" x14ac:dyDescent="0.2">
      <c r="A21" s="15" t="s">
        <v>12</v>
      </c>
      <c r="B21" s="32">
        <v>-6690.01</v>
      </c>
      <c r="C21" s="32">
        <f>-55840.11-B21</f>
        <v>-49150.1</v>
      </c>
      <c r="D21" s="19">
        <v>-12532.77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20">
        <f t="shared" si="5"/>
        <v>-68372.88</v>
      </c>
      <c r="R21" s="21">
        <f t="shared" si="6"/>
        <v>6.0098090508218925E-2</v>
      </c>
      <c r="T21" s="70">
        <f t="shared" si="0"/>
        <v>-68372.88</v>
      </c>
      <c r="V21" s="70">
        <f t="shared" si="1"/>
        <v>0</v>
      </c>
    </row>
    <row r="22" spans="1:22" ht="15" x14ac:dyDescent="0.2">
      <c r="A22" s="15" t="s">
        <v>13</v>
      </c>
      <c r="B22" s="32">
        <v>-3950.11</v>
      </c>
      <c r="C22" s="32">
        <f>-36146-B22</f>
        <v>-32195.89</v>
      </c>
      <c r="D22" s="19">
        <v>-8021.56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20">
        <f t="shared" si="5"/>
        <v>-44167.56</v>
      </c>
      <c r="R22" s="21">
        <f t="shared" si="6"/>
        <v>3.8822205798661538E-2</v>
      </c>
      <c r="T22" s="70">
        <f t="shared" si="0"/>
        <v>-44167.56</v>
      </c>
      <c r="V22" s="70">
        <f t="shared" si="1"/>
        <v>0</v>
      </c>
    </row>
    <row r="23" spans="1:22" ht="15" x14ac:dyDescent="0.2">
      <c r="A23" s="15" t="s">
        <v>14</v>
      </c>
      <c r="B23" s="32">
        <v>-2834.22</v>
      </c>
      <c r="C23" s="32">
        <f>-33881.77-B23</f>
        <v>-31047.549999999996</v>
      </c>
      <c r="D23" s="19">
        <v>-3895.22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20">
        <f t="shared" si="5"/>
        <v>-37776.99</v>
      </c>
      <c r="R23" s="21">
        <f t="shared" si="6"/>
        <v>3.3205050952191582E-2</v>
      </c>
      <c r="T23" s="70">
        <f t="shared" si="0"/>
        <v>-37776.99</v>
      </c>
      <c r="V23" s="70">
        <f t="shared" si="1"/>
        <v>0</v>
      </c>
    </row>
    <row r="24" spans="1:22" ht="15" x14ac:dyDescent="0.2">
      <c r="A24" s="15" t="s">
        <v>15</v>
      </c>
      <c r="B24" s="32">
        <v>0</v>
      </c>
      <c r="C24" s="32">
        <f>0-B24</f>
        <v>0</v>
      </c>
      <c r="D24" s="19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20">
        <f t="shared" si="5"/>
        <v>0</v>
      </c>
      <c r="R24" s="21">
        <f t="shared" si="6"/>
        <v>0</v>
      </c>
      <c r="T24" s="70">
        <f t="shared" si="0"/>
        <v>0</v>
      </c>
      <c r="V24" s="70">
        <f t="shared" si="1"/>
        <v>0</v>
      </c>
    </row>
    <row r="25" spans="1:22" ht="15" x14ac:dyDescent="0.2">
      <c r="A25" s="15" t="s">
        <v>16</v>
      </c>
      <c r="B25" s="32">
        <v>0</v>
      </c>
      <c r="C25" s="32">
        <f>0-B25</f>
        <v>0</v>
      </c>
      <c r="D25" s="19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20">
        <f t="shared" si="5"/>
        <v>0</v>
      </c>
      <c r="R25" s="21">
        <f t="shared" si="6"/>
        <v>0</v>
      </c>
      <c r="T25" s="70">
        <f t="shared" si="0"/>
        <v>0</v>
      </c>
      <c r="V25" s="70">
        <f t="shared" si="1"/>
        <v>0</v>
      </c>
    </row>
    <row r="26" spans="1:22" ht="15" x14ac:dyDescent="0.2">
      <c r="A26" s="15" t="s">
        <v>17</v>
      </c>
      <c r="B26" s="32">
        <v>-4770.3999999999996</v>
      </c>
      <c r="C26" s="32">
        <f>-41125.19-B26</f>
        <v>-36354.79</v>
      </c>
      <c r="D26" s="19">
        <v>-8823.73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20">
        <f t="shared" si="5"/>
        <v>-49948.92</v>
      </c>
      <c r="R26" s="21">
        <f t="shared" si="6"/>
        <v>4.3903879944033164E-2</v>
      </c>
      <c r="T26" s="70">
        <f t="shared" si="0"/>
        <v>-49948.92</v>
      </c>
      <c r="V26" s="70">
        <f t="shared" si="1"/>
        <v>0</v>
      </c>
    </row>
    <row r="27" spans="1:22" ht="15" x14ac:dyDescent="0.2">
      <c r="A27" s="15" t="s">
        <v>18</v>
      </c>
      <c r="B27" s="32">
        <v>0</v>
      </c>
      <c r="C27" s="32">
        <f>0-B27</f>
        <v>0</v>
      </c>
      <c r="D27" s="19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20">
        <f t="shared" si="5"/>
        <v>0</v>
      </c>
      <c r="R27" s="21">
        <f t="shared" si="6"/>
        <v>0</v>
      </c>
      <c r="T27" s="70">
        <f t="shared" si="0"/>
        <v>0</v>
      </c>
      <c r="V27" s="70">
        <f t="shared" si="1"/>
        <v>0</v>
      </c>
    </row>
    <row r="28" spans="1:22" ht="15" x14ac:dyDescent="0.2">
      <c r="A28" s="15" t="s">
        <v>19</v>
      </c>
      <c r="B28" s="32">
        <v>-11.87</v>
      </c>
      <c r="C28" s="32">
        <f>-11.87-B28</f>
        <v>0</v>
      </c>
      <c r="D28" s="19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20">
        <f t="shared" si="5"/>
        <v>-11.87</v>
      </c>
      <c r="R28" s="21">
        <f t="shared" si="6"/>
        <v>1.0433439900916248E-5</v>
      </c>
      <c r="T28" s="70">
        <f t="shared" si="0"/>
        <v>-11.87</v>
      </c>
      <c r="V28" s="70">
        <f t="shared" si="1"/>
        <v>0</v>
      </c>
    </row>
    <row r="29" spans="1:22" ht="15" x14ac:dyDescent="0.2">
      <c r="A29" s="15" t="s">
        <v>20</v>
      </c>
      <c r="B29" s="32">
        <v>0</v>
      </c>
      <c r="C29" s="32">
        <f>0-B29</f>
        <v>0</v>
      </c>
      <c r="D29" s="19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20">
        <f t="shared" si="5"/>
        <v>0</v>
      </c>
      <c r="R29" s="21">
        <f t="shared" si="6"/>
        <v>0</v>
      </c>
      <c r="T29" s="70">
        <f t="shared" si="0"/>
        <v>0</v>
      </c>
      <c r="V29" s="70">
        <f t="shared" si="1"/>
        <v>0</v>
      </c>
    </row>
    <row r="30" spans="1:22" ht="15" x14ac:dyDescent="0.2">
      <c r="A30" s="15" t="s">
        <v>59</v>
      </c>
      <c r="B30" s="32">
        <v>0</v>
      </c>
      <c r="C30" s="32">
        <f>0-B30</f>
        <v>0</v>
      </c>
      <c r="D30" s="19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20">
        <f t="shared" si="5"/>
        <v>0</v>
      </c>
      <c r="R30" s="21">
        <f t="shared" si="6"/>
        <v>0</v>
      </c>
      <c r="T30" s="70">
        <f t="shared" si="0"/>
        <v>0</v>
      </c>
      <c r="V30" s="70">
        <f t="shared" si="1"/>
        <v>0</v>
      </c>
    </row>
    <row r="31" spans="1:22" ht="15" x14ac:dyDescent="0.2">
      <c r="A31" s="15" t="s">
        <v>21</v>
      </c>
      <c r="B31" s="32">
        <v>-984.52</v>
      </c>
      <c r="C31" s="32">
        <f>-3598.98-B31</f>
        <v>-2614.46</v>
      </c>
      <c r="D31" s="19">
        <v>-568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20">
        <f t="shared" si="5"/>
        <v>-4166.9799999999996</v>
      </c>
      <c r="R31" s="21">
        <f t="shared" si="6"/>
        <v>3.6626735803133941E-3</v>
      </c>
      <c r="T31" s="70">
        <f t="shared" si="0"/>
        <v>-4166.9799999999996</v>
      </c>
      <c r="V31" s="70">
        <f t="shared" si="1"/>
        <v>0</v>
      </c>
    </row>
    <row r="32" spans="1:22" ht="15" x14ac:dyDescent="0.2">
      <c r="A32" s="15" t="s">
        <v>22</v>
      </c>
      <c r="B32" s="32">
        <v>0</v>
      </c>
      <c r="C32" s="32">
        <f>0-B32</f>
        <v>0</v>
      </c>
      <c r="D32" s="19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20">
        <f t="shared" si="5"/>
        <v>0</v>
      </c>
      <c r="R32" s="21">
        <f t="shared" si="6"/>
        <v>0</v>
      </c>
      <c r="T32" s="70">
        <f t="shared" si="0"/>
        <v>0</v>
      </c>
      <c r="V32" s="70">
        <f t="shared" si="1"/>
        <v>0</v>
      </c>
    </row>
    <row r="33" spans="1:22" ht="15" x14ac:dyDescent="0.2">
      <c r="A33" s="33" t="s">
        <v>23</v>
      </c>
      <c r="B33" s="32">
        <v>-774.52</v>
      </c>
      <c r="C33" s="32">
        <f>-1417.89-B33</f>
        <v>-643.37000000000012</v>
      </c>
      <c r="D33" s="19">
        <v>-27.9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20">
        <f t="shared" si="5"/>
        <v>-1445.7900000000002</v>
      </c>
      <c r="R33" s="21">
        <f t="shared" si="6"/>
        <v>1.2708140753450467E-3</v>
      </c>
      <c r="T33" s="70">
        <f t="shared" si="0"/>
        <v>-1445.7900000000002</v>
      </c>
      <c r="V33" s="70">
        <f t="shared" si="1"/>
        <v>0</v>
      </c>
    </row>
    <row r="34" spans="1:22" ht="15" x14ac:dyDescent="0.2">
      <c r="A34" s="15" t="s">
        <v>24</v>
      </c>
      <c r="B34" s="32">
        <v>-29407</v>
      </c>
      <c r="C34" s="32">
        <f>-255872.91-B34</f>
        <v>-226465.91</v>
      </c>
      <c r="D34" s="19">
        <v>-40177.24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20">
        <f t="shared" si="5"/>
        <v>-296050.15000000002</v>
      </c>
      <c r="R34" s="21">
        <f t="shared" si="6"/>
        <v>0.26022084647702115</v>
      </c>
      <c r="T34" s="70">
        <f t="shared" si="0"/>
        <v>-296050.15000000002</v>
      </c>
      <c r="V34" s="70">
        <f t="shared" si="1"/>
        <v>0</v>
      </c>
    </row>
    <row r="35" spans="1:22" ht="15" x14ac:dyDescent="0.2">
      <c r="A35" s="34" t="s">
        <v>25</v>
      </c>
      <c r="B35" s="32">
        <v>-46525.16</v>
      </c>
      <c r="C35" s="32">
        <f>-399251.49-B35</f>
        <v>-352726.32999999996</v>
      </c>
      <c r="D35" s="19">
        <v>-87109.87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20">
        <f t="shared" si="5"/>
        <v>-486361.36</v>
      </c>
      <c r="R35" s="21">
        <f t="shared" si="6"/>
        <v>0.42749974892063114</v>
      </c>
      <c r="T35" s="70">
        <f t="shared" si="0"/>
        <v>-486361.36</v>
      </c>
      <c r="V35" s="70">
        <f t="shared" si="1"/>
        <v>0</v>
      </c>
    </row>
    <row r="36" spans="1:22" ht="15" x14ac:dyDescent="0.2">
      <c r="A36" s="15" t="s">
        <v>26</v>
      </c>
      <c r="B36" s="32">
        <v>0</v>
      </c>
      <c r="C36" s="32">
        <f>-72.72-B36</f>
        <v>-72.72</v>
      </c>
      <c r="D36" s="19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20">
        <f t="shared" si="5"/>
        <v>-72.72</v>
      </c>
      <c r="R36" s="21">
        <f t="shared" si="6"/>
        <v>6.3919102745967112E-5</v>
      </c>
      <c r="T36" s="70">
        <f t="shared" si="0"/>
        <v>-72.72</v>
      </c>
      <c r="V36" s="70">
        <f t="shared" si="1"/>
        <v>0</v>
      </c>
    </row>
    <row r="37" spans="1:22" ht="15" x14ac:dyDescent="0.2">
      <c r="A37" s="15" t="s">
        <v>27</v>
      </c>
      <c r="B37" s="32">
        <v>0</v>
      </c>
      <c r="C37" s="32">
        <f>0-B37</f>
        <v>0</v>
      </c>
      <c r="D37" s="19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20">
        <f t="shared" si="5"/>
        <v>0</v>
      </c>
      <c r="R37" s="21">
        <f t="shared" si="6"/>
        <v>0</v>
      </c>
      <c r="T37" s="70">
        <f t="shared" si="0"/>
        <v>0</v>
      </c>
      <c r="V37" s="70">
        <f t="shared" si="1"/>
        <v>0</v>
      </c>
    </row>
    <row r="38" spans="1:22" ht="15" x14ac:dyDescent="0.2">
      <c r="A38" s="33" t="s">
        <v>28</v>
      </c>
      <c r="B38" s="32">
        <v>-1829.37</v>
      </c>
      <c r="C38" s="32">
        <f>-8023.1-B38</f>
        <v>-6193.7300000000005</v>
      </c>
      <c r="D38" s="19">
        <v>-811.24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20">
        <f t="shared" si="5"/>
        <v>-8834.34</v>
      </c>
      <c r="R38" s="21">
        <f t="shared" si="6"/>
        <v>7.7651689514962475E-3</v>
      </c>
      <c r="T38" s="70">
        <f t="shared" si="0"/>
        <v>-8834.34</v>
      </c>
      <c r="V38" s="70">
        <f t="shared" si="1"/>
        <v>0</v>
      </c>
    </row>
    <row r="39" spans="1:22" ht="15" x14ac:dyDescent="0.2">
      <c r="A39" s="15" t="s">
        <v>29</v>
      </c>
      <c r="B39" s="32">
        <v>-4349.6400000000003</v>
      </c>
      <c r="C39" s="32">
        <f>-38410.3-B39</f>
        <v>-34060.660000000003</v>
      </c>
      <c r="D39" s="19">
        <v>-9534.4500000000007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20">
        <f t="shared" si="5"/>
        <v>-47944.75</v>
      </c>
      <c r="R39" s="21">
        <f t="shared" si="6"/>
        <v>4.2142263495320499E-2</v>
      </c>
      <c r="T39" s="70">
        <f t="shared" si="0"/>
        <v>-47944.75</v>
      </c>
      <c r="V39" s="70">
        <f t="shared" si="1"/>
        <v>0</v>
      </c>
    </row>
    <row r="40" spans="1:22" ht="15" x14ac:dyDescent="0.2">
      <c r="A40" s="15" t="s">
        <v>30</v>
      </c>
      <c r="B40" s="32">
        <v>-3124.79</v>
      </c>
      <c r="C40" s="32">
        <f>-40352.95-B40</f>
        <v>-37228.159999999996</v>
      </c>
      <c r="D40" s="19">
        <v>-9800.7999999999993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20">
        <f t="shared" si="5"/>
        <v>-50153.75</v>
      </c>
      <c r="R40" s="21">
        <f t="shared" si="6"/>
        <v>4.4083920508052092E-2</v>
      </c>
      <c r="T40" s="70">
        <f t="shared" si="0"/>
        <v>-50153.75</v>
      </c>
      <c r="V40" s="70">
        <f t="shared" si="1"/>
        <v>0</v>
      </c>
    </row>
    <row r="41" spans="1:22" ht="15" x14ac:dyDescent="0.2">
      <c r="A41" s="15" t="s">
        <v>97</v>
      </c>
      <c r="B41" s="32">
        <v>0</v>
      </c>
      <c r="C41" s="32">
        <f>0-B41</f>
        <v>0</v>
      </c>
      <c r="D41" s="19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20">
        <f t="shared" si="5"/>
        <v>0</v>
      </c>
      <c r="R41" s="21">
        <f t="shared" si="6"/>
        <v>0</v>
      </c>
      <c r="T41" s="70">
        <f t="shared" si="0"/>
        <v>0</v>
      </c>
      <c r="V41" s="70">
        <f t="shared" si="1"/>
        <v>0</v>
      </c>
    </row>
    <row r="42" spans="1:22" ht="15" x14ac:dyDescent="0.2">
      <c r="A42" s="15" t="s">
        <v>114</v>
      </c>
      <c r="B42" s="32">
        <v>0</v>
      </c>
      <c r="C42" s="32">
        <v>0</v>
      </c>
      <c r="D42" s="19">
        <f t="shared" ref="D42" si="7">SUM(E42:P42)</f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20">
        <f t="shared" si="5"/>
        <v>0</v>
      </c>
      <c r="R42" s="21">
        <f t="shared" si="6"/>
        <v>0</v>
      </c>
      <c r="T42" s="70">
        <f t="shared" si="0"/>
        <v>0</v>
      </c>
      <c r="V42" s="70">
        <f t="shared" si="1"/>
        <v>0</v>
      </c>
    </row>
    <row r="43" spans="1:22" ht="15" x14ac:dyDescent="0.2">
      <c r="A43" s="35" t="s">
        <v>31</v>
      </c>
      <c r="B43" s="36">
        <f>SUM(B17:B42)</f>
        <v>-112843.56999999999</v>
      </c>
      <c r="C43" s="36">
        <f t="shared" ref="C43:P43" si="8">SUM(C17:C42)</f>
        <v>-883730.46</v>
      </c>
      <c r="D43" s="36">
        <f>SUM(D17:D42)</f>
        <v>-206344.11</v>
      </c>
      <c r="E43" s="36">
        <f t="shared" si="8"/>
        <v>0</v>
      </c>
      <c r="F43" s="36">
        <f t="shared" si="8"/>
        <v>0</v>
      </c>
      <c r="G43" s="36">
        <f t="shared" si="8"/>
        <v>0</v>
      </c>
      <c r="H43" s="36">
        <f t="shared" si="8"/>
        <v>0</v>
      </c>
      <c r="I43" s="36">
        <f t="shared" si="8"/>
        <v>0</v>
      </c>
      <c r="J43" s="36">
        <f t="shared" si="8"/>
        <v>0</v>
      </c>
      <c r="K43" s="36">
        <f t="shared" si="8"/>
        <v>0</v>
      </c>
      <c r="L43" s="36">
        <f t="shared" si="8"/>
        <v>0</v>
      </c>
      <c r="M43" s="36">
        <f t="shared" si="8"/>
        <v>0</v>
      </c>
      <c r="N43" s="36">
        <f t="shared" si="8"/>
        <v>0</v>
      </c>
      <c r="O43" s="36">
        <f t="shared" si="8"/>
        <v>0</v>
      </c>
      <c r="P43" s="36">
        <f t="shared" si="8"/>
        <v>0</v>
      </c>
      <c r="Q43" s="36">
        <f>SUM(Q17:Q42)</f>
        <v>-1202918.1400000001</v>
      </c>
      <c r="R43" s="21">
        <f t="shared" si="6"/>
        <v>1.0573356461172669</v>
      </c>
      <c r="T43" s="70">
        <f>SUM(B43:P43)</f>
        <v>-1202918.1399999999</v>
      </c>
      <c r="V43" s="70">
        <f t="shared" si="1"/>
        <v>0</v>
      </c>
    </row>
    <row r="44" spans="1:22" ht="15" x14ac:dyDescent="0.2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T44" s="70">
        <f t="shared" si="0"/>
        <v>0</v>
      </c>
      <c r="V44" s="70">
        <f t="shared" si="1"/>
        <v>0</v>
      </c>
    </row>
    <row r="45" spans="1:22" ht="15" x14ac:dyDescent="0.2">
      <c r="A45" s="39" t="s">
        <v>32</v>
      </c>
      <c r="B45" s="58">
        <f>B14+B43</f>
        <v>-112843.56999999999</v>
      </c>
      <c r="C45" s="40">
        <f>C14+C43</f>
        <v>149239.02000000002</v>
      </c>
      <c r="D45" s="40">
        <f>D14+D43</f>
        <v>-101625.52999999998</v>
      </c>
      <c r="E45" s="58">
        <f t="shared" ref="E45:O45" si="9">E14+E43</f>
        <v>0</v>
      </c>
      <c r="F45" s="58">
        <f t="shared" si="9"/>
        <v>0</v>
      </c>
      <c r="G45" s="58">
        <f t="shared" si="9"/>
        <v>0</v>
      </c>
      <c r="H45" s="58">
        <f t="shared" si="9"/>
        <v>0</v>
      </c>
      <c r="I45" s="40">
        <f t="shared" si="9"/>
        <v>0</v>
      </c>
      <c r="J45" s="58">
        <f t="shared" si="9"/>
        <v>0</v>
      </c>
      <c r="K45" s="58">
        <f>K14+K43</f>
        <v>0</v>
      </c>
      <c r="L45" s="40">
        <f t="shared" si="9"/>
        <v>0</v>
      </c>
      <c r="M45" s="58">
        <f t="shared" si="9"/>
        <v>0</v>
      </c>
      <c r="N45" s="40">
        <f t="shared" si="9"/>
        <v>0</v>
      </c>
      <c r="O45" s="58">
        <f t="shared" si="9"/>
        <v>0</v>
      </c>
      <c r="P45" s="40">
        <f>P14+P43</f>
        <v>0</v>
      </c>
      <c r="Q45" s="154">
        <f t="shared" ref="Q45" si="10">B45+C45+D45+E45+F45+G45+H45+I45+J45+K45+L45+M45+N45+O45+P45</f>
        <v>-65230.079999999958</v>
      </c>
      <c r="R45" s="21">
        <f t="shared" si="6"/>
        <v>5.7335646117266936E-2</v>
      </c>
      <c r="T45" s="70">
        <f>SUM(B45:P45)</f>
        <v>-65230.079999999958</v>
      </c>
      <c r="V45" s="70">
        <f t="shared" si="1"/>
        <v>0</v>
      </c>
    </row>
    <row r="46" spans="1:22" ht="15" x14ac:dyDescent="0.2">
      <c r="A46" s="41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4"/>
      <c r="T46" s="70">
        <f t="shared" si="0"/>
        <v>0</v>
      </c>
      <c r="V46" s="70">
        <f t="shared" si="1"/>
        <v>0</v>
      </c>
    </row>
    <row r="47" spans="1:22" ht="15" x14ac:dyDescent="0.2">
      <c r="A47" s="29" t="s">
        <v>56</v>
      </c>
      <c r="B47" s="45">
        <f>-B12*12.46%</f>
        <v>0</v>
      </c>
      <c r="C47" s="45">
        <f t="shared" ref="C47:M47" si="11">-C12*13.15%</f>
        <v>-135835.48662000001</v>
      </c>
      <c r="D47" s="45">
        <f t="shared" si="11"/>
        <v>-13770.493270000001</v>
      </c>
      <c r="E47" s="45">
        <f t="shared" si="11"/>
        <v>0</v>
      </c>
      <c r="F47" s="45">
        <f t="shared" si="11"/>
        <v>0</v>
      </c>
      <c r="G47" s="45">
        <f t="shared" si="11"/>
        <v>0</v>
      </c>
      <c r="H47" s="45">
        <f t="shared" si="11"/>
        <v>0</v>
      </c>
      <c r="I47" s="45">
        <f t="shared" si="11"/>
        <v>0</v>
      </c>
      <c r="J47" s="45">
        <f t="shared" si="11"/>
        <v>0</v>
      </c>
      <c r="K47" s="45">
        <f t="shared" si="11"/>
        <v>0</v>
      </c>
      <c r="L47" s="45">
        <f t="shared" si="11"/>
        <v>0</v>
      </c>
      <c r="M47" s="45">
        <f t="shared" si="11"/>
        <v>0</v>
      </c>
      <c r="N47" s="45">
        <f>-N12*13.15%</f>
        <v>0</v>
      </c>
      <c r="O47" s="45">
        <f t="shared" ref="O47:P47" si="12">-O12*13.15%</f>
        <v>0</v>
      </c>
      <c r="P47" s="45">
        <f t="shared" si="12"/>
        <v>0</v>
      </c>
      <c r="Q47" s="20">
        <f t="shared" ref="Q47" si="13">B47+C47+D47+E47+F47+G47+H47+I47+J47+K47+L47+M47+N47+O47+P47</f>
        <v>-149605.97989000002</v>
      </c>
      <c r="R47" s="21">
        <f t="shared" si="6"/>
        <v>0.13150000000000001</v>
      </c>
      <c r="T47" s="70">
        <f>SUM(B47:P47)</f>
        <v>-149605.97989000002</v>
      </c>
      <c r="V47" s="70">
        <f t="shared" si="1"/>
        <v>0</v>
      </c>
    </row>
    <row r="48" spans="1:22" ht="15" x14ac:dyDescent="0.2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4"/>
      <c r="T48" s="70">
        <f t="shared" si="0"/>
        <v>0</v>
      </c>
      <c r="V48" s="70">
        <f t="shared" si="1"/>
        <v>0</v>
      </c>
    </row>
    <row r="49" spans="1:22" ht="15" x14ac:dyDescent="0.2">
      <c r="A49" s="29" t="s">
        <v>33</v>
      </c>
      <c r="B49" s="45">
        <f t="shared" ref="B49:P49" si="14">-B12*1.22%</f>
        <v>0</v>
      </c>
      <c r="C49" s="45">
        <f t="shared" si="14"/>
        <v>-12602.227655999999</v>
      </c>
      <c r="D49" s="45">
        <f t="shared" si="14"/>
        <v>-1277.5666759999999</v>
      </c>
      <c r="E49" s="45">
        <f t="shared" si="14"/>
        <v>0</v>
      </c>
      <c r="F49" s="45">
        <f t="shared" si="14"/>
        <v>0</v>
      </c>
      <c r="G49" s="45">
        <f t="shared" si="14"/>
        <v>0</v>
      </c>
      <c r="H49" s="45">
        <f t="shared" si="14"/>
        <v>0</v>
      </c>
      <c r="I49" s="45">
        <f t="shared" si="14"/>
        <v>0</v>
      </c>
      <c r="J49" s="45">
        <f t="shared" si="14"/>
        <v>0</v>
      </c>
      <c r="K49" s="45">
        <f t="shared" si="14"/>
        <v>0</v>
      </c>
      <c r="L49" s="45">
        <f t="shared" si="14"/>
        <v>0</v>
      </c>
      <c r="M49" s="45">
        <f t="shared" si="14"/>
        <v>0</v>
      </c>
      <c r="N49" s="45">
        <f t="shared" si="14"/>
        <v>0</v>
      </c>
      <c r="O49" s="45">
        <f t="shared" si="14"/>
        <v>0</v>
      </c>
      <c r="P49" s="45">
        <f t="shared" si="14"/>
        <v>0</v>
      </c>
      <c r="Q49" s="20">
        <f t="shared" ref="Q49" si="15">B49+C49+D49+E49+F49+G49+H49+I49+J49+K49+L49+M49+N49+O49+P49</f>
        <v>-13879.794331999999</v>
      </c>
      <c r="R49" s="21">
        <f t="shared" si="6"/>
        <v>1.2199999999999999E-2</v>
      </c>
      <c r="T49" s="70">
        <f>SUM(B49:P49)</f>
        <v>-13879.794331999999</v>
      </c>
      <c r="V49" s="70">
        <f t="shared" si="1"/>
        <v>0</v>
      </c>
    </row>
    <row r="50" spans="1:22" ht="14.25" x14ac:dyDescent="0.2">
      <c r="A50" s="43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4"/>
      <c r="T50" s="70">
        <f t="shared" si="0"/>
        <v>0</v>
      </c>
      <c r="V50" s="70">
        <f t="shared" si="1"/>
        <v>0</v>
      </c>
    </row>
    <row r="51" spans="1:22" ht="15" x14ac:dyDescent="0.2">
      <c r="A51" s="48" t="s">
        <v>57</v>
      </c>
      <c r="B51" s="49">
        <v>-6274.1</v>
      </c>
      <c r="C51" s="49">
        <f t="shared" ref="C51:P51" si="16">C43*5.56%</f>
        <v>-49135.413575999992</v>
      </c>
      <c r="D51" s="49">
        <f t="shared" si="16"/>
        <v>-11472.732515999998</v>
      </c>
      <c r="E51" s="49">
        <f t="shared" si="16"/>
        <v>0</v>
      </c>
      <c r="F51" s="49">
        <f t="shared" si="16"/>
        <v>0</v>
      </c>
      <c r="G51" s="49">
        <f t="shared" si="16"/>
        <v>0</v>
      </c>
      <c r="H51" s="49">
        <f t="shared" si="16"/>
        <v>0</v>
      </c>
      <c r="I51" s="49">
        <f t="shared" si="16"/>
        <v>0</v>
      </c>
      <c r="J51" s="49">
        <f t="shared" si="16"/>
        <v>0</v>
      </c>
      <c r="K51" s="49">
        <f t="shared" si="16"/>
        <v>0</v>
      </c>
      <c r="L51" s="49">
        <f t="shared" si="16"/>
        <v>0</v>
      </c>
      <c r="M51" s="49">
        <f t="shared" si="16"/>
        <v>0</v>
      </c>
      <c r="N51" s="49">
        <f t="shared" si="16"/>
        <v>0</v>
      </c>
      <c r="O51" s="49">
        <f t="shared" si="16"/>
        <v>0</v>
      </c>
      <c r="P51" s="49">
        <f t="shared" si="16"/>
        <v>0</v>
      </c>
      <c r="Q51" s="20">
        <f t="shared" ref="Q51" si="17">B51+C51+D51+E51+F51+G51+H51+I51+J51+K51+L51+M51+N51+O51+P51</f>
        <v>-66882.246091999987</v>
      </c>
      <c r="R51" s="21">
        <f t="shared" si="6"/>
        <v>5.8787859733712935E-2</v>
      </c>
      <c r="T51" s="70">
        <f>SUM(B51:P51)</f>
        <v>-66882.246091999987</v>
      </c>
      <c r="V51" s="70">
        <f t="shared" si="1"/>
        <v>0</v>
      </c>
    </row>
    <row r="52" spans="1:22" ht="14.25" x14ac:dyDescent="0.2">
      <c r="A52" s="43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4"/>
      <c r="T52" s="70">
        <f t="shared" si="0"/>
        <v>0</v>
      </c>
      <c r="V52" s="70">
        <f t="shared" si="1"/>
        <v>0</v>
      </c>
    </row>
    <row r="53" spans="1:22" ht="15" x14ac:dyDescent="0.2">
      <c r="A53" s="48" t="s">
        <v>58</v>
      </c>
      <c r="B53" s="49">
        <v>-11.28</v>
      </c>
      <c r="C53" s="49">
        <f>C43*0.01%</f>
        <v>-88.373046000000002</v>
      </c>
      <c r="D53" s="49">
        <f>D43*0.01%</f>
        <v>-20.634411</v>
      </c>
      <c r="E53" s="49">
        <f>E43*0.01%</f>
        <v>0</v>
      </c>
      <c r="F53" s="49">
        <f>F43*0.01%</f>
        <v>0</v>
      </c>
      <c r="G53" s="49">
        <f t="shared" ref="G53:M53" si="18">G43*0.01%</f>
        <v>0</v>
      </c>
      <c r="H53" s="49">
        <f t="shared" si="18"/>
        <v>0</v>
      </c>
      <c r="I53" s="49">
        <f t="shared" si="18"/>
        <v>0</v>
      </c>
      <c r="J53" s="49">
        <f t="shared" si="18"/>
        <v>0</v>
      </c>
      <c r="K53" s="49">
        <f t="shared" si="18"/>
        <v>0</v>
      </c>
      <c r="L53" s="49">
        <f t="shared" si="18"/>
        <v>0</v>
      </c>
      <c r="M53" s="49">
        <f t="shared" si="18"/>
        <v>0</v>
      </c>
      <c r="N53" s="49">
        <f>N43*0.01%</f>
        <v>0</v>
      </c>
      <c r="O53" s="49">
        <f t="shared" ref="O53:P53" si="19">O43*0.01%</f>
        <v>0</v>
      </c>
      <c r="P53" s="49">
        <f t="shared" si="19"/>
        <v>0</v>
      </c>
      <c r="Q53" s="20">
        <f t="shared" ref="Q53" si="20">B53+C53+D53+E53+F53+G53+H53+I53+J53+K53+L53+M53+N53+O53+P53</f>
        <v>-120.287457</v>
      </c>
      <c r="R53" s="21">
        <f t="shared" si="6"/>
        <v>1.0572973491521041E-4</v>
      </c>
      <c r="T53" s="70">
        <f>SUM(B53:P53)</f>
        <v>-120.287457</v>
      </c>
      <c r="V53" s="70">
        <f t="shared" si="1"/>
        <v>0</v>
      </c>
    </row>
    <row r="54" spans="1:22" ht="15" x14ac:dyDescent="0.2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6"/>
      <c r="R54" s="44"/>
      <c r="T54" s="70">
        <f t="shared" si="0"/>
        <v>0</v>
      </c>
      <c r="V54" s="70">
        <f t="shared" si="1"/>
        <v>0</v>
      </c>
    </row>
    <row r="55" spans="1:22" ht="15" x14ac:dyDescent="0.2">
      <c r="A55" s="39" t="s">
        <v>72</v>
      </c>
      <c r="B55" s="58">
        <f>B45+B51+B53+B47+B49</f>
        <v>-119128.95</v>
      </c>
      <c r="C55" s="58">
        <f>C45+C51+C53+C47+C49</f>
        <v>-48422.48089799998</v>
      </c>
      <c r="D55" s="58">
        <f t="shared" ref="D55" si="21">D45+D51+D53+D47+D49</f>
        <v>-128166.956873</v>
      </c>
      <c r="E55" s="58">
        <f>E45+E51+E53+E47+E49</f>
        <v>0</v>
      </c>
      <c r="F55" s="58">
        <f>F45+F51+F53+F47+F49</f>
        <v>0</v>
      </c>
      <c r="G55" s="58">
        <f>G45+G51+G53+G47+G49</f>
        <v>0</v>
      </c>
      <c r="H55" s="58">
        <f t="shared" ref="H55:P55" si="22">H45+H51+H53+H47+H49</f>
        <v>0</v>
      </c>
      <c r="I55" s="40">
        <f t="shared" si="22"/>
        <v>0</v>
      </c>
      <c r="J55" s="58">
        <f>J45+J51+J53+J47+J49</f>
        <v>0</v>
      </c>
      <c r="K55" s="58">
        <f t="shared" si="22"/>
        <v>0</v>
      </c>
      <c r="L55" s="40">
        <f t="shared" si="22"/>
        <v>0</v>
      </c>
      <c r="M55" s="58">
        <f t="shared" si="22"/>
        <v>0</v>
      </c>
      <c r="N55" s="40">
        <f t="shared" si="22"/>
        <v>0</v>
      </c>
      <c r="O55" s="58">
        <f t="shared" si="22"/>
        <v>0</v>
      </c>
      <c r="P55" s="40">
        <f t="shared" si="22"/>
        <v>0</v>
      </c>
      <c r="Q55" s="154">
        <f t="shared" ref="Q55" si="23">B55+C55+D55+E55+F55+G55+H55+I55+J55+K55+L55+M55+N55+O55+P55</f>
        <v>-295718.38777099998</v>
      </c>
      <c r="R55" s="21">
        <f t="shared" si="6"/>
        <v>0.25992923558589509</v>
      </c>
      <c r="T55" s="70">
        <f>SUM(B55:P55)</f>
        <v>-295718.38777099998</v>
      </c>
      <c r="V55" s="70">
        <f t="shared" si="1"/>
        <v>0</v>
      </c>
    </row>
    <row r="56" spans="1:22" x14ac:dyDescent="0.2">
      <c r="A56" s="5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50"/>
    </row>
    <row r="57" spans="1:22" x14ac:dyDescent="0.2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75"/>
      <c r="R57" s="50"/>
    </row>
    <row r="58" spans="1:22" ht="15" x14ac:dyDescent="0.2">
      <c r="A58" s="52" t="s">
        <v>35</v>
      </c>
      <c r="B58" s="13"/>
      <c r="C58" s="77"/>
      <c r="D58" s="77"/>
      <c r="E58" s="77"/>
      <c r="F58" s="77"/>
      <c r="G58" s="13">
        <v>8</v>
      </c>
      <c r="H58" s="13">
        <v>9</v>
      </c>
      <c r="I58" s="13">
        <v>7</v>
      </c>
      <c r="J58" s="13">
        <v>7</v>
      </c>
      <c r="K58" s="13">
        <v>1</v>
      </c>
      <c r="L58" s="13">
        <v>2</v>
      </c>
      <c r="M58" s="13">
        <v>1</v>
      </c>
      <c r="N58" s="13"/>
      <c r="O58" s="13"/>
      <c r="P58" s="13"/>
      <c r="Q58" s="53"/>
      <c r="R58" s="50"/>
    </row>
    <row r="60" spans="1:22" x14ac:dyDescent="0.2">
      <c r="A60" s="54" t="s">
        <v>36</v>
      </c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83" t="s">
        <v>233</v>
      </c>
      <c r="S60" s="83"/>
    </row>
    <row r="62" spans="1:22" x14ac:dyDescent="0.2">
      <c r="B62" s="70">
        <f>B14+B43+B47+B49+B51+B53</f>
        <v>-119128.95</v>
      </c>
      <c r="C62" s="70">
        <f t="shared" ref="C62:Q62" si="24">C14+C43+C47+C49+C51+C53</f>
        <v>-48422.480897999987</v>
      </c>
      <c r="D62" s="70">
        <f t="shared" si="24"/>
        <v>-128166.956873</v>
      </c>
      <c r="E62" s="70">
        <f t="shared" si="24"/>
        <v>0</v>
      </c>
      <c r="F62" s="70">
        <f t="shared" si="24"/>
        <v>0</v>
      </c>
      <c r="G62" s="70">
        <f t="shared" si="24"/>
        <v>0</v>
      </c>
      <c r="H62" s="70">
        <f t="shared" si="24"/>
        <v>0</v>
      </c>
      <c r="I62" s="70">
        <f t="shared" si="24"/>
        <v>0</v>
      </c>
      <c r="J62" s="70">
        <f t="shared" si="24"/>
        <v>0</v>
      </c>
      <c r="K62" s="70">
        <f t="shared" si="24"/>
        <v>0</v>
      </c>
      <c r="L62" s="70">
        <f t="shared" si="24"/>
        <v>0</v>
      </c>
      <c r="M62" s="70">
        <f t="shared" si="24"/>
        <v>0</v>
      </c>
      <c r="N62" s="70">
        <f t="shared" si="24"/>
        <v>0</v>
      </c>
      <c r="O62" s="70">
        <f t="shared" si="24"/>
        <v>0</v>
      </c>
      <c r="P62" s="70">
        <f t="shared" si="24"/>
        <v>0</v>
      </c>
      <c r="Q62" s="70">
        <f t="shared" si="24"/>
        <v>-295718.38777100004</v>
      </c>
    </row>
    <row r="64" spans="1:22" x14ac:dyDescent="0.2">
      <c r="B64" s="70">
        <f>B55-B62</f>
        <v>0</v>
      </c>
      <c r="C64" s="70">
        <f t="shared" ref="C64:Q64" si="25">C55-C62</f>
        <v>0</v>
      </c>
      <c r="D64" s="70">
        <f t="shared" si="25"/>
        <v>0</v>
      </c>
      <c r="E64" s="70">
        <f t="shared" si="25"/>
        <v>0</v>
      </c>
      <c r="F64" s="70">
        <f t="shared" si="25"/>
        <v>0</v>
      </c>
      <c r="G64" s="70">
        <f t="shared" si="25"/>
        <v>0</v>
      </c>
      <c r="H64" s="70">
        <f t="shared" si="25"/>
        <v>0</v>
      </c>
      <c r="I64" s="70">
        <f t="shared" si="25"/>
        <v>0</v>
      </c>
      <c r="J64" s="70">
        <f t="shared" si="25"/>
        <v>0</v>
      </c>
      <c r="K64" s="70">
        <f t="shared" si="25"/>
        <v>0</v>
      </c>
      <c r="L64" s="70">
        <f t="shared" si="25"/>
        <v>0</v>
      </c>
      <c r="M64" s="70">
        <f t="shared" si="25"/>
        <v>0</v>
      </c>
      <c r="N64" s="70">
        <f t="shared" si="25"/>
        <v>0</v>
      </c>
      <c r="O64" s="70">
        <f t="shared" si="25"/>
        <v>0</v>
      </c>
      <c r="P64" s="70">
        <f t="shared" si="25"/>
        <v>0</v>
      </c>
      <c r="Q64" s="70">
        <f t="shared" si="25"/>
        <v>0</v>
      </c>
    </row>
  </sheetData>
  <mergeCells count="4">
    <mergeCell ref="A1:R1"/>
    <mergeCell ref="A4:R4"/>
    <mergeCell ref="A6:R6"/>
    <mergeCell ref="A8:R8"/>
  </mergeCells>
  <conditionalFormatting sqref="H55">
    <cfRule type="cellIs" dxfId="187" priority="7" operator="lessThan">
      <formula>0</formula>
    </cfRule>
    <cfRule type="cellIs" dxfId="186" priority="8" operator="greaterThan">
      <formula>0</formula>
    </cfRule>
  </conditionalFormatting>
  <conditionalFormatting sqref="J55:K55">
    <cfRule type="cellIs" dxfId="185" priority="3" operator="lessThan">
      <formula>0</formula>
    </cfRule>
    <cfRule type="cellIs" dxfId="184" priority="4" operator="greaterThan">
      <formula>0</formula>
    </cfRule>
  </conditionalFormatting>
  <conditionalFormatting sqref="M55">
    <cfRule type="cellIs" dxfId="183" priority="1" operator="lessThan">
      <formula>0</formula>
    </cfRule>
    <cfRule type="cellIs" dxfId="182" priority="2" operator="greaterThan">
      <formula>0</formula>
    </cfRule>
  </conditionalFormatting>
  <printOptions horizontalCentered="1" verticalCentered="1"/>
  <pageMargins left="0" right="0" top="0.19685039370078741" bottom="0" header="0.19685039370078741" footer="0"/>
  <pageSetup paperSize="9" scale="66" orientation="landscape" r:id="rId1"/>
  <colBreaks count="1" manualBreakCount="1">
    <brk id="18" max="1048575" man="1"/>
  </colBreaks>
  <ignoredErrors>
    <ignoredError sqref="T56:T6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U65"/>
  <sheetViews>
    <sheetView zoomScaleNormal="100" workbookViewId="0">
      <pane xSplit="1" topLeftCell="B1" activePane="topRight" state="frozen"/>
      <selection pane="topRight" activeCell="A8" sqref="A8"/>
    </sheetView>
  </sheetViews>
  <sheetFormatPr defaultColWidth="9.140625" defaultRowHeight="12.75" x14ac:dyDescent="0.2"/>
  <cols>
    <col min="1" max="1" width="52.140625" style="10" customWidth="1"/>
    <col min="2" max="8" width="15.7109375" style="10" customWidth="1"/>
    <col min="9" max="13" width="15.7109375" style="10" hidden="1" customWidth="1"/>
    <col min="14" max="15" width="16.7109375" style="10" hidden="1" customWidth="1"/>
    <col min="16" max="16" width="16.140625" style="10" bestFit="1" customWidth="1"/>
    <col min="17" max="17" width="10.28515625" style="10" customWidth="1"/>
    <col min="18" max="18" width="9.140625" style="10"/>
    <col min="19" max="19" width="14.85546875" style="10" bestFit="1" customWidth="1"/>
    <col min="20" max="16384" width="9.140625" style="10"/>
  </cols>
  <sheetData>
    <row r="1" spans="1:21" ht="15.75" x14ac:dyDescent="0.25">
      <c r="A1" s="203" t="s">
        <v>71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</row>
    <row r="3" spans="1:21" ht="15.6" customHeight="1" x14ac:dyDescent="0.25">
      <c r="A3" s="209" t="s">
        <v>65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71"/>
      <c r="S3" s="71"/>
    </row>
    <row r="4" spans="1:21" ht="12.6" customHeight="1" x14ac:dyDescent="0.25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</row>
    <row r="5" spans="1:21" ht="15.6" customHeight="1" x14ac:dyDescent="0.25">
      <c r="A5" s="209" t="s">
        <v>74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71"/>
      <c r="S5" s="71"/>
      <c r="T5" s="71"/>
    </row>
    <row r="6" spans="1:21" ht="12.6" customHeight="1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</row>
    <row r="7" spans="1:21" ht="15.6" customHeight="1" x14ac:dyDescent="0.25">
      <c r="A7" s="209" t="s">
        <v>169</v>
      </c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71"/>
      <c r="S7" s="71"/>
      <c r="T7" s="71"/>
    </row>
    <row r="8" spans="1:21" ht="15" customHeight="1" x14ac:dyDescent="0.2"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</row>
    <row r="9" spans="1:21" ht="15" x14ac:dyDescent="0.2">
      <c r="A9" s="12"/>
      <c r="B9" s="60" t="s">
        <v>85</v>
      </c>
      <c r="C9" s="60" t="s">
        <v>130</v>
      </c>
      <c r="D9" s="60" t="s">
        <v>117</v>
      </c>
      <c r="E9" s="60" t="s">
        <v>118</v>
      </c>
      <c r="F9" s="60" t="s">
        <v>119</v>
      </c>
      <c r="G9" s="60" t="s">
        <v>120</v>
      </c>
      <c r="H9" s="60" t="s">
        <v>121</v>
      </c>
      <c r="I9" s="60" t="s">
        <v>123</v>
      </c>
      <c r="J9" s="60" t="s">
        <v>124</v>
      </c>
      <c r="K9" s="60" t="s">
        <v>125</v>
      </c>
      <c r="L9" s="60" t="s">
        <v>126</v>
      </c>
      <c r="M9" s="60" t="s">
        <v>127</v>
      </c>
      <c r="N9" s="60" t="s">
        <v>128</v>
      </c>
      <c r="O9" s="60" t="s">
        <v>129</v>
      </c>
      <c r="P9" s="13" t="s">
        <v>1</v>
      </c>
      <c r="Q9" s="14" t="s">
        <v>2</v>
      </c>
    </row>
    <row r="10" spans="1:21" ht="15" x14ac:dyDescent="0.2">
      <c r="A10" s="15" t="s">
        <v>3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  <c r="Q10" s="18"/>
    </row>
    <row r="11" spans="1:21" ht="15" x14ac:dyDescent="0.2">
      <c r="A11" s="15" t="s">
        <v>4</v>
      </c>
      <c r="B11" s="19">
        <v>233796.98</v>
      </c>
      <c r="C11" s="19">
        <f>687246.83-B11</f>
        <v>453449.85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B11+C11+D11+E11+F11+G11+H11+I11+J11+K11+L11+M11+N11+O11</f>
        <v>687246.83</v>
      </c>
      <c r="Q11" s="21">
        <v>1</v>
      </c>
      <c r="S11" s="70">
        <f>SUM(B11:H11)</f>
        <v>687246.83</v>
      </c>
      <c r="U11" s="70">
        <f>S11-P11</f>
        <v>0</v>
      </c>
    </row>
    <row r="12" spans="1:21" ht="15" x14ac:dyDescent="0.2">
      <c r="A12" s="15" t="s">
        <v>5</v>
      </c>
      <c r="B12" s="22">
        <v>0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B12+C12+D12+E12+F12+G12+H12+I12+J12+K12+L12+M12+N12+O12</f>
        <v>0</v>
      </c>
      <c r="Q12" s="21"/>
      <c r="S12" s="70">
        <f t="shared" ref="S12:S54" si="0">SUM(B12:H12)</f>
        <v>0</v>
      </c>
      <c r="U12" s="70">
        <f t="shared" ref="U12:U54" si="1">S12-P12</f>
        <v>0</v>
      </c>
    </row>
    <row r="13" spans="1:21" ht="15" x14ac:dyDescent="0.2">
      <c r="A13" s="23" t="s">
        <v>6</v>
      </c>
      <c r="B13" s="24">
        <f>B11+B12</f>
        <v>233796.98</v>
      </c>
      <c r="C13" s="24">
        <f>SUM(C11:C12)</f>
        <v>453449.85</v>
      </c>
      <c r="D13" s="67">
        <f>D11+D12</f>
        <v>0</v>
      </c>
      <c r="E13" s="67">
        <f t="shared" ref="E13" si="2">E11+E12</f>
        <v>0</v>
      </c>
      <c r="F13" s="69">
        <f t="shared" ref="F13:L13" si="3">F11</f>
        <v>0</v>
      </c>
      <c r="G13" s="69">
        <f t="shared" si="3"/>
        <v>0</v>
      </c>
      <c r="H13" s="69">
        <f t="shared" si="3"/>
        <v>0</v>
      </c>
      <c r="I13" s="69">
        <f t="shared" si="3"/>
        <v>0</v>
      </c>
      <c r="J13" s="69">
        <f t="shared" si="3"/>
        <v>0</v>
      </c>
      <c r="K13" s="69">
        <f t="shared" si="3"/>
        <v>0</v>
      </c>
      <c r="L13" s="69">
        <f t="shared" si="3"/>
        <v>0</v>
      </c>
      <c r="M13" s="69">
        <f>M11</f>
        <v>0</v>
      </c>
      <c r="N13" s="69">
        <f t="shared" ref="N13:O13" si="4">N11</f>
        <v>0</v>
      </c>
      <c r="O13" s="69">
        <f t="shared" si="4"/>
        <v>0</v>
      </c>
      <c r="P13" s="24">
        <f>SUM(P11:P12)</f>
        <v>687246.83</v>
      </c>
      <c r="Q13" s="21">
        <v>1</v>
      </c>
      <c r="S13" s="70">
        <f t="shared" si="0"/>
        <v>687246.83</v>
      </c>
      <c r="U13" s="70">
        <f t="shared" si="1"/>
        <v>0</v>
      </c>
    </row>
    <row r="14" spans="1:21" ht="15" x14ac:dyDescent="0.2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8"/>
      <c r="S14" s="70">
        <f t="shared" si="0"/>
        <v>0</v>
      </c>
      <c r="U14" s="70">
        <f t="shared" si="1"/>
        <v>0</v>
      </c>
    </row>
    <row r="15" spans="1:21" ht="15" x14ac:dyDescent="0.2">
      <c r="A15" s="29" t="s">
        <v>7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30"/>
      <c r="Q15" s="31"/>
      <c r="S15" s="70">
        <f t="shared" si="0"/>
        <v>0</v>
      </c>
      <c r="U15" s="70">
        <f t="shared" si="1"/>
        <v>0</v>
      </c>
    </row>
    <row r="16" spans="1:21" ht="15" x14ac:dyDescent="0.2">
      <c r="A16" s="15" t="s">
        <v>8</v>
      </c>
      <c r="B16" s="32">
        <v>-3481.54</v>
      </c>
      <c r="C16" s="32">
        <f>-35095.93-B16</f>
        <v>-31614.39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20">
        <f>B16+C16+D16+E16+F16+G16+H16+I16+J16+K16+L16+M16+N16+O16</f>
        <v>-35095.93</v>
      </c>
      <c r="Q16" s="21">
        <f>-P16/$P$11</f>
        <v>5.1067430896698358E-2</v>
      </c>
      <c r="S16" s="70">
        <f t="shared" si="0"/>
        <v>-35095.93</v>
      </c>
      <c r="U16" s="70">
        <f t="shared" si="1"/>
        <v>0</v>
      </c>
    </row>
    <row r="17" spans="1:21" ht="15" x14ac:dyDescent="0.2">
      <c r="A17" s="33" t="s">
        <v>9</v>
      </c>
      <c r="B17" s="32">
        <v>-176.92</v>
      </c>
      <c r="C17" s="32">
        <f>-176.92-B17</f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20">
        <f t="shared" ref="P17:P41" si="5">B17+C17+D17+E17+F17+G17+H17+I17+J17+K17+L17+M17+N17+O17</f>
        <v>-176.92</v>
      </c>
      <c r="Q17" s="21">
        <f t="shared" ref="Q17:Q52" si="6">-P17/$P$11</f>
        <v>2.5743298081127561E-4</v>
      </c>
      <c r="S17" s="70">
        <f t="shared" si="0"/>
        <v>-176.92</v>
      </c>
      <c r="U17" s="70">
        <f t="shared" si="1"/>
        <v>0</v>
      </c>
    </row>
    <row r="18" spans="1:21" ht="15" x14ac:dyDescent="0.2">
      <c r="A18" s="15" t="s">
        <v>10</v>
      </c>
      <c r="B18" s="32">
        <v>0</v>
      </c>
      <c r="C18" s="32">
        <f>0-B18</f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20">
        <f t="shared" si="5"/>
        <v>0</v>
      </c>
      <c r="Q18" s="21">
        <f t="shared" si="6"/>
        <v>0</v>
      </c>
      <c r="S18" s="70">
        <f t="shared" si="0"/>
        <v>0</v>
      </c>
      <c r="U18" s="70">
        <f t="shared" si="1"/>
        <v>0</v>
      </c>
    </row>
    <row r="19" spans="1:21" ht="15" x14ac:dyDescent="0.2">
      <c r="A19" s="33" t="s">
        <v>11</v>
      </c>
      <c r="B19" s="32">
        <v>-319.3</v>
      </c>
      <c r="C19" s="32">
        <f>-340.27-B19</f>
        <v>-20.96999999999997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20">
        <f t="shared" si="5"/>
        <v>-340.27</v>
      </c>
      <c r="Q19" s="21">
        <f t="shared" si="6"/>
        <v>4.9512050859514337E-4</v>
      </c>
      <c r="S19" s="70">
        <f t="shared" si="0"/>
        <v>-340.27</v>
      </c>
      <c r="U19" s="70">
        <f t="shared" si="1"/>
        <v>0</v>
      </c>
    </row>
    <row r="20" spans="1:21" ht="15" x14ac:dyDescent="0.2">
      <c r="A20" s="15" t="s">
        <v>12</v>
      </c>
      <c r="B20" s="32">
        <v>-3345</v>
      </c>
      <c r="C20" s="32">
        <f>-27438.66-B20</f>
        <v>-24093.66</v>
      </c>
      <c r="D20" s="32">
        <v>-312.12</v>
      </c>
      <c r="E20" s="32">
        <v>-312.12</v>
      </c>
      <c r="F20" s="32">
        <v>-312.12</v>
      </c>
      <c r="G20" s="32">
        <v>-312.12</v>
      </c>
      <c r="H20" s="32">
        <v>-326.25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20">
        <f t="shared" si="5"/>
        <v>-29013.389999999996</v>
      </c>
      <c r="Q20" s="21">
        <f t="shared" si="6"/>
        <v>4.2216840781935654E-2</v>
      </c>
      <c r="S20" s="70">
        <f t="shared" si="0"/>
        <v>-29013.389999999996</v>
      </c>
      <c r="U20" s="70">
        <f t="shared" si="1"/>
        <v>0</v>
      </c>
    </row>
    <row r="21" spans="1:21" ht="15" x14ac:dyDescent="0.2">
      <c r="A21" s="15" t="s">
        <v>13</v>
      </c>
      <c r="B21" s="32">
        <v>-1662.39</v>
      </c>
      <c r="C21" s="32">
        <f>-16909.44-B21</f>
        <v>-15247.05</v>
      </c>
      <c r="D21" s="32">
        <v>-192.4</v>
      </c>
      <c r="E21" s="32">
        <v>-192.4</v>
      </c>
      <c r="F21" s="32">
        <v>-192.4</v>
      </c>
      <c r="G21" s="32">
        <v>-192.4</v>
      </c>
      <c r="H21" s="32">
        <v>-201.11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20">
        <f t="shared" si="5"/>
        <v>-17880.150000000005</v>
      </c>
      <c r="Q21" s="21">
        <f t="shared" si="6"/>
        <v>2.6017071624761086E-2</v>
      </c>
      <c r="S21" s="70">
        <f t="shared" si="0"/>
        <v>-17880.150000000005</v>
      </c>
      <c r="U21" s="70">
        <f t="shared" si="1"/>
        <v>0</v>
      </c>
    </row>
    <row r="22" spans="1:21" ht="15" x14ac:dyDescent="0.2">
      <c r="A22" s="15" t="s">
        <v>14</v>
      </c>
      <c r="B22" s="32">
        <v>-850.72</v>
      </c>
      <c r="C22" s="32">
        <f>-7772.22-B22</f>
        <v>-6921.5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20">
        <f t="shared" si="5"/>
        <v>-7772.22</v>
      </c>
      <c r="Q22" s="21">
        <f t="shared" si="6"/>
        <v>1.1309211859151101E-2</v>
      </c>
      <c r="S22" s="70">
        <f t="shared" si="0"/>
        <v>-7772.22</v>
      </c>
      <c r="U22" s="70">
        <f t="shared" si="1"/>
        <v>0</v>
      </c>
    </row>
    <row r="23" spans="1:21" ht="15" x14ac:dyDescent="0.2">
      <c r="A23" s="15" t="s">
        <v>15</v>
      </c>
      <c r="B23" s="32">
        <v>0</v>
      </c>
      <c r="C23" s="32">
        <f>5252.36-B23</f>
        <v>5252.36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20">
        <f t="shared" si="5"/>
        <v>5252.36</v>
      </c>
      <c r="Q23" s="21">
        <f>P23/$P$11</f>
        <v>7.6426107341957478E-3</v>
      </c>
      <c r="S23" s="70">
        <f t="shared" si="0"/>
        <v>5252.36</v>
      </c>
      <c r="U23" s="70">
        <f t="shared" si="1"/>
        <v>0</v>
      </c>
    </row>
    <row r="24" spans="1:21" ht="15" x14ac:dyDescent="0.2">
      <c r="A24" s="15" t="s">
        <v>16</v>
      </c>
      <c r="B24" s="32">
        <v>1313.9</v>
      </c>
      <c r="C24" s="32">
        <f>1313.9-B24</f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20">
        <f t="shared" si="5"/>
        <v>1313.9</v>
      </c>
      <c r="Q24" s="21">
        <f>P24/$P$11</f>
        <v>1.9118312993891876E-3</v>
      </c>
      <c r="S24" s="70">
        <f t="shared" si="0"/>
        <v>1313.9</v>
      </c>
      <c r="U24" s="70">
        <f t="shared" si="1"/>
        <v>0</v>
      </c>
    </row>
    <row r="25" spans="1:21" ht="15" x14ac:dyDescent="0.2">
      <c r="A25" s="15" t="s">
        <v>17</v>
      </c>
      <c r="B25" s="32">
        <v>-2008.73</v>
      </c>
      <c r="C25" s="32">
        <f>-17755.96-B25</f>
        <v>-15747.23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20">
        <f t="shared" si="5"/>
        <v>-17755.96</v>
      </c>
      <c r="Q25" s="21">
        <f t="shared" si="6"/>
        <v>2.583636508006883E-2</v>
      </c>
      <c r="S25" s="70">
        <f t="shared" si="0"/>
        <v>-17755.96</v>
      </c>
      <c r="U25" s="70">
        <f t="shared" si="1"/>
        <v>0</v>
      </c>
    </row>
    <row r="26" spans="1:21" ht="15" x14ac:dyDescent="0.2">
      <c r="A26" s="15" t="s">
        <v>18</v>
      </c>
      <c r="B26" s="32">
        <v>0</v>
      </c>
      <c r="C26" s="32">
        <f>0-B26</f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20">
        <f t="shared" si="5"/>
        <v>0</v>
      </c>
      <c r="Q26" s="21">
        <f t="shared" si="6"/>
        <v>0</v>
      </c>
      <c r="S26" s="70">
        <f t="shared" si="0"/>
        <v>0</v>
      </c>
      <c r="U26" s="70">
        <f t="shared" si="1"/>
        <v>0</v>
      </c>
    </row>
    <row r="27" spans="1:21" ht="15" x14ac:dyDescent="0.2">
      <c r="A27" s="15" t="s">
        <v>19</v>
      </c>
      <c r="B27" s="32">
        <v>-11.87</v>
      </c>
      <c r="C27" s="32">
        <f>-11.87-B27</f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20">
        <f t="shared" si="5"/>
        <v>-11.87</v>
      </c>
      <c r="Q27" s="21">
        <f t="shared" si="6"/>
        <v>1.7271814844165959E-5</v>
      </c>
      <c r="S27" s="70">
        <f t="shared" si="0"/>
        <v>-11.87</v>
      </c>
      <c r="U27" s="70">
        <f t="shared" si="1"/>
        <v>0</v>
      </c>
    </row>
    <row r="28" spans="1:21" ht="15" x14ac:dyDescent="0.2">
      <c r="A28" s="15" t="s">
        <v>20</v>
      </c>
      <c r="B28" s="32">
        <v>0</v>
      </c>
      <c r="C28" s="32">
        <f>0-B28</f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20">
        <f t="shared" si="5"/>
        <v>0</v>
      </c>
      <c r="Q28" s="21">
        <f t="shared" si="6"/>
        <v>0</v>
      </c>
      <c r="S28" s="70">
        <f t="shared" si="0"/>
        <v>0</v>
      </c>
      <c r="U28" s="70">
        <f t="shared" si="1"/>
        <v>0</v>
      </c>
    </row>
    <row r="29" spans="1:21" ht="15" x14ac:dyDescent="0.2">
      <c r="A29" s="15" t="s">
        <v>59</v>
      </c>
      <c r="B29" s="32">
        <v>0</v>
      </c>
      <c r="C29" s="32">
        <f>0-B29</f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20">
        <f t="shared" si="5"/>
        <v>0</v>
      </c>
      <c r="Q29" s="21">
        <f t="shared" si="6"/>
        <v>0</v>
      </c>
      <c r="S29" s="70">
        <f t="shared" si="0"/>
        <v>0</v>
      </c>
      <c r="U29" s="70">
        <f t="shared" si="1"/>
        <v>0</v>
      </c>
    </row>
    <row r="30" spans="1:21" ht="15" x14ac:dyDescent="0.2">
      <c r="A30" s="15" t="s">
        <v>21</v>
      </c>
      <c r="B30" s="32">
        <v>-547.35</v>
      </c>
      <c r="C30" s="32">
        <f>-2067.01-B30</f>
        <v>-1519.6600000000003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20">
        <f t="shared" si="5"/>
        <v>-2067.0100000000002</v>
      </c>
      <c r="Q30" s="21">
        <f t="shared" si="6"/>
        <v>3.0076675653782211E-3</v>
      </c>
      <c r="S30" s="70">
        <f t="shared" si="0"/>
        <v>-2067.0100000000002</v>
      </c>
      <c r="U30" s="70">
        <f t="shared" si="1"/>
        <v>0</v>
      </c>
    </row>
    <row r="31" spans="1:21" ht="15" x14ac:dyDescent="0.2">
      <c r="A31" s="15" t="s">
        <v>22</v>
      </c>
      <c r="B31" s="32">
        <v>0</v>
      </c>
      <c r="C31" s="32">
        <f>0-B31</f>
        <v>0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20">
        <f t="shared" si="5"/>
        <v>0</v>
      </c>
      <c r="Q31" s="21">
        <f t="shared" si="6"/>
        <v>0</v>
      </c>
      <c r="S31" s="70">
        <f t="shared" si="0"/>
        <v>0</v>
      </c>
      <c r="U31" s="70">
        <f t="shared" si="1"/>
        <v>0</v>
      </c>
    </row>
    <row r="32" spans="1:21" ht="15" x14ac:dyDescent="0.2">
      <c r="A32" s="33" t="s">
        <v>23</v>
      </c>
      <c r="B32" s="32">
        <v>0</v>
      </c>
      <c r="C32" s="32">
        <f>-172.08-B32</f>
        <v>-172.08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20">
        <f t="shared" si="5"/>
        <v>-172.08</v>
      </c>
      <c r="Q32" s="21">
        <f t="shared" si="6"/>
        <v>2.5039038739545737E-4</v>
      </c>
      <c r="S32" s="70">
        <f t="shared" si="0"/>
        <v>-172.08</v>
      </c>
      <c r="U32" s="70">
        <f t="shared" si="1"/>
        <v>0</v>
      </c>
    </row>
    <row r="33" spans="1:21" ht="15" x14ac:dyDescent="0.2">
      <c r="A33" s="15" t="s">
        <v>24</v>
      </c>
      <c r="B33" s="32">
        <v>-9281</v>
      </c>
      <c r="C33" s="32">
        <f>-89210-B33</f>
        <v>-79929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20">
        <f t="shared" si="5"/>
        <v>-89210</v>
      </c>
      <c r="Q33" s="21">
        <f t="shared" si="6"/>
        <v>0.1298078013688328</v>
      </c>
      <c r="S33" s="70">
        <f t="shared" si="0"/>
        <v>-89210</v>
      </c>
      <c r="U33" s="70">
        <f t="shared" si="1"/>
        <v>0</v>
      </c>
    </row>
    <row r="34" spans="1:21" ht="15" x14ac:dyDescent="0.2">
      <c r="A34" s="34" t="s">
        <v>25</v>
      </c>
      <c r="B34" s="32">
        <v>-19744.89</v>
      </c>
      <c r="C34" s="32">
        <f>-180672-B34</f>
        <v>-160927.10999999999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20">
        <f t="shared" si="5"/>
        <v>-180672</v>
      </c>
      <c r="Q34" s="21">
        <f t="shared" si="6"/>
        <v>0.26289244578981907</v>
      </c>
      <c r="S34" s="70">
        <f t="shared" si="0"/>
        <v>-180672</v>
      </c>
      <c r="U34" s="70">
        <f t="shared" si="1"/>
        <v>0</v>
      </c>
    </row>
    <row r="35" spans="1:21" ht="15" x14ac:dyDescent="0.2">
      <c r="A35" s="15" t="s">
        <v>26</v>
      </c>
      <c r="B35" s="32">
        <v>0</v>
      </c>
      <c r="C35" s="32">
        <f>-72.72-B35</f>
        <v>-72.72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20">
        <f t="shared" si="5"/>
        <v>-72.72</v>
      </c>
      <c r="Q35" s="21">
        <f t="shared" si="6"/>
        <v>1.0581351099138573E-4</v>
      </c>
      <c r="S35" s="70">
        <f t="shared" si="0"/>
        <v>-72.72</v>
      </c>
      <c r="U35" s="70">
        <f t="shared" si="1"/>
        <v>0</v>
      </c>
    </row>
    <row r="36" spans="1:21" ht="15" x14ac:dyDescent="0.2">
      <c r="A36" s="15" t="s">
        <v>27</v>
      </c>
      <c r="B36" s="32">
        <v>0</v>
      </c>
      <c r="C36" s="32">
        <f>0-B36</f>
        <v>0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20">
        <f t="shared" si="5"/>
        <v>0</v>
      </c>
      <c r="Q36" s="21">
        <f t="shared" si="6"/>
        <v>0</v>
      </c>
      <c r="S36" s="70">
        <f t="shared" si="0"/>
        <v>0</v>
      </c>
      <c r="U36" s="70">
        <f t="shared" si="1"/>
        <v>0</v>
      </c>
    </row>
    <row r="37" spans="1:21" ht="15" x14ac:dyDescent="0.2">
      <c r="A37" s="33" t="s">
        <v>28</v>
      </c>
      <c r="B37" s="32">
        <v>-728.46</v>
      </c>
      <c r="C37" s="32">
        <f>-3306-B37</f>
        <v>-2577.54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20">
        <f t="shared" si="5"/>
        <v>-3306</v>
      </c>
      <c r="Q37" s="21">
        <f t="shared" si="6"/>
        <v>4.8104987257634934E-3</v>
      </c>
      <c r="S37" s="70">
        <f t="shared" si="0"/>
        <v>-3306</v>
      </c>
      <c r="U37" s="70">
        <f t="shared" si="1"/>
        <v>0</v>
      </c>
    </row>
    <row r="38" spans="1:21" ht="15" x14ac:dyDescent="0.2">
      <c r="A38" s="15" t="s">
        <v>29</v>
      </c>
      <c r="B38" s="32">
        <v>-1345.92</v>
      </c>
      <c r="C38" s="32">
        <f>-16865.8-B38</f>
        <v>-15519.88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20">
        <f t="shared" si="5"/>
        <v>-16865.8</v>
      </c>
      <c r="Q38" s="21">
        <f t="shared" si="6"/>
        <v>2.4541109924071967E-2</v>
      </c>
      <c r="S38" s="70">
        <f t="shared" si="0"/>
        <v>-16865.8</v>
      </c>
      <c r="U38" s="70">
        <f t="shared" si="1"/>
        <v>0</v>
      </c>
    </row>
    <row r="39" spans="1:21" ht="15" x14ac:dyDescent="0.2">
      <c r="A39" s="15" t="s">
        <v>30</v>
      </c>
      <c r="B39" s="32">
        <v>-2450.27</v>
      </c>
      <c r="C39" s="32">
        <f>-20573.66-B39</f>
        <v>-18123.39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20">
        <f t="shared" si="5"/>
        <v>-20573.66</v>
      </c>
      <c r="Q39" s="21">
        <f t="shared" si="6"/>
        <v>2.9936347614728177E-2</v>
      </c>
      <c r="S39" s="70">
        <f t="shared" si="0"/>
        <v>-20573.66</v>
      </c>
      <c r="U39" s="70">
        <f t="shared" si="1"/>
        <v>0</v>
      </c>
    </row>
    <row r="40" spans="1:21" ht="15" x14ac:dyDescent="0.2">
      <c r="A40" s="15" t="s">
        <v>97</v>
      </c>
      <c r="B40" s="32">
        <v>0</v>
      </c>
      <c r="C40" s="32">
        <f>0-B40</f>
        <v>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20">
        <f t="shared" si="5"/>
        <v>0</v>
      </c>
      <c r="Q40" s="21">
        <f t="shared" si="6"/>
        <v>0</v>
      </c>
      <c r="S40" s="70">
        <f t="shared" si="0"/>
        <v>0</v>
      </c>
      <c r="U40" s="70">
        <f t="shared" si="1"/>
        <v>0</v>
      </c>
    </row>
    <row r="41" spans="1:21" ht="15" x14ac:dyDescent="0.2">
      <c r="A41" s="15" t="s">
        <v>114</v>
      </c>
      <c r="B41" s="32">
        <v>0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20">
        <f t="shared" si="5"/>
        <v>0</v>
      </c>
      <c r="Q41" s="21">
        <f t="shared" si="6"/>
        <v>0</v>
      </c>
      <c r="S41" s="70">
        <f t="shared" si="0"/>
        <v>0</v>
      </c>
      <c r="U41" s="70">
        <f t="shared" si="1"/>
        <v>0</v>
      </c>
    </row>
    <row r="42" spans="1:21" ht="15" x14ac:dyDescent="0.2">
      <c r="A42" s="35" t="s">
        <v>31</v>
      </c>
      <c r="B42" s="36">
        <f>SUM(B16:B41)</f>
        <v>-44640.459999999992</v>
      </c>
      <c r="C42" s="36">
        <f t="shared" ref="C42:O42" si="7">SUM(C16:C41)</f>
        <v>-367233.81999999995</v>
      </c>
      <c r="D42" s="36">
        <f t="shared" si="7"/>
        <v>-504.52</v>
      </c>
      <c r="E42" s="36">
        <f t="shared" si="7"/>
        <v>-504.52</v>
      </c>
      <c r="F42" s="36">
        <f t="shared" si="7"/>
        <v>-504.52</v>
      </c>
      <c r="G42" s="36">
        <f t="shared" si="7"/>
        <v>-504.52</v>
      </c>
      <c r="H42" s="36">
        <f t="shared" si="7"/>
        <v>-527.36</v>
      </c>
      <c r="I42" s="36">
        <f t="shared" si="7"/>
        <v>0</v>
      </c>
      <c r="J42" s="36">
        <f t="shared" si="7"/>
        <v>0</v>
      </c>
      <c r="K42" s="36">
        <f t="shared" si="7"/>
        <v>0</v>
      </c>
      <c r="L42" s="36">
        <f t="shared" si="7"/>
        <v>0</v>
      </c>
      <c r="M42" s="36">
        <f t="shared" si="7"/>
        <v>0</v>
      </c>
      <c r="N42" s="36">
        <f t="shared" si="7"/>
        <v>0</v>
      </c>
      <c r="O42" s="36">
        <f t="shared" si="7"/>
        <v>0</v>
      </c>
      <c r="P42" s="36">
        <f>SUM(P16:P41)</f>
        <v>-414419.72</v>
      </c>
      <c r="Q42" s="21">
        <f t="shared" si="6"/>
        <v>0.60301437840026118</v>
      </c>
      <c r="S42" s="70">
        <f t="shared" si="0"/>
        <v>-414419.72</v>
      </c>
      <c r="U42" s="70">
        <f t="shared" si="1"/>
        <v>0</v>
      </c>
    </row>
    <row r="43" spans="1:21" ht="15" x14ac:dyDescent="0.2">
      <c r="A43" s="37"/>
      <c r="B43" s="38"/>
      <c r="C43" s="38"/>
      <c r="D43" s="38"/>
      <c r="E43" s="38"/>
      <c r="F43" s="38"/>
      <c r="G43" s="38"/>
      <c r="H43" s="38"/>
      <c r="I43" s="38">
        <f t="shared" ref="I43:O43" si="8">SUM(I16:I41)</f>
        <v>0</v>
      </c>
      <c r="J43" s="38">
        <f t="shared" si="8"/>
        <v>0</v>
      </c>
      <c r="K43" s="38">
        <f t="shared" si="8"/>
        <v>0</v>
      </c>
      <c r="L43" s="38">
        <f t="shared" si="8"/>
        <v>0</v>
      </c>
      <c r="M43" s="38">
        <f t="shared" si="8"/>
        <v>0</v>
      </c>
      <c r="N43" s="38">
        <f t="shared" si="8"/>
        <v>0</v>
      </c>
      <c r="O43" s="38">
        <f t="shared" si="8"/>
        <v>0</v>
      </c>
      <c r="P43" s="38"/>
      <c r="Q43" s="18"/>
      <c r="S43" s="70">
        <f t="shared" si="0"/>
        <v>0</v>
      </c>
      <c r="U43" s="70">
        <f t="shared" si="1"/>
        <v>0</v>
      </c>
    </row>
    <row r="44" spans="1:21" ht="15" x14ac:dyDescent="0.2">
      <c r="A44" s="39" t="s">
        <v>32</v>
      </c>
      <c r="B44" s="40">
        <f t="shared" ref="B44:O44" si="9">B13+B42</f>
        <v>189156.52000000002</v>
      </c>
      <c r="C44" s="40">
        <f t="shared" si="9"/>
        <v>86216.030000000028</v>
      </c>
      <c r="D44" s="58">
        <f t="shared" si="9"/>
        <v>-504.52</v>
      </c>
      <c r="E44" s="58">
        <f t="shared" si="9"/>
        <v>-504.52</v>
      </c>
      <c r="F44" s="58">
        <f t="shared" si="9"/>
        <v>-504.52</v>
      </c>
      <c r="G44" s="58">
        <f t="shared" si="9"/>
        <v>-504.52</v>
      </c>
      <c r="H44" s="58">
        <f t="shared" si="9"/>
        <v>-527.36</v>
      </c>
      <c r="I44" s="40">
        <f t="shared" si="9"/>
        <v>0</v>
      </c>
      <c r="J44" s="58">
        <f t="shared" si="9"/>
        <v>0</v>
      </c>
      <c r="K44" s="58">
        <f t="shared" si="9"/>
        <v>0</v>
      </c>
      <c r="L44" s="58">
        <f t="shared" si="9"/>
        <v>0</v>
      </c>
      <c r="M44" s="58">
        <f t="shared" si="9"/>
        <v>0</v>
      </c>
      <c r="N44" s="58">
        <f t="shared" si="9"/>
        <v>0</v>
      </c>
      <c r="O44" s="40">
        <f t="shared" si="9"/>
        <v>0</v>
      </c>
      <c r="P44" s="40">
        <f>B44+C44+D44+E44+F44+G44+H44+I44+J44+K44+L44+M44+N44+O44</f>
        <v>272827.11</v>
      </c>
      <c r="Q44" s="21">
        <f>P44/$P$11</f>
        <v>0.39698562159973877</v>
      </c>
      <c r="S44" s="70">
        <f t="shared" si="0"/>
        <v>272827.11</v>
      </c>
      <c r="U44" s="70">
        <f t="shared" si="1"/>
        <v>0</v>
      </c>
    </row>
    <row r="45" spans="1:21" ht="15" x14ac:dyDescent="0.2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4"/>
      <c r="S45" s="70">
        <f t="shared" si="0"/>
        <v>0</v>
      </c>
      <c r="U45" s="70">
        <f t="shared" si="1"/>
        <v>0</v>
      </c>
    </row>
    <row r="46" spans="1:21" ht="15" x14ac:dyDescent="0.2">
      <c r="A46" s="29" t="s">
        <v>56</v>
      </c>
      <c r="B46" s="45">
        <v>-30744.3</v>
      </c>
      <c r="C46" s="45">
        <f t="shared" ref="C46:L46" si="10">-C11*13.15%</f>
        <v>-59628.655274999997</v>
      </c>
      <c r="D46" s="45">
        <f t="shared" si="10"/>
        <v>0</v>
      </c>
      <c r="E46" s="45">
        <f t="shared" si="10"/>
        <v>0</v>
      </c>
      <c r="F46" s="45">
        <f t="shared" si="10"/>
        <v>0</v>
      </c>
      <c r="G46" s="45">
        <f t="shared" si="10"/>
        <v>0</v>
      </c>
      <c r="H46" s="45">
        <f t="shared" si="10"/>
        <v>0</v>
      </c>
      <c r="I46" s="45">
        <f t="shared" si="10"/>
        <v>0</v>
      </c>
      <c r="J46" s="45">
        <f t="shared" si="10"/>
        <v>0</v>
      </c>
      <c r="K46" s="45">
        <f t="shared" si="10"/>
        <v>0</v>
      </c>
      <c r="L46" s="45">
        <f t="shared" si="10"/>
        <v>0</v>
      </c>
      <c r="M46" s="45">
        <f>-M11*13.15%</f>
        <v>0</v>
      </c>
      <c r="N46" s="45">
        <f t="shared" ref="N46:O46" si="11">-N11*13.15%</f>
        <v>0</v>
      </c>
      <c r="O46" s="45">
        <f t="shared" si="11"/>
        <v>0</v>
      </c>
      <c r="P46" s="49">
        <f>B46+C46+D46+E46+F46+G46+H46+I46+J46+K46+L46+M46+N46+O46</f>
        <v>-90372.955275</v>
      </c>
      <c r="Q46" s="21">
        <f t="shared" si="6"/>
        <v>0.13149999582391672</v>
      </c>
      <c r="S46" s="70">
        <f t="shared" si="0"/>
        <v>-90372.955275</v>
      </c>
      <c r="U46" s="70">
        <f t="shared" si="1"/>
        <v>0</v>
      </c>
    </row>
    <row r="47" spans="1:21" ht="15" x14ac:dyDescent="0.2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6"/>
      <c r="Q47" s="44"/>
      <c r="S47" s="70">
        <f t="shared" si="0"/>
        <v>0</v>
      </c>
      <c r="U47" s="70">
        <f t="shared" si="1"/>
        <v>0</v>
      </c>
    </row>
    <row r="48" spans="1:21" ht="15" x14ac:dyDescent="0.2">
      <c r="A48" s="29" t="s">
        <v>33</v>
      </c>
      <c r="B48" s="45">
        <f>-B11*1.22%</f>
        <v>-2852.3231559999999</v>
      </c>
      <c r="C48" s="45">
        <f t="shared" ref="C48:O48" si="12">-C11*1.22%</f>
        <v>-5532.0881699999991</v>
      </c>
      <c r="D48" s="45">
        <f t="shared" si="12"/>
        <v>0</v>
      </c>
      <c r="E48" s="45">
        <f t="shared" si="12"/>
        <v>0</v>
      </c>
      <c r="F48" s="45">
        <f t="shared" si="12"/>
        <v>0</v>
      </c>
      <c r="G48" s="45">
        <f t="shared" si="12"/>
        <v>0</v>
      </c>
      <c r="H48" s="45">
        <f t="shared" si="12"/>
        <v>0</v>
      </c>
      <c r="I48" s="45">
        <f t="shared" si="12"/>
        <v>0</v>
      </c>
      <c r="J48" s="45">
        <f t="shared" si="12"/>
        <v>0</v>
      </c>
      <c r="K48" s="45">
        <f t="shared" si="12"/>
        <v>0</v>
      </c>
      <c r="L48" s="45">
        <f t="shared" si="12"/>
        <v>0</v>
      </c>
      <c r="M48" s="45">
        <f t="shared" si="12"/>
        <v>0</v>
      </c>
      <c r="N48" s="45">
        <f t="shared" si="12"/>
        <v>0</v>
      </c>
      <c r="O48" s="45">
        <f t="shared" si="12"/>
        <v>0</v>
      </c>
      <c r="P48" s="49">
        <f>B48+C48+D48+E48+F48+G48+H48+I48+J48+K48+L48+M48+N48+O48</f>
        <v>-8384.4113259999995</v>
      </c>
      <c r="Q48" s="21">
        <f t="shared" si="6"/>
        <v>1.2200000000000001E-2</v>
      </c>
      <c r="S48" s="70">
        <f t="shared" si="0"/>
        <v>-8384.4113259999995</v>
      </c>
      <c r="U48" s="70">
        <f t="shared" si="1"/>
        <v>0</v>
      </c>
    </row>
    <row r="49" spans="1:21" ht="15" x14ac:dyDescent="0.2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6"/>
      <c r="Q49" s="44"/>
      <c r="S49" s="70">
        <f t="shared" si="0"/>
        <v>0</v>
      </c>
      <c r="U49" s="70">
        <f t="shared" si="1"/>
        <v>0</v>
      </c>
    </row>
    <row r="50" spans="1:21" ht="15" x14ac:dyDescent="0.2">
      <c r="A50" s="48" t="s">
        <v>57</v>
      </c>
      <c r="B50" s="49">
        <f t="shared" ref="B50:O50" si="13">B42*5.56%</f>
        <v>-2482.0095759999995</v>
      </c>
      <c r="C50" s="49">
        <f t="shared" si="13"/>
        <v>-20418.200391999995</v>
      </c>
      <c r="D50" s="49">
        <f t="shared" si="13"/>
        <v>-28.051311999999996</v>
      </c>
      <c r="E50" s="49">
        <f t="shared" si="13"/>
        <v>-28.051311999999996</v>
      </c>
      <c r="F50" s="49">
        <f t="shared" si="13"/>
        <v>-28.051311999999996</v>
      </c>
      <c r="G50" s="49">
        <f t="shared" si="13"/>
        <v>-28.051311999999996</v>
      </c>
      <c r="H50" s="49">
        <f t="shared" si="13"/>
        <v>-29.321216</v>
      </c>
      <c r="I50" s="49">
        <f t="shared" si="13"/>
        <v>0</v>
      </c>
      <c r="J50" s="49">
        <f t="shared" si="13"/>
        <v>0</v>
      </c>
      <c r="K50" s="49">
        <f t="shared" si="13"/>
        <v>0</v>
      </c>
      <c r="L50" s="49">
        <f t="shared" si="13"/>
        <v>0</v>
      </c>
      <c r="M50" s="49">
        <f t="shared" si="13"/>
        <v>0</v>
      </c>
      <c r="N50" s="49">
        <f t="shared" si="13"/>
        <v>0</v>
      </c>
      <c r="O50" s="49">
        <f t="shared" si="13"/>
        <v>0</v>
      </c>
      <c r="P50" s="49">
        <f>B50+C50+D50+E50+F50+G50+H50+I50+J50+K50+L50+M50+N50+O50</f>
        <v>-23041.736431999994</v>
      </c>
      <c r="Q50" s="21">
        <f t="shared" si="6"/>
        <v>3.352759943905452E-2</v>
      </c>
      <c r="S50" s="70">
        <f t="shared" si="0"/>
        <v>-23041.736431999994</v>
      </c>
      <c r="U50" s="70">
        <f t="shared" si="1"/>
        <v>0</v>
      </c>
    </row>
    <row r="51" spans="1:21" ht="15" x14ac:dyDescent="0.2">
      <c r="A51" s="43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6"/>
      <c r="Q51" s="44"/>
      <c r="S51" s="70">
        <f t="shared" si="0"/>
        <v>0</v>
      </c>
      <c r="U51" s="70">
        <f t="shared" si="1"/>
        <v>0</v>
      </c>
    </row>
    <row r="52" spans="1:21" ht="15" x14ac:dyDescent="0.2">
      <c r="A52" s="48" t="s">
        <v>58</v>
      </c>
      <c r="B52" s="49">
        <v>-4.46</v>
      </c>
      <c r="C52" s="49">
        <f>C42*0.01%</f>
        <v>-36.723381999999994</v>
      </c>
      <c r="D52" s="49">
        <f>D42*0.01%</f>
        <v>-5.0452000000000004E-2</v>
      </c>
      <c r="E52" s="49">
        <f>E42*0.01%</f>
        <v>-5.0452000000000004E-2</v>
      </c>
      <c r="F52" s="49">
        <f t="shared" ref="F52:L52" si="14">F42*0.01%</f>
        <v>-5.0452000000000004E-2</v>
      </c>
      <c r="G52" s="49">
        <f t="shared" si="14"/>
        <v>-5.0452000000000004E-2</v>
      </c>
      <c r="H52" s="49">
        <f t="shared" si="14"/>
        <v>-5.2736000000000005E-2</v>
      </c>
      <c r="I52" s="49">
        <f t="shared" si="14"/>
        <v>0</v>
      </c>
      <c r="J52" s="49">
        <f t="shared" si="14"/>
        <v>0</v>
      </c>
      <c r="K52" s="49">
        <f t="shared" si="14"/>
        <v>0</v>
      </c>
      <c r="L52" s="49">
        <f t="shared" si="14"/>
        <v>0</v>
      </c>
      <c r="M52" s="49">
        <f>M42*0.01%</f>
        <v>0</v>
      </c>
      <c r="N52" s="49">
        <f t="shared" ref="N52:O52" si="15">N42*0.01%</f>
        <v>0</v>
      </c>
      <c r="O52" s="49">
        <f t="shared" si="15"/>
        <v>0</v>
      </c>
      <c r="P52" s="49">
        <f>B52+C52+D52+E52+F52+G52+H52+I52+J52+K52+L52+M52+N52+O52</f>
        <v>-41.437925999999997</v>
      </c>
      <c r="Q52" s="21">
        <f t="shared" si="6"/>
        <v>6.0295550581150006E-5</v>
      </c>
      <c r="S52" s="70">
        <f t="shared" si="0"/>
        <v>-41.437925999999997</v>
      </c>
      <c r="U52" s="70">
        <f t="shared" si="1"/>
        <v>0</v>
      </c>
    </row>
    <row r="53" spans="1:21" ht="15" x14ac:dyDescent="0.2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6"/>
      <c r="Q53" s="44"/>
      <c r="S53" s="70">
        <f t="shared" si="0"/>
        <v>0</v>
      </c>
      <c r="U53" s="70">
        <f t="shared" si="1"/>
        <v>0</v>
      </c>
    </row>
    <row r="54" spans="1:21" ht="15" x14ac:dyDescent="0.2">
      <c r="A54" s="39" t="s">
        <v>77</v>
      </c>
      <c r="B54" s="40">
        <f t="shared" ref="B54:O54" si="16">B44+B50+B52+B46+B48</f>
        <v>153073.42726800003</v>
      </c>
      <c r="C54" s="40">
        <f>C44+C50+C52+C46+C48</f>
        <v>600.36278100003619</v>
      </c>
      <c r="D54" s="58">
        <f>D44+D50+D52+D46+D48</f>
        <v>-532.62176399999998</v>
      </c>
      <c r="E54" s="58">
        <f t="shared" si="16"/>
        <v>-532.62176399999998</v>
      </c>
      <c r="F54" s="58">
        <f t="shared" si="16"/>
        <v>-532.62176399999998</v>
      </c>
      <c r="G54" s="58">
        <f t="shared" si="16"/>
        <v>-532.62176399999998</v>
      </c>
      <c r="H54" s="58">
        <f t="shared" si="16"/>
        <v>-556.73395200000004</v>
      </c>
      <c r="I54" s="58">
        <f>I44+I50+I52+I46+I48</f>
        <v>0</v>
      </c>
      <c r="J54" s="58">
        <f t="shared" si="16"/>
        <v>0</v>
      </c>
      <c r="K54" s="58">
        <f t="shared" si="16"/>
        <v>0</v>
      </c>
      <c r="L54" s="58">
        <f t="shared" si="16"/>
        <v>0</v>
      </c>
      <c r="M54" s="58">
        <f t="shared" si="16"/>
        <v>0</v>
      </c>
      <c r="N54" s="58">
        <f t="shared" si="16"/>
        <v>0</v>
      </c>
      <c r="O54" s="40">
        <f t="shared" si="16"/>
        <v>0</v>
      </c>
      <c r="P54" s="40">
        <f>B54+C54+D54+E54+F54+G54+H54+I54+J54+K54+L54+M54+N54+O54</f>
        <v>150986.56904100001</v>
      </c>
      <c r="Q54" s="21">
        <f>P54/$P$11</f>
        <v>0.2196977307861864</v>
      </c>
      <c r="S54" s="70">
        <f t="shared" si="0"/>
        <v>150986.56904100001</v>
      </c>
      <c r="U54" s="70">
        <f t="shared" si="1"/>
        <v>0</v>
      </c>
    </row>
    <row r="55" spans="1:21" x14ac:dyDescent="0.2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</row>
    <row r="56" spans="1:21" ht="15" x14ac:dyDescent="0.2">
      <c r="A56" s="52" t="s">
        <v>35</v>
      </c>
      <c r="B56" s="13"/>
      <c r="C56" s="77"/>
      <c r="D56" s="77">
        <v>1</v>
      </c>
      <c r="E56" s="77">
        <v>1</v>
      </c>
      <c r="F56" s="13">
        <v>1</v>
      </c>
      <c r="G56" s="13">
        <v>1</v>
      </c>
      <c r="H56" s="13">
        <v>1</v>
      </c>
      <c r="I56" s="13"/>
      <c r="J56" s="13"/>
      <c r="K56" s="13"/>
      <c r="L56" s="13"/>
      <c r="M56" s="13"/>
      <c r="N56" s="13"/>
      <c r="O56" s="13"/>
      <c r="P56" s="82"/>
      <c r="Q56" s="50"/>
    </row>
    <row r="57" spans="1:21" ht="15" x14ac:dyDescent="0.2">
      <c r="A57" s="81"/>
      <c r="B57" s="79"/>
      <c r="C57" s="79"/>
      <c r="D57" s="90" t="s">
        <v>140</v>
      </c>
      <c r="E57" s="94" t="s">
        <v>146</v>
      </c>
      <c r="F57" s="94" t="s">
        <v>146</v>
      </c>
      <c r="G57" s="94" t="s">
        <v>146</v>
      </c>
      <c r="H57" s="94" t="s">
        <v>146</v>
      </c>
      <c r="I57" s="79"/>
      <c r="J57" s="79"/>
      <c r="K57" s="79"/>
      <c r="L57" s="79"/>
      <c r="M57" s="79"/>
      <c r="N57" s="79"/>
      <c r="O57" s="79"/>
      <c r="P57" s="53"/>
      <c r="Q57" s="50"/>
    </row>
    <row r="58" spans="1:21" x14ac:dyDescent="0.2">
      <c r="A58" s="54" t="s">
        <v>36</v>
      </c>
      <c r="B58" s="50"/>
      <c r="C58" s="50"/>
      <c r="D58" s="50"/>
      <c r="E58" s="95" t="s">
        <v>147</v>
      </c>
      <c r="F58" s="95" t="s">
        <v>147</v>
      </c>
      <c r="G58" s="95" t="s">
        <v>147</v>
      </c>
      <c r="H58" s="95" t="s">
        <v>147</v>
      </c>
      <c r="I58" s="50"/>
      <c r="J58" s="50"/>
      <c r="K58" s="50"/>
      <c r="L58" s="50"/>
      <c r="M58" s="50"/>
      <c r="N58" s="50"/>
      <c r="O58" s="50"/>
      <c r="P58" s="50"/>
      <c r="Q58" s="83">
        <v>45443</v>
      </c>
      <c r="R58" s="83"/>
    </row>
    <row r="60" spans="1:21" x14ac:dyDescent="0.2"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</row>
    <row r="62" spans="1:21" x14ac:dyDescent="0.2">
      <c r="B62" s="70">
        <f>B13+B42+B46+B48+B50+B52</f>
        <v>153073.42726800003</v>
      </c>
      <c r="C62" s="70">
        <f t="shared" ref="C62:P62" si="17">C13+C42+C46+C48+C50+C52</f>
        <v>600.36278100003631</v>
      </c>
      <c r="D62" s="70">
        <f t="shared" si="17"/>
        <v>-532.62176399999998</v>
      </c>
      <c r="E62" s="70">
        <f t="shared" si="17"/>
        <v>-532.62176399999998</v>
      </c>
      <c r="F62" s="70">
        <f t="shared" si="17"/>
        <v>-532.62176399999998</v>
      </c>
      <c r="G62" s="70">
        <f>G13+G42+G46+G48+G50+G52</f>
        <v>-532.62176399999998</v>
      </c>
      <c r="H62" s="70">
        <f t="shared" si="17"/>
        <v>-556.73395200000004</v>
      </c>
      <c r="I62" s="70">
        <f t="shared" si="17"/>
        <v>0</v>
      </c>
      <c r="J62" s="70">
        <f t="shared" si="17"/>
        <v>0</v>
      </c>
      <c r="K62" s="70">
        <f t="shared" si="17"/>
        <v>0</v>
      </c>
      <c r="L62" s="70">
        <f t="shared" si="17"/>
        <v>0</v>
      </c>
      <c r="M62" s="70">
        <f t="shared" si="17"/>
        <v>0</v>
      </c>
      <c r="N62" s="70">
        <f t="shared" si="17"/>
        <v>0</v>
      </c>
      <c r="O62" s="70">
        <f t="shared" si="17"/>
        <v>0</v>
      </c>
      <c r="P62" s="70">
        <f t="shared" si="17"/>
        <v>150986.56904099995</v>
      </c>
    </row>
    <row r="65" spans="2:16" x14ac:dyDescent="0.2">
      <c r="B65" s="70">
        <f>B54-B62</f>
        <v>0</v>
      </c>
      <c r="C65" s="70">
        <f t="shared" ref="C65:P65" si="18">C54-C62</f>
        <v>0</v>
      </c>
      <c r="D65" s="70">
        <f t="shared" si="18"/>
        <v>0</v>
      </c>
      <c r="E65" s="70">
        <f t="shared" si="18"/>
        <v>0</v>
      </c>
      <c r="F65" s="70">
        <f t="shared" si="18"/>
        <v>0</v>
      </c>
      <c r="G65" s="70">
        <f t="shared" si="18"/>
        <v>0</v>
      </c>
      <c r="H65" s="70">
        <f t="shared" si="18"/>
        <v>0</v>
      </c>
      <c r="I65" s="70">
        <f t="shared" si="18"/>
        <v>0</v>
      </c>
      <c r="J65" s="70">
        <f t="shared" si="18"/>
        <v>0</v>
      </c>
      <c r="K65" s="70">
        <f t="shared" si="18"/>
        <v>0</v>
      </c>
      <c r="L65" s="70">
        <f t="shared" si="18"/>
        <v>0</v>
      </c>
      <c r="M65" s="70">
        <f t="shared" si="18"/>
        <v>0</v>
      </c>
      <c r="N65" s="70">
        <f t="shared" si="18"/>
        <v>0</v>
      </c>
      <c r="O65" s="70">
        <f t="shared" si="18"/>
        <v>0</v>
      </c>
      <c r="P65" s="70">
        <f t="shared" si="18"/>
        <v>0</v>
      </c>
    </row>
  </sheetData>
  <mergeCells count="4">
    <mergeCell ref="A1:Q1"/>
    <mergeCell ref="A3:Q3"/>
    <mergeCell ref="A5:Q5"/>
    <mergeCell ref="A7:Q7"/>
  </mergeCells>
  <conditionalFormatting sqref="G54">
    <cfRule type="cellIs" dxfId="181" priority="10" operator="lessThan">
      <formula>0</formula>
    </cfRule>
    <cfRule type="cellIs" dxfId="180" priority="11" operator="greaterThan">
      <formula>0</formula>
    </cfRule>
  </conditionalFormatting>
  <conditionalFormatting sqref="I54:J54">
    <cfRule type="cellIs" dxfId="179" priority="6" operator="lessThan">
      <formula>0</formula>
    </cfRule>
    <cfRule type="cellIs" dxfId="178" priority="7" operator="greaterThan">
      <formula>0</formula>
    </cfRule>
  </conditionalFormatting>
  <conditionalFormatting sqref="L54">
    <cfRule type="cellIs" dxfId="177" priority="4" operator="lessThan">
      <formula>0</formula>
    </cfRule>
    <cfRule type="cellIs" dxfId="176" priority="5" operator="greaterThan">
      <formula>0</formula>
    </cfRule>
  </conditionalFormatting>
  <printOptions horizontalCentered="1" verticalCentered="1"/>
  <pageMargins left="0" right="0" top="0.11811023622047245" bottom="0" header="0.11811023622047245" footer="0"/>
  <pageSetup paperSize="9" scale="71" orientation="landscape" r:id="rId1"/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S59"/>
  <sheetViews>
    <sheetView zoomScaleNormal="100" workbookViewId="0">
      <pane xSplit="1" topLeftCell="B1" activePane="topRight" state="frozen"/>
      <selection activeCell="C42" sqref="C42"/>
      <selection pane="topRight" activeCell="A6" sqref="A6"/>
    </sheetView>
  </sheetViews>
  <sheetFormatPr defaultRowHeight="15" x14ac:dyDescent="0.25"/>
  <cols>
    <col min="1" max="1" width="61.5703125" bestFit="1" customWidth="1"/>
    <col min="2" max="2" width="17.85546875" bestFit="1" customWidth="1"/>
    <col min="3" max="3" width="13.85546875" bestFit="1" customWidth="1"/>
    <col min="4" max="4" width="16.28515625" bestFit="1" customWidth="1"/>
    <col min="5" max="5" width="13.85546875" bestFit="1" customWidth="1"/>
    <col min="6" max="6" width="10.7109375" hidden="1" customWidth="1"/>
    <col min="7" max="7" width="11" hidden="1" customWidth="1"/>
    <col min="8" max="8" width="12.42578125" hidden="1" customWidth="1"/>
    <col min="9" max="9" width="11.7109375" hidden="1" customWidth="1"/>
    <col min="10" max="10" width="13.28515625" hidden="1" customWidth="1"/>
    <col min="11" max="11" width="16.140625" hidden="1" customWidth="1"/>
    <col min="12" max="12" width="14.7109375" hidden="1" customWidth="1"/>
    <col min="13" max="13" width="16.85546875" hidden="1" customWidth="1"/>
    <col min="14" max="14" width="16.7109375" hidden="1" customWidth="1"/>
    <col min="15" max="15" width="15" bestFit="1" customWidth="1"/>
    <col min="16" max="16" width="10.7109375" bestFit="1" customWidth="1"/>
    <col min="18" max="18" width="13.28515625" bestFit="1" customWidth="1"/>
    <col min="19" max="19" width="11.42578125" customWidth="1"/>
  </cols>
  <sheetData>
    <row r="1" spans="1:19" ht="15.75" customHeight="1" x14ac:dyDescent="0.25">
      <c r="A1" s="209" t="s">
        <v>148</v>
      </c>
      <c r="B1" s="209"/>
      <c r="C1" s="209"/>
      <c r="D1" s="209"/>
    </row>
    <row r="2" spans="1:19" ht="11.25" customHeight="1" x14ac:dyDescent="0.25">
      <c r="A2" s="71"/>
      <c r="B2" s="71"/>
      <c r="C2" s="10"/>
    </row>
    <row r="3" spans="1:19" ht="15.75" customHeight="1" x14ac:dyDescent="0.25">
      <c r="A3" s="209" t="s">
        <v>149</v>
      </c>
      <c r="B3" s="209"/>
      <c r="C3" s="209"/>
      <c r="D3" s="209"/>
    </row>
    <row r="4" spans="1:19" ht="9.75" customHeight="1" x14ac:dyDescent="0.25">
      <c r="A4" s="71"/>
      <c r="B4" s="71"/>
      <c r="C4" s="10"/>
    </row>
    <row r="5" spans="1:19" ht="15.75" x14ac:dyDescent="0.25">
      <c r="A5" s="209" t="s">
        <v>168</v>
      </c>
      <c r="B5" s="209"/>
      <c r="C5" s="71"/>
    </row>
    <row r="6" spans="1:19" ht="12" customHeight="1" x14ac:dyDescent="0.25">
      <c r="A6" s="10"/>
      <c r="B6" s="10"/>
      <c r="C6" s="10"/>
    </row>
    <row r="7" spans="1:19" x14ac:dyDescent="0.25">
      <c r="A7" s="12"/>
      <c r="B7" s="60" t="s">
        <v>131</v>
      </c>
      <c r="C7" s="60" t="s">
        <v>117</v>
      </c>
      <c r="D7" s="60" t="s">
        <v>118</v>
      </c>
      <c r="E7" s="60" t="s">
        <v>119</v>
      </c>
      <c r="F7" s="60" t="s">
        <v>120</v>
      </c>
      <c r="G7" s="60" t="s">
        <v>121</v>
      </c>
      <c r="H7" s="60" t="s">
        <v>123</v>
      </c>
      <c r="I7" s="60" t="s">
        <v>124</v>
      </c>
      <c r="J7" s="60" t="s">
        <v>125</v>
      </c>
      <c r="K7" s="60" t="s">
        <v>126</v>
      </c>
      <c r="L7" s="60" t="s">
        <v>127</v>
      </c>
      <c r="M7" s="60" t="s">
        <v>128</v>
      </c>
      <c r="N7" s="60" t="s">
        <v>129</v>
      </c>
      <c r="O7" s="13" t="s">
        <v>1</v>
      </c>
      <c r="P7" s="14" t="s">
        <v>2</v>
      </c>
    </row>
    <row r="8" spans="1:19" x14ac:dyDescent="0.25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  <c r="P8" s="18"/>
    </row>
    <row r="9" spans="1:19" x14ac:dyDescent="0.25">
      <c r="A9" s="78" t="s">
        <v>4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20">
        <f>B9+C9+D9+E9+F9+G9+H9+I9+J9+K9+L9+M9+N9</f>
        <v>0</v>
      </c>
      <c r="P9" s="21">
        <v>1</v>
      </c>
      <c r="R9" s="98">
        <f>SUM(B9:E9)</f>
        <v>0</v>
      </c>
      <c r="S9" s="98">
        <f>R9-O9</f>
        <v>0</v>
      </c>
    </row>
    <row r="10" spans="1:19" x14ac:dyDescent="0.25">
      <c r="A10" s="15" t="s">
        <v>5</v>
      </c>
      <c r="B10" s="19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20">
        <f>B10+C10+D10+E10+F10+G10+H10+I10+J10+K10+L10+M10+N10</f>
        <v>0</v>
      </c>
      <c r="P10" s="21"/>
      <c r="R10" s="98">
        <f t="shared" ref="R10:R52" si="0">SUM(B10:E10)</f>
        <v>0</v>
      </c>
      <c r="S10" s="98">
        <f t="shared" ref="S10:S52" si="1">R10-O10</f>
        <v>0</v>
      </c>
    </row>
    <row r="11" spans="1:19" x14ac:dyDescent="0.25">
      <c r="A11" s="23" t="s">
        <v>6</v>
      </c>
      <c r="B11" s="24">
        <f t="shared" ref="B11:E11" si="2">SUM(B9:B10)</f>
        <v>0</v>
      </c>
      <c r="C11" s="24">
        <f t="shared" si="2"/>
        <v>0</v>
      </c>
      <c r="D11" s="24">
        <f t="shared" si="2"/>
        <v>0</v>
      </c>
      <c r="E11" s="24">
        <f t="shared" si="2"/>
        <v>0</v>
      </c>
      <c r="F11" s="24">
        <f t="shared" ref="F11:N11" si="3">SUM(F9:F10)</f>
        <v>0</v>
      </c>
      <c r="G11" s="24">
        <f t="shared" si="3"/>
        <v>0</v>
      </c>
      <c r="H11" s="24">
        <f t="shared" si="3"/>
        <v>0</v>
      </c>
      <c r="I11" s="24">
        <f t="shared" si="3"/>
        <v>0</v>
      </c>
      <c r="J11" s="24">
        <f t="shared" si="3"/>
        <v>0</v>
      </c>
      <c r="K11" s="24">
        <f t="shared" si="3"/>
        <v>0</v>
      </c>
      <c r="L11" s="24">
        <f t="shared" si="3"/>
        <v>0</v>
      </c>
      <c r="M11" s="24">
        <f t="shared" si="3"/>
        <v>0</v>
      </c>
      <c r="N11" s="24">
        <f t="shared" si="3"/>
        <v>0</v>
      </c>
      <c r="O11" s="24">
        <f>SUM(O9:O10)</f>
        <v>0</v>
      </c>
      <c r="P11" s="21">
        <v>1</v>
      </c>
      <c r="R11" s="98">
        <f t="shared" si="0"/>
        <v>0</v>
      </c>
      <c r="S11" s="98">
        <f t="shared" si="1"/>
        <v>0</v>
      </c>
    </row>
    <row r="12" spans="1:19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/>
      <c r="P12" s="28"/>
      <c r="R12" s="98">
        <f t="shared" si="0"/>
        <v>0</v>
      </c>
      <c r="S12" s="98">
        <f t="shared" si="1"/>
        <v>0</v>
      </c>
    </row>
    <row r="13" spans="1:19" x14ac:dyDescent="0.25">
      <c r="A13" s="29" t="s">
        <v>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  <c r="P13" s="31"/>
      <c r="R13" s="98">
        <f t="shared" si="0"/>
        <v>0</v>
      </c>
      <c r="S13" s="98">
        <f t="shared" si="1"/>
        <v>0</v>
      </c>
    </row>
    <row r="14" spans="1:19" x14ac:dyDescent="0.25">
      <c r="A14" s="15" t="s">
        <v>8</v>
      </c>
      <c r="B14" s="32">
        <v>60.28</v>
      </c>
      <c r="C14" s="76">
        <v>15.07</v>
      </c>
      <c r="D14" s="32">
        <v>15.07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20">
        <f>B14+C14+D14+E14+F14+G14+H14+I14+J14+K14+L14+M14+N14</f>
        <v>90.419999999999987</v>
      </c>
      <c r="P14" s="21"/>
      <c r="R14" s="98">
        <f t="shared" si="0"/>
        <v>90.419999999999987</v>
      </c>
      <c r="S14" s="98">
        <f t="shared" si="1"/>
        <v>0</v>
      </c>
    </row>
    <row r="15" spans="1:19" x14ac:dyDescent="0.25">
      <c r="A15" s="33" t="s">
        <v>9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20">
        <f t="shared" ref="O15:O37" si="4">B15+C15+D15+E15+F15+G15+H15+I15+J15+K15+L15+M15+N15</f>
        <v>0</v>
      </c>
      <c r="P15" s="21"/>
      <c r="R15" s="98">
        <f t="shared" si="0"/>
        <v>0</v>
      </c>
      <c r="S15" s="98">
        <f t="shared" si="1"/>
        <v>0</v>
      </c>
    </row>
    <row r="16" spans="1:19" x14ac:dyDescent="0.25">
      <c r="A16" s="15" t="s">
        <v>10</v>
      </c>
      <c r="B16" s="32">
        <v>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20">
        <f t="shared" si="4"/>
        <v>0</v>
      </c>
      <c r="P16" s="21"/>
      <c r="R16" s="98">
        <f t="shared" si="0"/>
        <v>0</v>
      </c>
      <c r="S16" s="98">
        <f t="shared" si="1"/>
        <v>0</v>
      </c>
    </row>
    <row r="17" spans="1:19" x14ac:dyDescent="0.25">
      <c r="A17" s="33" t="s">
        <v>11</v>
      </c>
      <c r="B17" s="32">
        <v>0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20">
        <f t="shared" si="4"/>
        <v>0</v>
      </c>
      <c r="P17" s="21"/>
      <c r="R17" s="98">
        <f t="shared" si="0"/>
        <v>0</v>
      </c>
      <c r="S17" s="98">
        <f t="shared" si="1"/>
        <v>0</v>
      </c>
    </row>
    <row r="18" spans="1:19" x14ac:dyDescent="0.25">
      <c r="A18" s="15" t="s">
        <v>12</v>
      </c>
      <c r="B18" s="32">
        <v>-1181.03</v>
      </c>
      <c r="C18" s="32">
        <v>-312.12</v>
      </c>
      <c r="D18" s="32">
        <v>-312.12</v>
      </c>
      <c r="E18" s="32">
        <v>-312.12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20">
        <f t="shared" si="4"/>
        <v>-2117.39</v>
      </c>
      <c r="P18" s="21"/>
      <c r="R18" s="98">
        <f t="shared" si="0"/>
        <v>-2117.39</v>
      </c>
      <c r="S18" s="98">
        <f t="shared" si="1"/>
        <v>0</v>
      </c>
    </row>
    <row r="19" spans="1:19" x14ac:dyDescent="0.25">
      <c r="A19" s="15" t="s">
        <v>13</v>
      </c>
      <c r="B19" s="32">
        <v>-788.2</v>
      </c>
      <c r="C19" s="32">
        <v>-192.4</v>
      </c>
      <c r="D19" s="32">
        <v>-192.4</v>
      </c>
      <c r="E19" s="32">
        <v>-256.54000000000002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20">
        <f t="shared" si="4"/>
        <v>-1429.54</v>
      </c>
      <c r="P19" s="21"/>
      <c r="R19" s="98">
        <f t="shared" si="0"/>
        <v>-1429.54</v>
      </c>
      <c r="S19" s="98">
        <f t="shared" si="1"/>
        <v>0</v>
      </c>
    </row>
    <row r="20" spans="1:19" x14ac:dyDescent="0.25">
      <c r="A20" s="15" t="s">
        <v>14</v>
      </c>
      <c r="B20" s="32">
        <v>-752.26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20">
        <f t="shared" si="4"/>
        <v>-752.26</v>
      </c>
      <c r="P20" s="21"/>
      <c r="R20" s="98">
        <f t="shared" si="0"/>
        <v>-752.26</v>
      </c>
      <c r="S20" s="98">
        <f t="shared" si="1"/>
        <v>0</v>
      </c>
    </row>
    <row r="21" spans="1:19" x14ac:dyDescent="0.25">
      <c r="A21" s="15" t="s">
        <v>15</v>
      </c>
      <c r="B21" s="32">
        <v>0</v>
      </c>
      <c r="C21" s="32">
        <v>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20">
        <f t="shared" si="4"/>
        <v>0</v>
      </c>
      <c r="P21" s="21"/>
      <c r="R21" s="98">
        <f t="shared" si="0"/>
        <v>0</v>
      </c>
      <c r="S21" s="98">
        <f t="shared" si="1"/>
        <v>0</v>
      </c>
    </row>
    <row r="22" spans="1:19" x14ac:dyDescent="0.25">
      <c r="A22" s="15" t="s">
        <v>16</v>
      </c>
      <c r="B22" s="32">
        <v>0</v>
      </c>
      <c r="C22" s="32">
        <v>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20">
        <f t="shared" si="4"/>
        <v>0</v>
      </c>
      <c r="P22" s="21"/>
      <c r="R22" s="98">
        <f t="shared" si="0"/>
        <v>0</v>
      </c>
      <c r="S22" s="98">
        <f t="shared" si="1"/>
        <v>0</v>
      </c>
    </row>
    <row r="23" spans="1:19" x14ac:dyDescent="0.25">
      <c r="A23" s="15" t="s">
        <v>17</v>
      </c>
      <c r="B23" s="32">
        <v>-867.05</v>
      </c>
      <c r="C23" s="32">
        <v>-211.65</v>
      </c>
      <c r="D23" s="32">
        <v>-211.65</v>
      </c>
      <c r="E23" s="32">
        <v>-282.19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20">
        <f t="shared" si="4"/>
        <v>-1572.5400000000002</v>
      </c>
      <c r="P23" s="21"/>
      <c r="R23" s="98">
        <f t="shared" si="0"/>
        <v>-1572.5400000000002</v>
      </c>
      <c r="S23" s="98">
        <f t="shared" si="1"/>
        <v>0</v>
      </c>
    </row>
    <row r="24" spans="1:19" x14ac:dyDescent="0.25">
      <c r="A24" s="15" t="s">
        <v>18</v>
      </c>
      <c r="B24" s="32">
        <v>0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20">
        <f t="shared" si="4"/>
        <v>0</v>
      </c>
      <c r="P24" s="21"/>
      <c r="R24" s="98">
        <f t="shared" si="0"/>
        <v>0</v>
      </c>
      <c r="S24" s="98">
        <f t="shared" si="1"/>
        <v>0</v>
      </c>
    </row>
    <row r="25" spans="1:19" x14ac:dyDescent="0.25">
      <c r="A25" s="15" t="s">
        <v>19</v>
      </c>
      <c r="B25" s="32">
        <v>0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20">
        <f t="shared" si="4"/>
        <v>0</v>
      </c>
      <c r="P25" s="21"/>
      <c r="R25" s="98">
        <f t="shared" si="0"/>
        <v>0</v>
      </c>
      <c r="S25" s="98">
        <f t="shared" si="1"/>
        <v>0</v>
      </c>
    </row>
    <row r="26" spans="1:19" x14ac:dyDescent="0.25">
      <c r="A26" s="15" t="s">
        <v>20</v>
      </c>
      <c r="B26" s="32">
        <v>0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20">
        <f t="shared" si="4"/>
        <v>0</v>
      </c>
      <c r="P26" s="21"/>
      <c r="R26" s="98">
        <f t="shared" si="0"/>
        <v>0</v>
      </c>
      <c r="S26" s="98">
        <f t="shared" si="1"/>
        <v>0</v>
      </c>
    </row>
    <row r="27" spans="1:19" x14ac:dyDescent="0.25">
      <c r="A27" s="15" t="s">
        <v>59</v>
      </c>
      <c r="B27" s="32">
        <v>0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20">
        <f t="shared" si="4"/>
        <v>0</v>
      </c>
      <c r="P27" s="21"/>
      <c r="R27" s="98">
        <f t="shared" si="0"/>
        <v>0</v>
      </c>
      <c r="S27" s="98">
        <f t="shared" si="1"/>
        <v>0</v>
      </c>
    </row>
    <row r="28" spans="1:19" x14ac:dyDescent="0.25">
      <c r="A28" s="15" t="s">
        <v>21</v>
      </c>
      <c r="B28" s="32">
        <v>0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20">
        <f t="shared" si="4"/>
        <v>0</v>
      </c>
      <c r="P28" s="21"/>
      <c r="R28" s="98">
        <f t="shared" si="0"/>
        <v>0</v>
      </c>
      <c r="S28" s="98">
        <f t="shared" si="1"/>
        <v>0</v>
      </c>
    </row>
    <row r="29" spans="1:19" x14ac:dyDescent="0.25">
      <c r="A29" s="15" t="s">
        <v>22</v>
      </c>
      <c r="B29" s="32">
        <v>0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20">
        <f t="shared" si="4"/>
        <v>0</v>
      </c>
      <c r="P29" s="21"/>
      <c r="R29" s="98">
        <f t="shared" si="0"/>
        <v>0</v>
      </c>
      <c r="S29" s="98">
        <f t="shared" si="1"/>
        <v>0</v>
      </c>
    </row>
    <row r="30" spans="1:19" x14ac:dyDescent="0.25">
      <c r="A30" s="33" t="s">
        <v>23</v>
      </c>
      <c r="B30" s="32">
        <v>0</v>
      </c>
      <c r="C30" s="32">
        <v>0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20">
        <f t="shared" si="4"/>
        <v>0</v>
      </c>
      <c r="P30" s="21"/>
      <c r="R30" s="98">
        <f t="shared" si="0"/>
        <v>0</v>
      </c>
      <c r="S30" s="98">
        <f t="shared" si="1"/>
        <v>0</v>
      </c>
    </row>
    <row r="31" spans="1:19" x14ac:dyDescent="0.25">
      <c r="A31" s="15" t="s">
        <v>24</v>
      </c>
      <c r="B31" s="32">
        <v>0</v>
      </c>
      <c r="C31" s="32">
        <v>0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20">
        <f t="shared" si="4"/>
        <v>0</v>
      </c>
      <c r="P31" s="21"/>
      <c r="R31" s="98">
        <f t="shared" si="0"/>
        <v>0</v>
      </c>
      <c r="S31" s="98">
        <f t="shared" si="1"/>
        <v>0</v>
      </c>
    </row>
    <row r="32" spans="1:19" x14ac:dyDescent="0.25">
      <c r="A32" s="34" t="s">
        <v>25</v>
      </c>
      <c r="B32" s="32">
        <v>-9096.7199999999993</v>
      </c>
      <c r="C32" s="32">
        <v>-2403.71</v>
      </c>
      <c r="D32" s="32">
        <v>-2403.71</v>
      </c>
      <c r="E32" s="32">
        <v>-34.049999999999997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20">
        <f t="shared" si="4"/>
        <v>-13938.189999999999</v>
      </c>
      <c r="P32" s="21"/>
      <c r="R32" s="98">
        <f t="shared" si="0"/>
        <v>-13938.189999999999</v>
      </c>
      <c r="S32" s="98">
        <f t="shared" si="1"/>
        <v>0</v>
      </c>
    </row>
    <row r="33" spans="1:19" x14ac:dyDescent="0.25">
      <c r="A33" s="15" t="s">
        <v>26</v>
      </c>
      <c r="B33" s="32">
        <v>0</v>
      </c>
      <c r="C33" s="32">
        <v>0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20">
        <f t="shared" si="4"/>
        <v>0</v>
      </c>
      <c r="P33" s="21"/>
      <c r="R33" s="98">
        <f t="shared" si="0"/>
        <v>0</v>
      </c>
      <c r="S33" s="98">
        <f t="shared" si="1"/>
        <v>0</v>
      </c>
    </row>
    <row r="34" spans="1:19" x14ac:dyDescent="0.25">
      <c r="A34" s="15" t="s">
        <v>27</v>
      </c>
      <c r="B34" s="32">
        <v>0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20">
        <f t="shared" si="4"/>
        <v>0</v>
      </c>
      <c r="P34" s="21"/>
      <c r="R34" s="98">
        <f t="shared" si="0"/>
        <v>0</v>
      </c>
      <c r="S34" s="98">
        <f t="shared" si="1"/>
        <v>0</v>
      </c>
    </row>
    <row r="35" spans="1:19" x14ac:dyDescent="0.25">
      <c r="A35" s="33" t="s">
        <v>28</v>
      </c>
      <c r="B35" s="32">
        <v>0</v>
      </c>
      <c r="C35" s="32">
        <v>0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20">
        <f t="shared" si="4"/>
        <v>0</v>
      </c>
      <c r="P35" s="21"/>
      <c r="R35" s="98">
        <f t="shared" si="0"/>
        <v>0</v>
      </c>
      <c r="S35" s="98">
        <f t="shared" si="1"/>
        <v>0</v>
      </c>
    </row>
    <row r="36" spans="1:19" x14ac:dyDescent="0.25">
      <c r="A36" s="15" t="s">
        <v>29</v>
      </c>
      <c r="B36" s="32">
        <v>-362.48</v>
      </c>
      <c r="C36" s="32">
        <v>-166.2</v>
      </c>
      <c r="D36" s="32">
        <v>-232.9</v>
      </c>
      <c r="E36" s="32">
        <v>-344.4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20">
        <f t="shared" si="4"/>
        <v>-1105.98</v>
      </c>
      <c r="P36" s="21"/>
      <c r="R36" s="98">
        <f t="shared" si="0"/>
        <v>-1105.98</v>
      </c>
      <c r="S36" s="98">
        <f t="shared" si="1"/>
        <v>0</v>
      </c>
    </row>
    <row r="37" spans="1:19" x14ac:dyDescent="0.25">
      <c r="A37" s="15" t="s">
        <v>30</v>
      </c>
      <c r="B37" s="32">
        <v>-938.43</v>
      </c>
      <c r="C37" s="32">
        <v>-234.09</v>
      </c>
      <c r="D37" s="32">
        <v>-234.09</v>
      </c>
      <c r="E37" s="32">
        <v>-234.09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20">
        <f t="shared" si="4"/>
        <v>-1640.6999999999998</v>
      </c>
      <c r="P37" s="21"/>
      <c r="R37" s="98">
        <f t="shared" si="0"/>
        <v>-1640.6999999999998</v>
      </c>
      <c r="S37" s="98">
        <f t="shared" si="1"/>
        <v>0</v>
      </c>
    </row>
    <row r="38" spans="1:19" x14ac:dyDescent="0.25">
      <c r="A38" s="15" t="s">
        <v>97</v>
      </c>
      <c r="B38" s="32">
        <v>0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20">
        <f>B38+C38+D38+E38+F38+G38+H38+I38+J38+K38+L38+M38+N38</f>
        <v>0</v>
      </c>
      <c r="P38" s="21"/>
      <c r="R38" s="98">
        <f t="shared" si="0"/>
        <v>0</v>
      </c>
      <c r="S38" s="98">
        <f t="shared" si="1"/>
        <v>0</v>
      </c>
    </row>
    <row r="39" spans="1:19" x14ac:dyDescent="0.25">
      <c r="A39" s="15" t="s">
        <v>114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20">
        <f>B39+C39+D39+E39+F39+G39+H39+I39+J39+K39+L39+M39+N39</f>
        <v>0</v>
      </c>
      <c r="P39" s="21"/>
      <c r="R39" s="98">
        <f t="shared" si="0"/>
        <v>0</v>
      </c>
      <c r="S39" s="98">
        <f t="shared" si="1"/>
        <v>0</v>
      </c>
    </row>
    <row r="40" spans="1:19" x14ac:dyDescent="0.25">
      <c r="A40" s="35" t="s">
        <v>31</v>
      </c>
      <c r="B40" s="36">
        <f>SUM(B14:B39)</f>
        <v>-13925.89</v>
      </c>
      <c r="C40" s="36">
        <f t="shared" ref="C40:N40" si="5">SUM(C14:C39)</f>
        <v>-3505.1</v>
      </c>
      <c r="D40" s="36">
        <f t="shared" si="5"/>
        <v>-3571.8</v>
      </c>
      <c r="E40" s="36">
        <f t="shared" si="5"/>
        <v>-1463.39</v>
      </c>
      <c r="F40" s="36">
        <f t="shared" si="5"/>
        <v>0</v>
      </c>
      <c r="G40" s="36">
        <f t="shared" si="5"/>
        <v>0</v>
      </c>
      <c r="H40" s="36">
        <f t="shared" si="5"/>
        <v>0</v>
      </c>
      <c r="I40" s="36">
        <f t="shared" si="5"/>
        <v>0</v>
      </c>
      <c r="J40" s="36">
        <f t="shared" si="5"/>
        <v>0</v>
      </c>
      <c r="K40" s="36">
        <f t="shared" si="5"/>
        <v>0</v>
      </c>
      <c r="L40" s="36">
        <f t="shared" si="5"/>
        <v>0</v>
      </c>
      <c r="M40" s="36">
        <f t="shared" si="5"/>
        <v>0</v>
      </c>
      <c r="N40" s="36">
        <f t="shared" si="5"/>
        <v>0</v>
      </c>
      <c r="O40" s="36">
        <f>SUM(O14:O39)</f>
        <v>-22466.18</v>
      </c>
      <c r="P40" s="21"/>
      <c r="R40" s="98">
        <f t="shared" si="0"/>
        <v>-22466.179999999997</v>
      </c>
      <c r="S40" s="98">
        <f t="shared" si="1"/>
        <v>0</v>
      </c>
    </row>
    <row r="41" spans="1:19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27"/>
      <c r="P41" s="18"/>
      <c r="R41" s="98">
        <f t="shared" si="0"/>
        <v>0</v>
      </c>
      <c r="S41" s="98">
        <f t="shared" si="1"/>
        <v>0</v>
      </c>
    </row>
    <row r="42" spans="1:19" x14ac:dyDescent="0.25">
      <c r="A42" s="39" t="s">
        <v>32</v>
      </c>
      <c r="B42" s="58">
        <f t="shared" ref="B42:N42" si="6">B11+B40</f>
        <v>-13925.89</v>
      </c>
      <c r="C42" s="58">
        <f t="shared" si="6"/>
        <v>-3505.1</v>
      </c>
      <c r="D42" s="58">
        <f t="shared" si="6"/>
        <v>-3571.8</v>
      </c>
      <c r="E42" s="58">
        <f t="shared" si="6"/>
        <v>-1463.39</v>
      </c>
      <c r="F42" s="58">
        <f t="shared" si="6"/>
        <v>0</v>
      </c>
      <c r="G42" s="58">
        <f t="shared" si="6"/>
        <v>0</v>
      </c>
      <c r="H42" s="58">
        <f t="shared" si="6"/>
        <v>0</v>
      </c>
      <c r="I42" s="58">
        <f t="shared" si="6"/>
        <v>0</v>
      </c>
      <c r="J42" s="58">
        <f t="shared" si="6"/>
        <v>0</v>
      </c>
      <c r="K42" s="58">
        <f t="shared" si="6"/>
        <v>0</v>
      </c>
      <c r="L42" s="58">
        <f t="shared" si="6"/>
        <v>0</v>
      </c>
      <c r="M42" s="58">
        <f t="shared" si="6"/>
        <v>0</v>
      </c>
      <c r="N42" s="58">
        <f t="shared" si="6"/>
        <v>0</v>
      </c>
      <c r="O42" s="58">
        <f>B42+C42+D42+E42+F42+G42+H42+I42+J42+K42+L42+M42+N42</f>
        <v>-22466.179999999997</v>
      </c>
      <c r="P42" s="21"/>
      <c r="R42" s="98">
        <f t="shared" si="0"/>
        <v>-22466.179999999997</v>
      </c>
      <c r="S42" s="98">
        <f t="shared" si="1"/>
        <v>0</v>
      </c>
    </row>
    <row r="43" spans="1:19" x14ac:dyDescent="0.25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4"/>
      <c r="R43" s="98">
        <f t="shared" si="0"/>
        <v>0</v>
      </c>
      <c r="S43" s="98">
        <f t="shared" si="1"/>
        <v>0</v>
      </c>
    </row>
    <row r="44" spans="1:19" x14ac:dyDescent="0.25">
      <c r="A44" s="29" t="s">
        <v>56</v>
      </c>
      <c r="B44" s="45">
        <f t="shared" ref="B44:K44" si="7">-B9*13.15%</f>
        <v>0</v>
      </c>
      <c r="C44" s="45">
        <f t="shared" si="7"/>
        <v>0</v>
      </c>
      <c r="D44" s="45">
        <f t="shared" si="7"/>
        <v>0</v>
      </c>
      <c r="E44" s="45">
        <f t="shared" si="7"/>
        <v>0</v>
      </c>
      <c r="F44" s="45">
        <f t="shared" si="7"/>
        <v>0</v>
      </c>
      <c r="G44" s="45">
        <f t="shared" si="7"/>
        <v>0</v>
      </c>
      <c r="H44" s="45">
        <f t="shared" si="7"/>
        <v>0</v>
      </c>
      <c r="I44" s="45">
        <f t="shared" si="7"/>
        <v>0</v>
      </c>
      <c r="J44" s="45">
        <f t="shared" si="7"/>
        <v>0</v>
      </c>
      <c r="K44" s="45">
        <f t="shared" si="7"/>
        <v>0</v>
      </c>
      <c r="L44" s="45">
        <f>-L9*13.15%</f>
        <v>0</v>
      </c>
      <c r="M44" s="45">
        <f t="shared" ref="M44:N44" si="8">-M9*13.15%</f>
        <v>0</v>
      </c>
      <c r="N44" s="45">
        <f t="shared" si="8"/>
        <v>0</v>
      </c>
      <c r="O44" s="45">
        <f>B44+C44+D44+E44+F44+G44+H44+I44+J44+K44+L44+M44+N44</f>
        <v>0</v>
      </c>
      <c r="P44" s="21"/>
      <c r="R44" s="98">
        <f t="shared" si="0"/>
        <v>0</v>
      </c>
      <c r="S44" s="98">
        <f t="shared" si="1"/>
        <v>0</v>
      </c>
    </row>
    <row r="45" spans="1:19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4"/>
      <c r="R45" s="98">
        <f t="shared" si="0"/>
        <v>0</v>
      </c>
      <c r="S45" s="98">
        <f t="shared" si="1"/>
        <v>0</v>
      </c>
    </row>
    <row r="46" spans="1:19" x14ac:dyDescent="0.25">
      <c r="A46" s="29" t="s">
        <v>33</v>
      </c>
      <c r="B46" s="45">
        <f t="shared" ref="B46:N46" si="9">-B9*1.22%</f>
        <v>0</v>
      </c>
      <c r="C46" s="45">
        <f t="shared" si="9"/>
        <v>0</v>
      </c>
      <c r="D46" s="45">
        <f t="shared" si="9"/>
        <v>0</v>
      </c>
      <c r="E46" s="45">
        <f t="shared" si="9"/>
        <v>0</v>
      </c>
      <c r="F46" s="45">
        <f t="shared" si="9"/>
        <v>0</v>
      </c>
      <c r="G46" s="45">
        <f t="shared" si="9"/>
        <v>0</v>
      </c>
      <c r="H46" s="45">
        <f t="shared" si="9"/>
        <v>0</v>
      </c>
      <c r="I46" s="45">
        <f t="shared" si="9"/>
        <v>0</v>
      </c>
      <c r="J46" s="45">
        <f t="shared" si="9"/>
        <v>0</v>
      </c>
      <c r="K46" s="45">
        <f t="shared" si="9"/>
        <v>0</v>
      </c>
      <c r="L46" s="45">
        <f t="shared" si="9"/>
        <v>0</v>
      </c>
      <c r="M46" s="45">
        <f t="shared" si="9"/>
        <v>0</v>
      </c>
      <c r="N46" s="45">
        <f t="shared" si="9"/>
        <v>0</v>
      </c>
      <c r="O46" s="45">
        <f>B46+C46+D46+E46+F46+G46+H46+I46+J46+K46+L46+M46+N46</f>
        <v>0</v>
      </c>
      <c r="P46" s="21"/>
      <c r="R46" s="98">
        <f t="shared" si="0"/>
        <v>0</v>
      </c>
      <c r="S46" s="98">
        <f t="shared" si="1"/>
        <v>0</v>
      </c>
    </row>
    <row r="47" spans="1:19" x14ac:dyDescent="0.2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4"/>
      <c r="R47" s="98">
        <f t="shared" si="0"/>
        <v>0</v>
      </c>
      <c r="S47" s="98">
        <f t="shared" si="1"/>
        <v>0</v>
      </c>
    </row>
    <row r="48" spans="1:19" x14ac:dyDescent="0.25">
      <c r="A48" s="48" t="s">
        <v>57</v>
      </c>
      <c r="B48" s="49">
        <f t="shared" ref="B48:M48" si="10">B40*5.56%</f>
        <v>-774.27948399999991</v>
      </c>
      <c r="C48" s="49">
        <f t="shared" si="10"/>
        <v>-194.88355999999999</v>
      </c>
      <c r="D48" s="49">
        <f t="shared" si="10"/>
        <v>-198.59208000000001</v>
      </c>
      <c r="E48" s="49">
        <f t="shared" si="10"/>
        <v>-81.364484000000004</v>
      </c>
      <c r="F48" s="49">
        <f t="shared" si="10"/>
        <v>0</v>
      </c>
      <c r="G48" s="49">
        <f>G40*5.56%</f>
        <v>0</v>
      </c>
      <c r="H48" s="49">
        <f t="shared" si="10"/>
        <v>0</v>
      </c>
      <c r="I48" s="49">
        <f t="shared" si="10"/>
        <v>0</v>
      </c>
      <c r="J48" s="49">
        <f t="shared" si="10"/>
        <v>0</v>
      </c>
      <c r="K48" s="49">
        <f t="shared" si="10"/>
        <v>0</v>
      </c>
      <c r="L48" s="49">
        <f t="shared" si="10"/>
        <v>0</v>
      </c>
      <c r="M48" s="49">
        <f t="shared" si="10"/>
        <v>0</v>
      </c>
      <c r="N48" s="49">
        <f>N40*5.56%</f>
        <v>0</v>
      </c>
      <c r="O48" s="45">
        <f>B48+C48+D48+E48+F48+G48+H48+I48+J48+K48+L48+M48+N48</f>
        <v>-1249.1196079999997</v>
      </c>
      <c r="P48" s="21"/>
      <c r="R48" s="98">
        <f t="shared" si="0"/>
        <v>-1249.1196079999997</v>
      </c>
      <c r="S48" s="98">
        <f t="shared" si="1"/>
        <v>0</v>
      </c>
    </row>
    <row r="49" spans="1:19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4"/>
      <c r="R49" s="98">
        <f t="shared" si="0"/>
        <v>0</v>
      </c>
      <c r="S49" s="98">
        <f t="shared" si="1"/>
        <v>0</v>
      </c>
    </row>
    <row r="50" spans="1:19" x14ac:dyDescent="0.25">
      <c r="A50" s="48" t="s">
        <v>58</v>
      </c>
      <c r="B50" s="49">
        <f t="shared" ref="B50:K50" si="11">B40*0.01%</f>
        <v>-1.3925890000000001</v>
      </c>
      <c r="C50" s="49">
        <f t="shared" si="11"/>
        <v>-0.35050999999999999</v>
      </c>
      <c r="D50" s="49">
        <f t="shared" si="11"/>
        <v>-0.35718000000000005</v>
      </c>
      <c r="E50" s="49">
        <f t="shared" si="11"/>
        <v>-0.14633900000000002</v>
      </c>
      <c r="F50" s="49">
        <f t="shared" si="11"/>
        <v>0</v>
      </c>
      <c r="G50" s="49">
        <f t="shared" si="11"/>
        <v>0</v>
      </c>
      <c r="H50" s="49">
        <f t="shared" si="11"/>
        <v>0</v>
      </c>
      <c r="I50" s="49">
        <f t="shared" si="11"/>
        <v>0</v>
      </c>
      <c r="J50" s="49">
        <f t="shared" si="11"/>
        <v>0</v>
      </c>
      <c r="K50" s="49">
        <f t="shared" si="11"/>
        <v>0</v>
      </c>
      <c r="L50" s="49">
        <f>L40*0.01%</f>
        <v>0</v>
      </c>
      <c r="M50" s="49">
        <f t="shared" ref="M50" si="12">M40*0.01%</f>
        <v>0</v>
      </c>
      <c r="N50" s="49">
        <f>N40*0.01%</f>
        <v>0</v>
      </c>
      <c r="O50" s="45">
        <f>B50+C50+D50+E50+F50+G50+H50+I50+J50+K50+L50+M50+N50</f>
        <v>-2.2466180000000002</v>
      </c>
      <c r="P50" s="21"/>
      <c r="R50" s="98">
        <f t="shared" si="0"/>
        <v>-2.2466180000000002</v>
      </c>
      <c r="S50" s="98">
        <f t="shared" si="1"/>
        <v>0</v>
      </c>
    </row>
    <row r="51" spans="1:19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4"/>
      <c r="R51" s="98">
        <f t="shared" si="0"/>
        <v>0</v>
      </c>
      <c r="S51" s="98">
        <f t="shared" si="1"/>
        <v>0</v>
      </c>
    </row>
    <row r="52" spans="1:19" x14ac:dyDescent="0.25">
      <c r="A52" s="39" t="s">
        <v>102</v>
      </c>
      <c r="B52" s="58">
        <f>B42+B48+B50+B44+B46</f>
        <v>-14701.562072999999</v>
      </c>
      <c r="C52" s="58">
        <f>C42+C48+C50+C44+C46</f>
        <v>-3700.3340699999999</v>
      </c>
      <c r="D52" s="58">
        <f>D42+D48+D50+D44+D46</f>
        <v>-3770.74926</v>
      </c>
      <c r="E52" s="58">
        <f>E42+E48+E50+E44+E46</f>
        <v>-1544.9008229999999</v>
      </c>
      <c r="F52" s="58">
        <f t="shared" ref="F52:M52" si="13">F42+F48+F50+F44+F46</f>
        <v>0</v>
      </c>
      <c r="G52" s="58">
        <f t="shared" si="13"/>
        <v>0</v>
      </c>
      <c r="H52" s="58">
        <f t="shared" si="13"/>
        <v>0</v>
      </c>
      <c r="I52" s="58">
        <f t="shared" si="13"/>
        <v>0</v>
      </c>
      <c r="J52" s="58">
        <f t="shared" si="13"/>
        <v>0</v>
      </c>
      <c r="K52" s="58">
        <f t="shared" si="13"/>
        <v>0</v>
      </c>
      <c r="L52" s="58">
        <f t="shared" si="13"/>
        <v>0</v>
      </c>
      <c r="M52" s="58">
        <f t="shared" si="13"/>
        <v>0</v>
      </c>
      <c r="N52" s="58">
        <f>N42+N48+N50+N44+N46</f>
        <v>0</v>
      </c>
      <c r="O52" s="58">
        <f>B52+C52+D52+E52+F52+G52+H52+I52+J52+K52+L52+M52+N52</f>
        <v>-23717.546225999999</v>
      </c>
      <c r="P52" s="21"/>
      <c r="R52" s="98">
        <f t="shared" si="0"/>
        <v>-23717.546225999999</v>
      </c>
      <c r="S52" s="98">
        <f t="shared" si="1"/>
        <v>0</v>
      </c>
    </row>
    <row r="53" spans="1:19" x14ac:dyDescent="0.2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</row>
    <row r="54" spans="1:19" x14ac:dyDescent="0.25">
      <c r="A54" s="52" t="s">
        <v>35</v>
      </c>
      <c r="B54" s="13"/>
      <c r="C54" s="13">
        <v>1</v>
      </c>
      <c r="D54" s="13">
        <v>1</v>
      </c>
      <c r="E54" s="13">
        <v>1</v>
      </c>
      <c r="F54" s="13"/>
      <c r="G54" s="13"/>
      <c r="H54" s="13"/>
      <c r="I54" s="13"/>
      <c r="J54" s="13"/>
      <c r="K54" s="13"/>
      <c r="L54" s="13"/>
      <c r="M54" s="13"/>
      <c r="N54" s="13"/>
      <c r="O54" s="53"/>
      <c r="P54" s="50"/>
    </row>
    <row r="55" spans="1:19" x14ac:dyDescent="0.25">
      <c r="A55" s="81"/>
      <c r="B55" s="79"/>
      <c r="C55" s="10"/>
      <c r="P55" s="89">
        <v>45412</v>
      </c>
    </row>
    <row r="56" spans="1:19" x14ac:dyDescent="0.25">
      <c r="A56" s="54" t="s">
        <v>36</v>
      </c>
      <c r="B56" s="50"/>
      <c r="C56" s="83"/>
    </row>
    <row r="57" spans="1:19" x14ac:dyDescent="0.25">
      <c r="B57" s="98">
        <f>B11+B40+B44+B46+B48+B50</f>
        <v>-14701.562072999999</v>
      </c>
      <c r="C57" s="98">
        <f t="shared" ref="C57:O57" si="14">C11+C40+C44+C46+C48+C50</f>
        <v>-3700.3340699999999</v>
      </c>
      <c r="D57" s="98">
        <f t="shared" si="14"/>
        <v>-3770.74926</v>
      </c>
      <c r="E57" s="98">
        <f t="shared" si="14"/>
        <v>-1544.9008229999999</v>
      </c>
      <c r="F57" s="98">
        <f t="shared" si="14"/>
        <v>0</v>
      </c>
      <c r="G57" s="98">
        <f t="shared" si="14"/>
        <v>0</v>
      </c>
      <c r="H57" s="98">
        <f t="shared" si="14"/>
        <v>0</v>
      </c>
      <c r="I57" s="98">
        <f t="shared" si="14"/>
        <v>0</v>
      </c>
      <c r="J57" s="98">
        <f t="shared" si="14"/>
        <v>0</v>
      </c>
      <c r="K57" s="98">
        <f t="shared" si="14"/>
        <v>0</v>
      </c>
      <c r="L57" s="98">
        <f t="shared" si="14"/>
        <v>0</v>
      </c>
      <c r="M57" s="98">
        <f t="shared" si="14"/>
        <v>0</v>
      </c>
      <c r="N57" s="98">
        <f t="shared" si="14"/>
        <v>0</v>
      </c>
      <c r="O57" s="98">
        <f t="shared" si="14"/>
        <v>-23717.546226000002</v>
      </c>
    </row>
    <row r="59" spans="1:19" x14ac:dyDescent="0.25">
      <c r="B59" s="98">
        <f>B52-B57</f>
        <v>0</v>
      </c>
      <c r="C59" s="98">
        <f t="shared" ref="C59:O59" si="15">C52-C57</f>
        <v>0</v>
      </c>
      <c r="D59" s="98">
        <f t="shared" si="15"/>
        <v>0</v>
      </c>
      <c r="E59" s="98">
        <f t="shared" si="15"/>
        <v>0</v>
      </c>
      <c r="F59" s="98">
        <f t="shared" si="15"/>
        <v>0</v>
      </c>
      <c r="G59" s="98">
        <f t="shared" si="15"/>
        <v>0</v>
      </c>
      <c r="H59" s="98">
        <f t="shared" si="15"/>
        <v>0</v>
      </c>
      <c r="I59" s="98">
        <f t="shared" si="15"/>
        <v>0</v>
      </c>
      <c r="J59" s="98">
        <f t="shared" si="15"/>
        <v>0</v>
      </c>
      <c r="K59" s="98">
        <f t="shared" si="15"/>
        <v>0</v>
      </c>
      <c r="L59" s="98">
        <f t="shared" si="15"/>
        <v>0</v>
      </c>
      <c r="M59" s="98">
        <f t="shared" si="15"/>
        <v>0</v>
      </c>
      <c r="N59" s="98">
        <f t="shared" si="15"/>
        <v>0</v>
      </c>
      <c r="O59" s="98">
        <f t="shared" si="15"/>
        <v>0</v>
      </c>
    </row>
  </sheetData>
  <mergeCells count="3">
    <mergeCell ref="A5:B5"/>
    <mergeCell ref="A1:D1"/>
    <mergeCell ref="A3:D3"/>
  </mergeCells>
  <conditionalFormatting sqref="F52">
    <cfRule type="cellIs" dxfId="175" priority="5" operator="lessThan">
      <formula>0</formula>
    </cfRule>
    <cfRule type="cellIs" dxfId="174" priority="6" operator="greaterThan">
      <formula>0</formula>
    </cfRule>
  </conditionalFormatting>
  <conditionalFormatting sqref="H52:I52">
    <cfRule type="cellIs" dxfId="173" priority="3" operator="lessThan">
      <formula>0</formula>
    </cfRule>
    <cfRule type="cellIs" dxfId="172" priority="4" operator="greaterThan">
      <formula>0</formula>
    </cfRule>
  </conditionalFormatting>
  <conditionalFormatting sqref="K52">
    <cfRule type="cellIs" dxfId="171" priority="1" operator="lessThan">
      <formula>0</formula>
    </cfRule>
    <cfRule type="cellIs" dxfId="170" priority="2" operator="greaterThan">
      <formula>0</formula>
    </cfRule>
  </conditionalFormatting>
  <printOptions horizontalCentered="1" verticalCentered="1"/>
  <pageMargins left="0.9055118110236221" right="0.11811023622047245" top="0.39370078740157483" bottom="0" header="0.59055118110236227" footer="0"/>
  <pageSetup paperSize="9" scale="62" orientation="landscape" r:id="rId1"/>
  <headerFooter>
    <oddHeader>&amp;C&amp;"-,Negrito"&amp;14BELA NOVA CONSTRUTORA LTDA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60"/>
  <sheetViews>
    <sheetView zoomScale="85" zoomScaleNormal="85" workbookViewId="0">
      <selection activeCell="D35" sqref="D35"/>
    </sheetView>
  </sheetViews>
  <sheetFormatPr defaultRowHeight="15" x14ac:dyDescent="0.25"/>
  <cols>
    <col min="1" max="1" width="61.5703125" bestFit="1" customWidth="1"/>
    <col min="2" max="2" width="17.7109375" bestFit="1" customWidth="1"/>
    <col min="3" max="3" width="17.7109375" customWidth="1"/>
    <col min="4" max="4" width="15" bestFit="1" customWidth="1"/>
    <col min="5" max="5" width="16.28515625" hidden="1" customWidth="1"/>
    <col min="6" max="6" width="15" hidden="1" customWidth="1"/>
    <col min="7" max="7" width="17.140625" hidden="1" customWidth="1"/>
    <col min="8" max="8" width="16.5703125" hidden="1" customWidth="1"/>
    <col min="9" max="9" width="17" hidden="1" customWidth="1"/>
    <col min="10" max="11" width="13.28515625" hidden="1" customWidth="1"/>
    <col min="12" max="12" width="16.140625" hidden="1" customWidth="1"/>
    <col min="13" max="13" width="14.7109375" hidden="1" customWidth="1"/>
    <col min="14" max="14" width="16.85546875" hidden="1" customWidth="1"/>
    <col min="15" max="15" width="16.7109375" hidden="1" customWidth="1"/>
    <col min="16" max="16" width="16" customWidth="1"/>
    <col min="17" max="17" width="10.7109375" bestFit="1" customWidth="1"/>
    <col min="19" max="19" width="14.42578125" bestFit="1" customWidth="1"/>
    <col min="20" max="20" width="13.28515625" bestFit="1" customWidth="1"/>
  </cols>
  <sheetData>
    <row r="1" spans="1:20" ht="15.75" customHeight="1" x14ac:dyDescent="0.25">
      <c r="A1" s="209" t="s">
        <v>235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</row>
    <row r="2" spans="1:20" ht="9.75" customHeight="1" x14ac:dyDescent="0.25">
      <c r="A2" s="71"/>
      <c r="B2" s="71"/>
      <c r="C2" s="71"/>
      <c r="D2" s="10"/>
    </row>
    <row r="3" spans="1:20" ht="15.75" customHeight="1" x14ac:dyDescent="0.25">
      <c r="A3" s="209" t="s">
        <v>201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</row>
    <row r="4" spans="1:20" ht="9" customHeight="1" x14ac:dyDescent="0.25">
      <c r="A4" s="71"/>
      <c r="B4" s="71"/>
      <c r="C4" s="71"/>
      <c r="D4" s="10"/>
    </row>
    <row r="5" spans="1:20" ht="15.75" customHeight="1" x14ac:dyDescent="0.25">
      <c r="A5" s="209" t="s">
        <v>234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20" ht="9" customHeight="1" x14ac:dyDescent="0.25">
      <c r="A6" s="10"/>
      <c r="B6" s="10"/>
      <c r="C6" s="10"/>
      <c r="D6" s="10"/>
    </row>
    <row r="7" spans="1:20" x14ac:dyDescent="0.25">
      <c r="A7" s="10"/>
      <c r="B7" s="10"/>
      <c r="C7" s="10"/>
      <c r="D7" s="10"/>
    </row>
    <row r="8" spans="1:20" x14ac:dyDescent="0.25">
      <c r="A8" s="12"/>
      <c r="B8" s="60" t="s">
        <v>132</v>
      </c>
      <c r="C8" s="60" t="s">
        <v>221</v>
      </c>
      <c r="D8" s="60" t="s">
        <v>117</v>
      </c>
      <c r="E8" s="60" t="s">
        <v>118</v>
      </c>
      <c r="F8" s="60" t="s">
        <v>119</v>
      </c>
      <c r="G8" s="60" t="s">
        <v>120</v>
      </c>
      <c r="H8" s="60" t="s">
        <v>121</v>
      </c>
      <c r="I8" s="60" t="s">
        <v>123</v>
      </c>
      <c r="J8" s="60" t="s">
        <v>124</v>
      </c>
      <c r="K8" s="60" t="s">
        <v>125</v>
      </c>
      <c r="L8" s="60" t="s">
        <v>126</v>
      </c>
      <c r="M8" s="60" t="s">
        <v>127</v>
      </c>
      <c r="N8" s="60" t="s">
        <v>128</v>
      </c>
      <c r="O8" s="60" t="s">
        <v>129</v>
      </c>
      <c r="P8" s="13" t="s">
        <v>1</v>
      </c>
      <c r="Q8" s="14" t="s">
        <v>2</v>
      </c>
    </row>
    <row r="9" spans="1:20" x14ac:dyDescent="0.25">
      <c r="A9" s="15" t="s">
        <v>3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7"/>
      <c r="Q9" s="18"/>
    </row>
    <row r="10" spans="1:20" x14ac:dyDescent="0.25">
      <c r="A10" s="78" t="s">
        <v>4</v>
      </c>
      <c r="B10" s="19">
        <v>169151.39</v>
      </c>
      <c r="C10" s="19">
        <v>57807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B10+C10+D10+E10+F10+G10+H10+I10+J10+K10+L10+M10+N10+O10</f>
        <v>226958.39</v>
      </c>
      <c r="Q10" s="21">
        <v>1</v>
      </c>
      <c r="S10" s="98">
        <f>SUM(B10:O10)</f>
        <v>226958.39</v>
      </c>
      <c r="T10" s="98">
        <f>P10-S10</f>
        <v>0</v>
      </c>
    </row>
    <row r="11" spans="1:20" x14ac:dyDescent="0.25">
      <c r="A11" s="15" t="s">
        <v>5</v>
      </c>
      <c r="B11" s="19">
        <v>0</v>
      </c>
      <c r="C11" s="19">
        <f>SUM(D11:O11)</f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B11+C11+D11+E11+F11+G11+H11+I11+J11+K11+L11+M11+N11+O11</f>
        <v>0</v>
      </c>
      <c r="Q11" s="21"/>
      <c r="S11" s="98">
        <f t="shared" ref="S11:S52" si="0">SUM(B11:O11)</f>
        <v>0</v>
      </c>
      <c r="T11" s="98">
        <f t="shared" ref="T11:T53" si="1">P11-S11</f>
        <v>0</v>
      </c>
    </row>
    <row r="12" spans="1:20" x14ac:dyDescent="0.25">
      <c r="A12" s="23" t="s">
        <v>6</v>
      </c>
      <c r="B12" s="24">
        <f t="shared" ref="B12:O12" si="2">SUM(B10:B11)</f>
        <v>169151.39</v>
      </c>
      <c r="C12" s="24">
        <f>SUM(C10:C11)</f>
        <v>57807</v>
      </c>
      <c r="D12" s="24">
        <f t="shared" si="2"/>
        <v>0</v>
      </c>
      <c r="E12" s="24">
        <f t="shared" si="2"/>
        <v>0</v>
      </c>
      <c r="F12" s="24">
        <f t="shared" si="2"/>
        <v>0</v>
      </c>
      <c r="G12" s="24">
        <f t="shared" si="2"/>
        <v>0</v>
      </c>
      <c r="H12" s="24">
        <f t="shared" si="2"/>
        <v>0</v>
      </c>
      <c r="I12" s="24">
        <f t="shared" si="2"/>
        <v>0</v>
      </c>
      <c r="J12" s="24">
        <f t="shared" si="2"/>
        <v>0</v>
      </c>
      <c r="K12" s="24">
        <f t="shared" si="2"/>
        <v>0</v>
      </c>
      <c r="L12" s="24">
        <f t="shared" si="2"/>
        <v>0</v>
      </c>
      <c r="M12" s="24">
        <f t="shared" si="2"/>
        <v>0</v>
      </c>
      <c r="N12" s="24">
        <f t="shared" si="2"/>
        <v>0</v>
      </c>
      <c r="O12" s="24">
        <f t="shared" si="2"/>
        <v>0</v>
      </c>
      <c r="P12" s="24">
        <f>SUM(P10:P11)</f>
        <v>226958.39</v>
      </c>
      <c r="Q12" s="21">
        <v>1</v>
      </c>
      <c r="S12" s="98">
        <f>SUM(B12:O12)</f>
        <v>226958.39</v>
      </c>
      <c r="T12" s="98">
        <f t="shared" si="1"/>
        <v>0</v>
      </c>
    </row>
    <row r="13" spans="1:20" x14ac:dyDescent="0.25">
      <c r="A13" s="25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8"/>
      <c r="S13" s="98">
        <f t="shared" si="0"/>
        <v>0</v>
      </c>
      <c r="T13" s="98">
        <f t="shared" si="1"/>
        <v>0</v>
      </c>
    </row>
    <row r="14" spans="1:20" x14ac:dyDescent="0.25">
      <c r="A14" s="29" t="s">
        <v>7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0"/>
      <c r="Q14" s="31"/>
      <c r="S14" s="98">
        <f t="shared" si="0"/>
        <v>0</v>
      </c>
      <c r="T14" s="98">
        <f t="shared" si="1"/>
        <v>0</v>
      </c>
    </row>
    <row r="15" spans="1:20" x14ac:dyDescent="0.25">
      <c r="A15" s="15" t="s">
        <v>8</v>
      </c>
      <c r="B15" s="32">
        <v>-6741.84</v>
      </c>
      <c r="C15" s="19">
        <v>-1899.68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20">
        <f>B15+C15+D15+E15+F15+G15+H15+I15+J15+K15+L15+M15+N15+O15</f>
        <v>-8641.52</v>
      </c>
      <c r="Q15" s="21">
        <f>-P15/$P$12</f>
        <v>3.8075349406558621E-2</v>
      </c>
      <c r="S15" s="98">
        <f>SUM(B15:O15)</f>
        <v>-8641.52</v>
      </c>
      <c r="T15" s="98">
        <f t="shared" si="1"/>
        <v>0</v>
      </c>
    </row>
    <row r="16" spans="1:20" x14ac:dyDescent="0.25">
      <c r="A16" s="33" t="s">
        <v>9</v>
      </c>
      <c r="B16" s="32">
        <v>0</v>
      </c>
      <c r="C16" s="19">
        <f t="shared" ref="C16:C40" si="3">SUM(D16:O16)</f>
        <v>0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20">
        <f t="shared" ref="P16:P40" si="4">B16+C16+D16+E16+F16+G16+H16+I16+J16+K16+L16+M16+N16+O16</f>
        <v>0</v>
      </c>
      <c r="Q16" s="21">
        <f t="shared" ref="Q16:Q51" si="5">-P16/$P$12</f>
        <v>0</v>
      </c>
      <c r="S16" s="98">
        <f t="shared" si="0"/>
        <v>0</v>
      </c>
      <c r="T16" s="98">
        <f t="shared" si="1"/>
        <v>0</v>
      </c>
    </row>
    <row r="17" spans="1:20" x14ac:dyDescent="0.25">
      <c r="A17" s="15" t="s">
        <v>10</v>
      </c>
      <c r="B17" s="32">
        <v>0</v>
      </c>
      <c r="C17" s="19">
        <f t="shared" si="3"/>
        <v>0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20">
        <f t="shared" si="4"/>
        <v>0</v>
      </c>
      <c r="Q17" s="21">
        <f t="shared" si="5"/>
        <v>0</v>
      </c>
      <c r="S17" s="98">
        <f t="shared" si="0"/>
        <v>0</v>
      </c>
      <c r="T17" s="98">
        <f t="shared" si="1"/>
        <v>0</v>
      </c>
    </row>
    <row r="18" spans="1:20" x14ac:dyDescent="0.25">
      <c r="A18" s="33" t="s">
        <v>11</v>
      </c>
      <c r="B18" s="32">
        <v>-76.77</v>
      </c>
      <c r="C18" s="19">
        <v>-609.1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20">
        <f t="shared" si="4"/>
        <v>-685.87</v>
      </c>
      <c r="Q18" s="21">
        <f t="shared" si="5"/>
        <v>3.0220076904845859E-3</v>
      </c>
      <c r="S18" s="98">
        <f t="shared" si="0"/>
        <v>-685.87</v>
      </c>
      <c r="T18" s="98">
        <f t="shared" si="1"/>
        <v>0</v>
      </c>
    </row>
    <row r="19" spans="1:20" x14ac:dyDescent="0.25">
      <c r="A19" s="15" t="s">
        <v>12</v>
      </c>
      <c r="B19" s="32">
        <v>-5552.07</v>
      </c>
      <c r="C19" s="19">
        <v>-2435.9499999999998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20">
        <f t="shared" si="4"/>
        <v>-7988.0199999999995</v>
      </c>
      <c r="Q19" s="21">
        <f t="shared" si="5"/>
        <v>3.5195966978792889E-2</v>
      </c>
      <c r="S19" s="98">
        <f t="shared" si="0"/>
        <v>-7988.0199999999995</v>
      </c>
      <c r="T19" s="98">
        <f t="shared" si="1"/>
        <v>0</v>
      </c>
    </row>
    <row r="20" spans="1:20" x14ac:dyDescent="0.25">
      <c r="A20" s="15" t="s">
        <v>13</v>
      </c>
      <c r="B20" s="32">
        <v>-3141.8</v>
      </c>
      <c r="C20" s="19">
        <v>-1519.87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20">
        <f t="shared" si="4"/>
        <v>-4661.67</v>
      </c>
      <c r="Q20" s="21">
        <f t="shared" si="5"/>
        <v>2.0539756208175428E-2</v>
      </c>
      <c r="S20" s="98">
        <f t="shared" si="0"/>
        <v>-4661.67</v>
      </c>
      <c r="T20" s="98">
        <f t="shared" si="1"/>
        <v>0</v>
      </c>
    </row>
    <row r="21" spans="1:20" x14ac:dyDescent="0.25">
      <c r="A21" s="15" t="s">
        <v>14</v>
      </c>
      <c r="B21" s="32">
        <v>-250.8</v>
      </c>
      <c r="C21" s="19">
        <v>-219.26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20">
        <f t="shared" si="4"/>
        <v>-470.06</v>
      </c>
      <c r="Q21" s="21">
        <f t="shared" si="5"/>
        <v>2.0711285447521897E-3</v>
      </c>
      <c r="S21" s="98">
        <f t="shared" si="0"/>
        <v>-470.06</v>
      </c>
      <c r="T21" s="98">
        <f t="shared" si="1"/>
        <v>0</v>
      </c>
    </row>
    <row r="22" spans="1:20" x14ac:dyDescent="0.25">
      <c r="A22" s="15" t="s">
        <v>15</v>
      </c>
      <c r="B22" s="32">
        <v>0</v>
      </c>
      <c r="C22" s="19">
        <f t="shared" si="3"/>
        <v>0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20">
        <f t="shared" si="4"/>
        <v>0</v>
      </c>
      <c r="Q22" s="21">
        <f t="shared" si="5"/>
        <v>0</v>
      </c>
      <c r="S22" s="98">
        <f t="shared" si="0"/>
        <v>0</v>
      </c>
      <c r="T22" s="98">
        <f t="shared" si="1"/>
        <v>0</v>
      </c>
    </row>
    <row r="23" spans="1:20" x14ac:dyDescent="0.25">
      <c r="A23" s="15" t="s">
        <v>16</v>
      </c>
      <c r="B23" s="32">
        <v>-3455.99</v>
      </c>
      <c r="C23" s="19">
        <f t="shared" si="3"/>
        <v>0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20">
        <f t="shared" si="4"/>
        <v>-3455.99</v>
      </c>
      <c r="Q23" s="21">
        <f t="shared" si="5"/>
        <v>1.5227416796532613E-2</v>
      </c>
      <c r="S23" s="98">
        <f t="shared" si="0"/>
        <v>-3455.99</v>
      </c>
      <c r="T23" s="98">
        <f t="shared" si="1"/>
        <v>0</v>
      </c>
    </row>
    <row r="24" spans="1:20" x14ac:dyDescent="0.25">
      <c r="A24" s="15" t="s">
        <v>17</v>
      </c>
      <c r="B24" s="32">
        <v>0</v>
      </c>
      <c r="C24" s="19">
        <v>-1707.98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20">
        <f t="shared" si="4"/>
        <v>-1707.98</v>
      </c>
      <c r="Q24" s="21">
        <f t="shared" si="5"/>
        <v>7.5255204268941103E-3</v>
      </c>
      <c r="S24" s="98">
        <f t="shared" si="0"/>
        <v>-1707.98</v>
      </c>
      <c r="T24" s="98">
        <f t="shared" si="1"/>
        <v>0</v>
      </c>
    </row>
    <row r="25" spans="1:20" x14ac:dyDescent="0.25">
      <c r="A25" s="15" t="s">
        <v>18</v>
      </c>
      <c r="B25" s="32">
        <v>0</v>
      </c>
      <c r="C25" s="19">
        <f t="shared" si="3"/>
        <v>0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20">
        <f t="shared" si="4"/>
        <v>0</v>
      </c>
      <c r="Q25" s="21">
        <f t="shared" si="5"/>
        <v>0</v>
      </c>
      <c r="S25" s="98">
        <f t="shared" si="0"/>
        <v>0</v>
      </c>
      <c r="T25" s="98">
        <f t="shared" si="1"/>
        <v>0</v>
      </c>
    </row>
    <row r="26" spans="1:20" x14ac:dyDescent="0.25">
      <c r="A26" s="15" t="s">
        <v>19</v>
      </c>
      <c r="B26" s="32">
        <v>0</v>
      </c>
      <c r="C26" s="19">
        <f t="shared" si="3"/>
        <v>0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20">
        <f t="shared" si="4"/>
        <v>0</v>
      </c>
      <c r="Q26" s="21">
        <f t="shared" si="5"/>
        <v>0</v>
      </c>
      <c r="S26" s="98">
        <f t="shared" si="0"/>
        <v>0</v>
      </c>
      <c r="T26" s="98">
        <f t="shared" si="1"/>
        <v>0</v>
      </c>
    </row>
    <row r="27" spans="1:20" x14ac:dyDescent="0.25">
      <c r="A27" s="15" t="s">
        <v>20</v>
      </c>
      <c r="B27" s="32">
        <v>0</v>
      </c>
      <c r="C27" s="19">
        <f t="shared" si="3"/>
        <v>0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20">
        <f t="shared" si="4"/>
        <v>0</v>
      </c>
      <c r="Q27" s="21">
        <f t="shared" si="5"/>
        <v>0</v>
      </c>
      <c r="S27" s="98">
        <f t="shared" si="0"/>
        <v>0</v>
      </c>
      <c r="T27" s="98">
        <f t="shared" si="1"/>
        <v>0</v>
      </c>
    </row>
    <row r="28" spans="1:20" x14ac:dyDescent="0.25">
      <c r="A28" s="15" t="s">
        <v>59</v>
      </c>
      <c r="B28" s="32">
        <v>0</v>
      </c>
      <c r="C28" s="19">
        <f t="shared" si="3"/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20">
        <f t="shared" si="4"/>
        <v>0</v>
      </c>
      <c r="Q28" s="21">
        <f t="shared" si="5"/>
        <v>0</v>
      </c>
      <c r="S28" s="98">
        <f t="shared" si="0"/>
        <v>0</v>
      </c>
      <c r="T28" s="98">
        <f t="shared" si="1"/>
        <v>0</v>
      </c>
    </row>
    <row r="29" spans="1:20" x14ac:dyDescent="0.25">
      <c r="A29" s="15" t="s">
        <v>21</v>
      </c>
      <c r="B29" s="32">
        <v>-270</v>
      </c>
      <c r="C29" s="19">
        <v>-45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20">
        <f t="shared" si="4"/>
        <v>-315</v>
      </c>
      <c r="Q29" s="21">
        <f t="shared" si="5"/>
        <v>1.3879196094050542E-3</v>
      </c>
      <c r="S29" s="98">
        <f t="shared" si="0"/>
        <v>-315</v>
      </c>
      <c r="T29" s="98">
        <f t="shared" si="1"/>
        <v>0</v>
      </c>
    </row>
    <row r="30" spans="1:20" x14ac:dyDescent="0.25">
      <c r="A30" s="15" t="s">
        <v>22</v>
      </c>
      <c r="B30" s="32">
        <v>0</v>
      </c>
      <c r="C30" s="19">
        <f t="shared" si="3"/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20">
        <f t="shared" si="4"/>
        <v>0</v>
      </c>
      <c r="Q30" s="21">
        <f t="shared" si="5"/>
        <v>0</v>
      </c>
      <c r="S30" s="98">
        <f t="shared" si="0"/>
        <v>0</v>
      </c>
      <c r="T30" s="98">
        <f t="shared" si="1"/>
        <v>0</v>
      </c>
    </row>
    <row r="31" spans="1:20" x14ac:dyDescent="0.25">
      <c r="A31" s="33" t="s">
        <v>23</v>
      </c>
      <c r="B31" s="32">
        <v>-185.5</v>
      </c>
      <c r="C31" s="19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20">
        <f t="shared" si="4"/>
        <v>-185.5</v>
      </c>
      <c r="Q31" s="21">
        <f t="shared" si="5"/>
        <v>8.173304366496431E-4</v>
      </c>
      <c r="S31" s="98">
        <f t="shared" si="0"/>
        <v>-185.5</v>
      </c>
      <c r="T31" s="98">
        <f t="shared" si="1"/>
        <v>0</v>
      </c>
    </row>
    <row r="32" spans="1:20" x14ac:dyDescent="0.25">
      <c r="A32" s="15" t="s">
        <v>24</v>
      </c>
      <c r="B32" s="32">
        <v>-10832</v>
      </c>
      <c r="C32" s="19">
        <v>-4179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20">
        <f t="shared" si="4"/>
        <v>-15011</v>
      </c>
      <c r="Q32" s="21">
        <f t="shared" si="5"/>
        <v>6.6139877005648481E-2</v>
      </c>
      <c r="S32" s="98">
        <f t="shared" si="0"/>
        <v>-15011</v>
      </c>
      <c r="T32" s="98">
        <f t="shared" si="1"/>
        <v>0</v>
      </c>
    </row>
    <row r="33" spans="1:20" x14ac:dyDescent="0.25">
      <c r="A33" s="34" t="s">
        <v>25</v>
      </c>
      <c r="B33" s="32">
        <v>-35386.11</v>
      </c>
      <c r="C33" s="19">
        <v>-18241.45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20">
        <f t="shared" si="4"/>
        <v>-53627.56</v>
      </c>
      <c r="Q33" s="21">
        <f t="shared" si="5"/>
        <v>0.23628807024935272</v>
      </c>
      <c r="S33" s="98">
        <f t="shared" si="0"/>
        <v>-53627.56</v>
      </c>
      <c r="T33" s="98">
        <f t="shared" si="1"/>
        <v>0</v>
      </c>
    </row>
    <row r="34" spans="1:20" x14ac:dyDescent="0.25">
      <c r="A34" s="15" t="s">
        <v>26</v>
      </c>
      <c r="B34" s="32">
        <v>0</v>
      </c>
      <c r="C34" s="19">
        <v>-24080.32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20">
        <f t="shared" si="4"/>
        <v>-24080.32</v>
      </c>
      <c r="Q34" s="21">
        <f t="shared" si="5"/>
        <v>0.10610015342459909</v>
      </c>
      <c r="S34" s="98">
        <f t="shared" si="0"/>
        <v>-24080.32</v>
      </c>
      <c r="T34" s="98">
        <f t="shared" si="1"/>
        <v>0</v>
      </c>
    </row>
    <row r="35" spans="1:20" x14ac:dyDescent="0.25">
      <c r="A35" s="15" t="s">
        <v>27</v>
      </c>
      <c r="B35" s="32">
        <v>0</v>
      </c>
      <c r="C35" s="19">
        <f t="shared" si="3"/>
        <v>0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20">
        <f t="shared" si="4"/>
        <v>0</v>
      </c>
      <c r="Q35" s="21">
        <f t="shared" si="5"/>
        <v>0</v>
      </c>
      <c r="S35" s="98">
        <f t="shared" si="0"/>
        <v>0</v>
      </c>
      <c r="T35" s="98">
        <f t="shared" si="1"/>
        <v>0</v>
      </c>
    </row>
    <row r="36" spans="1:20" x14ac:dyDescent="0.25">
      <c r="A36" s="33" t="s">
        <v>28</v>
      </c>
      <c r="B36" s="32">
        <v>-357.92</v>
      </c>
      <c r="C36" s="19">
        <v>-442.75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20">
        <f t="shared" si="4"/>
        <v>-800.67000000000007</v>
      </c>
      <c r="Q36" s="21">
        <f t="shared" si="5"/>
        <v>3.5278272814677617E-3</v>
      </c>
      <c r="S36" s="98">
        <f t="shared" si="0"/>
        <v>-800.67000000000007</v>
      </c>
      <c r="T36" s="98">
        <f t="shared" si="1"/>
        <v>0</v>
      </c>
    </row>
    <row r="37" spans="1:20" x14ac:dyDescent="0.25">
      <c r="A37" s="15" t="s">
        <v>29</v>
      </c>
      <c r="B37" s="32">
        <v>-1625.5</v>
      </c>
      <c r="C37" s="19">
        <v>-2112.79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20">
        <f t="shared" si="4"/>
        <v>-3738.29</v>
      </c>
      <c r="Q37" s="21">
        <f t="shared" si="5"/>
        <v>1.6471257132199428E-2</v>
      </c>
      <c r="S37" s="98">
        <f t="shared" si="0"/>
        <v>-3738.29</v>
      </c>
      <c r="T37" s="98">
        <f t="shared" si="1"/>
        <v>0</v>
      </c>
    </row>
    <row r="38" spans="1:20" x14ac:dyDescent="0.25">
      <c r="A38" s="15" t="s">
        <v>30</v>
      </c>
      <c r="B38" s="32">
        <v>-4392.57</v>
      </c>
      <c r="C38" s="19">
        <v>-1826.97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20">
        <f t="shared" si="4"/>
        <v>-6219.54</v>
      </c>
      <c r="Q38" s="21">
        <f t="shared" si="5"/>
        <v>2.7403877865013051E-2</v>
      </c>
      <c r="S38" s="98">
        <f t="shared" si="0"/>
        <v>-6219.54</v>
      </c>
      <c r="T38" s="98">
        <f t="shared" si="1"/>
        <v>0</v>
      </c>
    </row>
    <row r="39" spans="1:20" x14ac:dyDescent="0.25">
      <c r="A39" s="15" t="s">
        <v>97</v>
      </c>
      <c r="B39" s="32">
        <v>0</v>
      </c>
      <c r="C39" s="19">
        <f t="shared" si="3"/>
        <v>0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20">
        <f t="shared" si="4"/>
        <v>0</v>
      </c>
      <c r="Q39" s="21">
        <f t="shared" si="5"/>
        <v>0</v>
      </c>
      <c r="S39" s="98">
        <f t="shared" si="0"/>
        <v>0</v>
      </c>
      <c r="T39" s="98">
        <f t="shared" si="1"/>
        <v>0</v>
      </c>
    </row>
    <row r="40" spans="1:20" x14ac:dyDescent="0.25">
      <c r="A40" s="15" t="s">
        <v>114</v>
      </c>
      <c r="B40" s="32">
        <v>0</v>
      </c>
      <c r="C40" s="19">
        <f t="shared" si="3"/>
        <v>0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20">
        <f t="shared" si="4"/>
        <v>0</v>
      </c>
      <c r="Q40" s="21">
        <f t="shared" si="5"/>
        <v>0</v>
      </c>
      <c r="S40" s="98">
        <f t="shared" si="0"/>
        <v>0</v>
      </c>
      <c r="T40" s="98">
        <f t="shared" si="1"/>
        <v>0</v>
      </c>
    </row>
    <row r="41" spans="1:20" x14ac:dyDescent="0.25">
      <c r="A41" s="35" t="s">
        <v>31</v>
      </c>
      <c r="B41" s="36">
        <f>SUM(B15:B40)</f>
        <v>-72268.87</v>
      </c>
      <c r="C41" s="36">
        <f>SUM(C15:C40)</f>
        <v>-59320.12</v>
      </c>
      <c r="D41" s="36">
        <f t="shared" ref="D41:O41" si="6">SUM(D15:D40)</f>
        <v>0</v>
      </c>
      <c r="E41" s="36">
        <f t="shared" si="6"/>
        <v>0</v>
      </c>
      <c r="F41" s="36">
        <f t="shared" si="6"/>
        <v>0</v>
      </c>
      <c r="G41" s="36">
        <f t="shared" si="6"/>
        <v>0</v>
      </c>
      <c r="H41" s="36">
        <f t="shared" si="6"/>
        <v>0</v>
      </c>
      <c r="I41" s="36">
        <f t="shared" si="6"/>
        <v>0</v>
      </c>
      <c r="J41" s="36">
        <f t="shared" si="6"/>
        <v>0</v>
      </c>
      <c r="K41" s="36">
        <f t="shared" si="6"/>
        <v>0</v>
      </c>
      <c r="L41" s="36">
        <f t="shared" si="6"/>
        <v>0</v>
      </c>
      <c r="M41" s="36">
        <f t="shared" si="6"/>
        <v>0</v>
      </c>
      <c r="N41" s="36">
        <f t="shared" si="6"/>
        <v>0</v>
      </c>
      <c r="O41" s="36">
        <f t="shared" si="6"/>
        <v>0</v>
      </c>
      <c r="P41" s="36">
        <f>SUM(P15:P40)</f>
        <v>-131588.99</v>
      </c>
      <c r="Q41" s="21">
        <f t="shared" si="5"/>
        <v>0.57979345905652568</v>
      </c>
      <c r="S41" s="98">
        <f t="shared" si="0"/>
        <v>-131588.99</v>
      </c>
      <c r="T41" s="98">
        <f t="shared" si="1"/>
        <v>0</v>
      </c>
    </row>
    <row r="42" spans="1:20" x14ac:dyDescent="0.25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18"/>
      <c r="S42" s="98">
        <f t="shared" si="0"/>
        <v>0</v>
      </c>
      <c r="T42" s="98">
        <f t="shared" si="1"/>
        <v>0</v>
      </c>
    </row>
    <row r="43" spans="1:20" x14ac:dyDescent="0.25">
      <c r="A43" s="39" t="s">
        <v>32</v>
      </c>
      <c r="B43" s="40">
        <f t="shared" ref="B43:O43" si="7">B12+B41</f>
        <v>96882.520000000019</v>
      </c>
      <c r="C43" s="40">
        <f t="shared" si="7"/>
        <v>-1513.1200000000026</v>
      </c>
      <c r="D43" s="40">
        <f t="shared" si="7"/>
        <v>0</v>
      </c>
      <c r="E43" s="58">
        <f t="shared" si="7"/>
        <v>0</v>
      </c>
      <c r="F43" s="40">
        <f t="shared" si="7"/>
        <v>0</v>
      </c>
      <c r="G43" s="58">
        <f t="shared" si="7"/>
        <v>0</v>
      </c>
      <c r="H43" s="58">
        <f t="shared" si="7"/>
        <v>0</v>
      </c>
      <c r="I43" s="40">
        <f t="shared" si="7"/>
        <v>0</v>
      </c>
      <c r="J43" s="58">
        <f t="shared" si="7"/>
        <v>0</v>
      </c>
      <c r="K43" s="58">
        <f t="shared" si="7"/>
        <v>0</v>
      </c>
      <c r="L43" s="58">
        <f t="shared" si="7"/>
        <v>0</v>
      </c>
      <c r="M43" s="58">
        <f t="shared" si="7"/>
        <v>0</v>
      </c>
      <c r="N43" s="58">
        <f t="shared" si="7"/>
        <v>0</v>
      </c>
      <c r="O43" s="58">
        <f t="shared" si="7"/>
        <v>0</v>
      </c>
      <c r="P43" s="40">
        <f>B43+C43+D43+E43+F43+G43+H43+I43+J43+K43+L43+M43+N43+O43</f>
        <v>95369.400000000023</v>
      </c>
      <c r="Q43" s="21">
        <f>P43/$P$12</f>
        <v>0.42020654094347432</v>
      </c>
      <c r="S43" s="98">
        <f>SUM(B43:O43)</f>
        <v>95369.400000000023</v>
      </c>
      <c r="T43" s="98">
        <f t="shared" si="1"/>
        <v>0</v>
      </c>
    </row>
    <row r="44" spans="1:20" x14ac:dyDescent="0.25">
      <c r="A44" s="41"/>
      <c r="B44" s="42"/>
      <c r="C44" s="42"/>
      <c r="D44" s="42"/>
      <c r="E44" s="42"/>
      <c r="F44" s="42"/>
      <c r="G44" s="42"/>
      <c r="H44" s="42"/>
      <c r="I44" s="42"/>
      <c r="J44" s="42">
        <f t="shared" ref="J44:O44" si="8">SUM(J12,J41)</f>
        <v>0</v>
      </c>
      <c r="K44" s="42">
        <f t="shared" si="8"/>
        <v>0</v>
      </c>
      <c r="L44" s="42">
        <f t="shared" si="8"/>
        <v>0</v>
      </c>
      <c r="M44" s="42">
        <f t="shared" si="8"/>
        <v>0</v>
      </c>
      <c r="N44" s="42">
        <f t="shared" si="8"/>
        <v>0</v>
      </c>
      <c r="O44" s="42">
        <f t="shared" si="8"/>
        <v>0</v>
      </c>
      <c r="P44" s="42"/>
      <c r="Q44" s="44"/>
      <c r="S44" s="98">
        <f t="shared" si="0"/>
        <v>0</v>
      </c>
      <c r="T44" s="98"/>
    </row>
    <row r="45" spans="1:20" x14ac:dyDescent="0.25">
      <c r="A45" s="29" t="s">
        <v>56</v>
      </c>
      <c r="B45" s="45">
        <f t="shared" ref="B45:L45" si="9">-B10*13.15%</f>
        <v>-22243.407785000003</v>
      </c>
      <c r="C45" s="45">
        <f t="shared" si="9"/>
        <v>-7601.6205</v>
      </c>
      <c r="D45" s="45">
        <f t="shared" si="9"/>
        <v>0</v>
      </c>
      <c r="E45" s="45">
        <f t="shared" si="9"/>
        <v>0</v>
      </c>
      <c r="F45" s="45">
        <f t="shared" si="9"/>
        <v>0</v>
      </c>
      <c r="G45" s="45">
        <f t="shared" si="9"/>
        <v>0</v>
      </c>
      <c r="H45" s="45">
        <f t="shared" si="9"/>
        <v>0</v>
      </c>
      <c r="I45" s="45">
        <f t="shared" si="9"/>
        <v>0</v>
      </c>
      <c r="J45" s="45">
        <f t="shared" si="9"/>
        <v>0</v>
      </c>
      <c r="K45" s="45">
        <f t="shared" si="9"/>
        <v>0</v>
      </c>
      <c r="L45" s="45">
        <f t="shared" si="9"/>
        <v>0</v>
      </c>
      <c r="M45" s="45">
        <f>-M10*13.15%</f>
        <v>0</v>
      </c>
      <c r="N45" s="45">
        <f t="shared" ref="N45:O45" si="10">-N10*13.15%</f>
        <v>0</v>
      </c>
      <c r="O45" s="45">
        <f t="shared" si="10"/>
        <v>0</v>
      </c>
      <c r="P45" s="20">
        <f t="shared" ref="P45" si="11">B45+C45+D45+E45+F45+G45+H45+I45+J45+K45+L45+M45+N45+O45</f>
        <v>-29845.028285000004</v>
      </c>
      <c r="Q45" s="21">
        <f t="shared" si="5"/>
        <v>0.13150000000000001</v>
      </c>
      <c r="S45" s="98">
        <f t="shared" si="0"/>
        <v>-29845.028285000004</v>
      </c>
      <c r="T45" s="98">
        <f t="shared" si="1"/>
        <v>0</v>
      </c>
    </row>
    <row r="46" spans="1:20" x14ac:dyDescent="0.25">
      <c r="A46" s="41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4"/>
      <c r="S46" s="98">
        <f t="shared" si="0"/>
        <v>0</v>
      </c>
      <c r="T46" s="98">
        <f t="shared" si="1"/>
        <v>0</v>
      </c>
    </row>
    <row r="47" spans="1:20" x14ac:dyDescent="0.25">
      <c r="A47" s="29" t="s">
        <v>33</v>
      </c>
      <c r="B47" s="45">
        <f t="shared" ref="B47:O47" si="12">-B10*1.22%</f>
        <v>-2063.6469579999998</v>
      </c>
      <c r="C47" s="45">
        <f t="shared" si="12"/>
        <v>-705.2453999999999</v>
      </c>
      <c r="D47" s="45">
        <f t="shared" si="12"/>
        <v>0</v>
      </c>
      <c r="E47" s="45">
        <f t="shared" si="12"/>
        <v>0</v>
      </c>
      <c r="F47" s="45">
        <f t="shared" si="12"/>
        <v>0</v>
      </c>
      <c r="G47" s="45">
        <f t="shared" si="12"/>
        <v>0</v>
      </c>
      <c r="H47" s="45">
        <f t="shared" si="12"/>
        <v>0</v>
      </c>
      <c r="I47" s="45">
        <f t="shared" si="12"/>
        <v>0</v>
      </c>
      <c r="J47" s="45">
        <f t="shared" si="12"/>
        <v>0</v>
      </c>
      <c r="K47" s="45">
        <f t="shared" si="12"/>
        <v>0</v>
      </c>
      <c r="L47" s="45">
        <f t="shared" si="12"/>
        <v>0</v>
      </c>
      <c r="M47" s="45">
        <f t="shared" si="12"/>
        <v>0</v>
      </c>
      <c r="N47" s="45">
        <f t="shared" si="12"/>
        <v>0</v>
      </c>
      <c r="O47" s="45">
        <f t="shared" si="12"/>
        <v>0</v>
      </c>
      <c r="P47" s="20">
        <f t="shared" ref="P47" si="13">B47+C47+D47+E47+F47+G47+H47+I47+J47+K47+L47+M47+N47+O47</f>
        <v>-2768.8923579999996</v>
      </c>
      <c r="Q47" s="21">
        <f t="shared" si="5"/>
        <v>1.2199999999999997E-2</v>
      </c>
      <c r="S47" s="98">
        <f t="shared" si="0"/>
        <v>-2768.8923579999996</v>
      </c>
      <c r="T47" s="98">
        <f t="shared" si="1"/>
        <v>0</v>
      </c>
    </row>
    <row r="48" spans="1:20" x14ac:dyDescent="0.25">
      <c r="A48" s="43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4"/>
      <c r="S48" s="98">
        <f t="shared" si="0"/>
        <v>0</v>
      </c>
      <c r="T48" s="98">
        <f t="shared" si="1"/>
        <v>0</v>
      </c>
    </row>
    <row r="49" spans="1:20" x14ac:dyDescent="0.25">
      <c r="A49" s="48" t="s">
        <v>57</v>
      </c>
      <c r="B49" s="49">
        <f t="shared" ref="B49:N49" si="14">B41*5.56%</f>
        <v>-4018.1491719999995</v>
      </c>
      <c r="C49" s="49">
        <f t="shared" si="14"/>
        <v>-3298.198672</v>
      </c>
      <c r="D49" s="49">
        <f t="shared" si="14"/>
        <v>0</v>
      </c>
      <c r="E49" s="49">
        <f t="shared" si="14"/>
        <v>0</v>
      </c>
      <c r="F49" s="49">
        <f t="shared" si="14"/>
        <v>0</v>
      </c>
      <c r="G49" s="49">
        <f t="shared" si="14"/>
        <v>0</v>
      </c>
      <c r="H49" s="49">
        <f>H41*5.56%</f>
        <v>0</v>
      </c>
      <c r="I49" s="49">
        <f t="shared" si="14"/>
        <v>0</v>
      </c>
      <c r="J49" s="49">
        <f t="shared" si="14"/>
        <v>0</v>
      </c>
      <c r="K49" s="49">
        <f t="shared" si="14"/>
        <v>0</v>
      </c>
      <c r="L49" s="49">
        <f t="shared" si="14"/>
        <v>0</v>
      </c>
      <c r="M49" s="49">
        <f t="shared" si="14"/>
        <v>0</v>
      </c>
      <c r="N49" s="49">
        <f t="shared" si="14"/>
        <v>0</v>
      </c>
      <c r="O49" s="49">
        <f>O41*5.56%</f>
        <v>0</v>
      </c>
      <c r="P49" s="20">
        <f t="shared" ref="P49" si="15">B49+C49+D49+E49+F49+G49+H49+I49+J49+K49+L49+M49+N49+O49</f>
        <v>-7316.3478439999999</v>
      </c>
      <c r="Q49" s="21">
        <f t="shared" si="5"/>
        <v>3.2236516323542831E-2</v>
      </c>
      <c r="S49" s="98">
        <f t="shared" si="0"/>
        <v>-7316.3478439999999</v>
      </c>
      <c r="T49" s="98">
        <f t="shared" si="1"/>
        <v>0</v>
      </c>
    </row>
    <row r="50" spans="1:20" x14ac:dyDescent="0.25">
      <c r="A50" s="43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4"/>
      <c r="S50" s="98">
        <f t="shared" si="0"/>
        <v>0</v>
      </c>
      <c r="T50" s="98">
        <f t="shared" si="1"/>
        <v>0</v>
      </c>
    </row>
    <row r="51" spans="1:20" x14ac:dyDescent="0.25">
      <c r="A51" s="48" t="s">
        <v>58</v>
      </c>
      <c r="B51" s="49">
        <f t="shared" ref="B51:L51" si="16">B41*0.01%</f>
        <v>-7.2268869999999996</v>
      </c>
      <c r="C51" s="49">
        <f t="shared" si="16"/>
        <v>-5.9320120000000003</v>
      </c>
      <c r="D51" s="49">
        <f t="shared" si="16"/>
        <v>0</v>
      </c>
      <c r="E51" s="49">
        <f t="shared" si="16"/>
        <v>0</v>
      </c>
      <c r="F51" s="49">
        <f t="shared" si="16"/>
        <v>0</v>
      </c>
      <c r="G51" s="49">
        <f t="shared" si="16"/>
        <v>0</v>
      </c>
      <c r="H51" s="49">
        <f t="shared" si="16"/>
        <v>0</v>
      </c>
      <c r="I51" s="49">
        <f t="shared" si="16"/>
        <v>0</v>
      </c>
      <c r="J51" s="49">
        <f t="shared" si="16"/>
        <v>0</v>
      </c>
      <c r="K51" s="49">
        <f t="shared" si="16"/>
        <v>0</v>
      </c>
      <c r="L51" s="49">
        <f t="shared" si="16"/>
        <v>0</v>
      </c>
      <c r="M51" s="49">
        <f>M41*0.01%</f>
        <v>0</v>
      </c>
      <c r="N51" s="49">
        <f t="shared" ref="N51" si="17">N41*0.01%</f>
        <v>0</v>
      </c>
      <c r="O51" s="49">
        <f>O41*0.01%</f>
        <v>0</v>
      </c>
      <c r="P51" s="20">
        <f t="shared" ref="P51" si="18">B51+C51+D51+E51+F51+G51+H51+I51+J51+K51+L51+M51+N51+O51</f>
        <v>-13.158899</v>
      </c>
      <c r="Q51" s="21">
        <f t="shared" si="5"/>
        <v>5.7979345905652573E-5</v>
      </c>
      <c r="S51" s="98">
        <f t="shared" si="0"/>
        <v>-13.158899</v>
      </c>
      <c r="T51" s="98">
        <f t="shared" si="1"/>
        <v>0</v>
      </c>
    </row>
    <row r="52" spans="1:20" x14ac:dyDescent="0.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4"/>
      <c r="S52" s="98">
        <f t="shared" si="0"/>
        <v>0</v>
      </c>
      <c r="T52" s="98">
        <f t="shared" si="1"/>
        <v>0</v>
      </c>
    </row>
    <row r="53" spans="1:20" x14ac:dyDescent="0.25">
      <c r="A53" s="39" t="s">
        <v>101</v>
      </c>
      <c r="B53" s="40">
        <f>B43+B49+B51+B45+B47</f>
        <v>68550.089198000016</v>
      </c>
      <c r="C53" s="40">
        <f>C43+C49+C51+C45+C47</f>
        <v>-13124.116584000003</v>
      </c>
      <c r="D53" s="40">
        <f>D43+D49+D51+D45+D47</f>
        <v>0</v>
      </c>
      <c r="E53" s="58">
        <f>E43+E49+E51+E45+E47</f>
        <v>0</v>
      </c>
      <c r="F53" s="40">
        <f>F43+F49+F51+F45+F47</f>
        <v>0</v>
      </c>
      <c r="G53" s="58">
        <f t="shared" ref="G53:N53" si="19">G43+G49+G51+G45+G47</f>
        <v>0</v>
      </c>
      <c r="H53" s="58">
        <f t="shared" si="19"/>
        <v>0</v>
      </c>
      <c r="I53" s="58">
        <f t="shared" si="19"/>
        <v>0</v>
      </c>
      <c r="J53" s="58">
        <f t="shared" si="19"/>
        <v>0</v>
      </c>
      <c r="K53" s="58">
        <f t="shared" si="19"/>
        <v>0</v>
      </c>
      <c r="L53" s="58">
        <f t="shared" si="19"/>
        <v>0</v>
      </c>
      <c r="M53" s="58">
        <f t="shared" si="19"/>
        <v>0</v>
      </c>
      <c r="N53" s="58">
        <f t="shared" si="19"/>
        <v>0</v>
      </c>
      <c r="O53" s="58">
        <f>O43+O49+O51+O45+O47</f>
        <v>0</v>
      </c>
      <c r="P53" s="40">
        <f>B53+C53+D53+E53+F53+G53+H53+I53+J53+K53+L53+M53+N53+O53</f>
        <v>55425.972614000013</v>
      </c>
      <c r="Q53" s="21">
        <f>P53/$P$12</f>
        <v>0.24421204527402582</v>
      </c>
      <c r="S53" s="98">
        <f>SUM(B53:O53)</f>
        <v>55425.972614000013</v>
      </c>
      <c r="T53" s="98">
        <f t="shared" si="1"/>
        <v>0</v>
      </c>
    </row>
    <row r="54" spans="1:20" x14ac:dyDescent="0.2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</row>
    <row r="55" spans="1:20" x14ac:dyDescent="0.25">
      <c r="A55" s="52" t="s">
        <v>35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53"/>
      <c r="Q55" s="50"/>
    </row>
    <row r="56" spans="1:20" x14ac:dyDescent="0.25">
      <c r="A56" s="81"/>
      <c r="B56" s="102"/>
      <c r="C56" s="102"/>
      <c r="D56" s="102"/>
      <c r="E56" s="102"/>
      <c r="F56" s="210"/>
      <c r="G56" s="210"/>
      <c r="H56" s="210"/>
      <c r="I56" s="210"/>
      <c r="J56" s="210"/>
      <c r="K56" s="102"/>
      <c r="L56" s="102"/>
      <c r="M56" s="102"/>
      <c r="N56" s="102"/>
      <c r="O56" s="102"/>
      <c r="P56" s="102"/>
    </row>
    <row r="57" spans="1:20" x14ac:dyDescent="0.25">
      <c r="A57" s="54" t="s">
        <v>36</v>
      </c>
      <c r="B57" s="100"/>
      <c r="C57" s="100"/>
      <c r="D57" s="83"/>
      <c r="Q57" s="89">
        <v>45688</v>
      </c>
    </row>
    <row r="58" spans="1:20" x14ac:dyDescent="0.25">
      <c r="B58" s="98">
        <f>B12+B41+B45+B47+B49+B51</f>
        <v>68550.089198000016</v>
      </c>
      <c r="C58" s="98">
        <f>C12+C41+C45+C47+C49+C51</f>
        <v>-13124.116584000003</v>
      </c>
      <c r="D58" s="98">
        <f t="shared" ref="D58:P58" si="20">D12+D41+D45+D47+D49+D51</f>
        <v>0</v>
      </c>
      <c r="E58" s="98">
        <f t="shared" si="20"/>
        <v>0</v>
      </c>
      <c r="F58" s="98">
        <f t="shared" si="20"/>
        <v>0</v>
      </c>
      <c r="G58" s="98">
        <f t="shared" si="20"/>
        <v>0</v>
      </c>
      <c r="H58" s="98">
        <f t="shared" si="20"/>
        <v>0</v>
      </c>
      <c r="I58" s="98">
        <f t="shared" si="20"/>
        <v>0</v>
      </c>
      <c r="J58" s="98">
        <f t="shared" si="20"/>
        <v>0</v>
      </c>
      <c r="K58" s="98">
        <f t="shared" si="20"/>
        <v>0</v>
      </c>
      <c r="L58" s="98">
        <f t="shared" si="20"/>
        <v>0</v>
      </c>
      <c r="M58" s="98">
        <f t="shared" si="20"/>
        <v>0</v>
      </c>
      <c r="N58" s="98">
        <f t="shared" si="20"/>
        <v>0</v>
      </c>
      <c r="O58" s="98">
        <f t="shared" si="20"/>
        <v>0</v>
      </c>
      <c r="P58" s="98">
        <f t="shared" si="20"/>
        <v>55425.972614000013</v>
      </c>
    </row>
    <row r="60" spans="1:20" x14ac:dyDescent="0.25">
      <c r="B60" s="98">
        <f>B53-B58</f>
        <v>0</v>
      </c>
      <c r="C60" s="98">
        <f>C53-C58</f>
        <v>0</v>
      </c>
      <c r="D60" s="98">
        <f t="shared" ref="D60:P60" si="21">D53-D58</f>
        <v>0</v>
      </c>
      <c r="E60" s="98">
        <f t="shared" si="21"/>
        <v>0</v>
      </c>
      <c r="F60" s="98">
        <f t="shared" si="21"/>
        <v>0</v>
      </c>
      <c r="G60" s="98">
        <f t="shared" si="21"/>
        <v>0</v>
      </c>
      <c r="H60" s="98">
        <f t="shared" si="21"/>
        <v>0</v>
      </c>
      <c r="I60" s="98">
        <f t="shared" si="21"/>
        <v>0</v>
      </c>
      <c r="J60" s="98">
        <f t="shared" si="21"/>
        <v>0</v>
      </c>
      <c r="K60" s="98">
        <f t="shared" si="21"/>
        <v>0</v>
      </c>
      <c r="L60" s="98">
        <f t="shared" si="21"/>
        <v>0</v>
      </c>
      <c r="M60" s="98">
        <f t="shared" si="21"/>
        <v>0</v>
      </c>
      <c r="N60" s="98">
        <f t="shared" si="21"/>
        <v>0</v>
      </c>
      <c r="O60" s="98">
        <f t="shared" si="21"/>
        <v>0</v>
      </c>
      <c r="P60" s="98">
        <f t="shared" si="21"/>
        <v>0</v>
      </c>
    </row>
  </sheetData>
  <mergeCells count="4">
    <mergeCell ref="F56:J56"/>
    <mergeCell ref="A1:P1"/>
    <mergeCell ref="A3:Q3"/>
    <mergeCell ref="A5:P5"/>
  </mergeCells>
  <conditionalFormatting sqref="G53">
    <cfRule type="cellIs" dxfId="169" priority="5" operator="lessThan">
      <formula>0</formula>
    </cfRule>
    <cfRule type="cellIs" dxfId="168" priority="6" operator="greaterThan">
      <formula>0</formula>
    </cfRule>
  </conditionalFormatting>
  <conditionalFormatting sqref="I53:J53">
    <cfRule type="cellIs" dxfId="167" priority="3" operator="lessThan">
      <formula>0</formula>
    </cfRule>
    <cfRule type="cellIs" dxfId="166" priority="4" operator="greaterThan">
      <formula>0</formula>
    </cfRule>
  </conditionalFormatting>
  <conditionalFormatting sqref="L53">
    <cfRule type="cellIs" dxfId="165" priority="1" operator="lessThan">
      <formula>0</formula>
    </cfRule>
    <cfRule type="cellIs" dxfId="164" priority="2" operator="greaterThan">
      <formula>0</formula>
    </cfRule>
  </conditionalFormatting>
  <printOptions horizontalCentered="1" verticalCentered="1"/>
  <pageMargins left="0.19685039370078741" right="0.11811023622047245" top="0.39370078740157483" bottom="0" header="0.19685039370078741" footer="0"/>
  <pageSetup paperSize="9" scale="66" orientation="landscape" r:id="rId1"/>
  <headerFooter>
    <oddHeader xml:space="preserve">&amp;C&amp;"-,Negrito"&amp;14                                                                  BELA NOVA CONSTRUTORA LTDA                                                                         </oddHeader>
  </headerFooter>
  <ignoredErrors>
    <ignoredError sqref="S54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W63"/>
  <sheetViews>
    <sheetView topLeftCell="A22" zoomScale="85" zoomScaleNormal="85" workbookViewId="0">
      <pane xSplit="1" topLeftCell="K1" activePane="topRight" state="frozen"/>
      <selection pane="topRight" activeCell="K20" sqref="K20"/>
    </sheetView>
  </sheetViews>
  <sheetFormatPr defaultColWidth="9.140625" defaultRowHeight="12.75" x14ac:dyDescent="0.2"/>
  <cols>
    <col min="1" max="1" width="42" style="10" customWidth="1"/>
    <col min="2" max="2" width="17.7109375" style="10" bestFit="1" customWidth="1"/>
    <col min="3" max="3" width="18" style="10" bestFit="1" customWidth="1"/>
    <col min="4" max="5" width="18" style="10" customWidth="1"/>
    <col min="6" max="6" width="16.140625" style="10" customWidth="1"/>
    <col min="7" max="7" width="16.28515625" style="10" customWidth="1"/>
    <col min="8" max="8" width="16.85546875" style="10" customWidth="1"/>
    <col min="9" max="9" width="15.140625" style="10" customWidth="1"/>
    <col min="10" max="10" width="14.5703125" style="10" customWidth="1"/>
    <col min="11" max="11" width="16.140625" style="10" customWidth="1"/>
    <col min="12" max="12" width="16.7109375" style="10" hidden="1" customWidth="1"/>
    <col min="13" max="15" width="16.140625" style="10" hidden="1" customWidth="1"/>
    <col min="16" max="16" width="16.85546875" style="10" hidden="1" customWidth="1"/>
    <col min="17" max="17" width="16.7109375" style="10" hidden="1" customWidth="1"/>
    <col min="18" max="18" width="18.42578125" style="10" bestFit="1" customWidth="1"/>
    <col min="19" max="19" width="11.140625" style="10" bestFit="1" customWidth="1"/>
    <col min="20" max="20" width="3.7109375" style="10" customWidth="1"/>
    <col min="21" max="21" width="16" style="10" bestFit="1" customWidth="1"/>
    <col min="22" max="22" width="14.28515625" style="10" bestFit="1" customWidth="1"/>
    <col min="23" max="23" width="15.85546875" style="10" bestFit="1" customWidth="1"/>
    <col min="24" max="16384" width="9.140625" style="10"/>
  </cols>
  <sheetData>
    <row r="1" spans="1:23" ht="15.75" x14ac:dyDescent="0.25">
      <c r="A1" s="203" t="s">
        <v>151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</row>
    <row r="2" spans="1:23" ht="10.15" customHeight="1" x14ac:dyDescent="0.2"/>
    <row r="3" spans="1:23" ht="15.6" customHeight="1" x14ac:dyDescent="0.25">
      <c r="A3" s="209" t="s">
        <v>186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</row>
    <row r="4" spans="1:23" ht="9.75" customHeight="1" x14ac:dyDescent="0.25">
      <c r="A4" s="71"/>
      <c r="B4" s="71"/>
      <c r="C4" s="71"/>
      <c r="D4" s="71"/>
      <c r="E4" s="71"/>
    </row>
    <row r="5" spans="1:23" ht="15.6" customHeight="1" x14ac:dyDescent="0.25">
      <c r="A5" s="209" t="s">
        <v>66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</row>
    <row r="6" spans="1:23" ht="9.75" customHeight="1" x14ac:dyDescent="0.25">
      <c r="A6" s="71"/>
      <c r="B6" s="71"/>
      <c r="C6" s="71"/>
      <c r="D6" s="71"/>
      <c r="E6" s="71"/>
    </row>
    <row r="7" spans="1:23" ht="15.6" customHeight="1" x14ac:dyDescent="0.25">
      <c r="A7" s="209" t="s">
        <v>67</v>
      </c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</row>
    <row r="8" spans="1:23" ht="9.6" customHeight="1" x14ac:dyDescent="0.2"/>
    <row r="9" spans="1:23" ht="10.15" customHeight="1" x14ac:dyDescent="0.2"/>
    <row r="10" spans="1:23" ht="15" x14ac:dyDescent="0.2">
      <c r="A10" s="12"/>
      <c r="B10" s="60" t="s">
        <v>86</v>
      </c>
      <c r="C10" s="60" t="s">
        <v>122</v>
      </c>
      <c r="D10" s="60" t="s">
        <v>221</v>
      </c>
      <c r="E10" s="60" t="s">
        <v>303</v>
      </c>
      <c r="F10" s="60" t="s">
        <v>304</v>
      </c>
      <c r="G10" s="60" t="s">
        <v>305</v>
      </c>
      <c r="H10" s="60" t="s">
        <v>306</v>
      </c>
      <c r="I10" s="60" t="s">
        <v>307</v>
      </c>
      <c r="J10" s="60" t="s">
        <v>308</v>
      </c>
      <c r="K10" s="60" t="s">
        <v>309</v>
      </c>
      <c r="L10" s="60" t="s">
        <v>310</v>
      </c>
      <c r="M10" s="60" t="s">
        <v>311</v>
      </c>
      <c r="N10" s="60" t="s">
        <v>312</v>
      </c>
      <c r="O10" s="60" t="s">
        <v>313</v>
      </c>
      <c r="P10" s="60" t="s">
        <v>314</v>
      </c>
      <c r="Q10" s="60" t="s">
        <v>225</v>
      </c>
      <c r="R10" s="13" t="s">
        <v>1</v>
      </c>
      <c r="S10" s="14" t="s">
        <v>2</v>
      </c>
      <c r="W10" s="104">
        <v>2025</v>
      </c>
    </row>
    <row r="11" spans="1:23" ht="15" x14ac:dyDescent="0.2">
      <c r="A11" s="15" t="s">
        <v>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/>
      <c r="S11" s="18"/>
    </row>
    <row r="12" spans="1:23" ht="15" x14ac:dyDescent="0.2">
      <c r="A12" s="15" t="s">
        <v>4</v>
      </c>
      <c r="B12" s="19">
        <v>95153.94</v>
      </c>
      <c r="C12" s="19">
        <f>1095952.49-B12</f>
        <v>1000798.55</v>
      </c>
      <c r="D12" s="19">
        <v>4628367.4400000004</v>
      </c>
      <c r="E12" s="19">
        <v>3617151.02</v>
      </c>
      <c r="F12" s="19">
        <v>120000</v>
      </c>
      <c r="G12" s="19">
        <v>0</v>
      </c>
      <c r="H12" s="19">
        <v>30000</v>
      </c>
      <c r="I12" s="19">
        <v>0</v>
      </c>
      <c r="J12" s="19">
        <v>0</v>
      </c>
      <c r="K12" s="19">
        <v>30000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20">
        <f>SUM(B12:Q12)</f>
        <v>9521470.9500000011</v>
      </c>
      <c r="S12" s="21">
        <v>1</v>
      </c>
      <c r="U12" s="70">
        <f t="shared" ref="U12:U55" si="0">SUM(B12:Q12)</f>
        <v>9521470.9500000011</v>
      </c>
      <c r="V12" s="70">
        <f>R12-U12</f>
        <v>0</v>
      </c>
      <c r="W12" s="70">
        <f t="shared" ref="W12:W55" si="1">R12-B12-C12-D12</f>
        <v>3797151.0200000005</v>
      </c>
    </row>
    <row r="13" spans="1:23" ht="15" x14ac:dyDescent="0.2">
      <c r="A13" s="15" t="s">
        <v>5</v>
      </c>
      <c r="B13" s="22">
        <v>0</v>
      </c>
      <c r="C13" s="22">
        <v>0</v>
      </c>
      <c r="D13" s="22"/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20">
        <f>SUM(B13:Q13)</f>
        <v>0</v>
      </c>
      <c r="S13" s="21"/>
      <c r="U13" s="70">
        <f t="shared" si="0"/>
        <v>0</v>
      </c>
      <c r="V13" s="70">
        <f t="shared" ref="V13:V55" si="2">R13-U13</f>
        <v>0</v>
      </c>
      <c r="W13" s="70">
        <f t="shared" si="1"/>
        <v>0</v>
      </c>
    </row>
    <row r="14" spans="1:23" ht="15" x14ac:dyDescent="0.2">
      <c r="A14" s="23" t="s">
        <v>6</v>
      </c>
      <c r="B14" s="24">
        <f>B12+B13</f>
        <v>95153.94</v>
      </c>
      <c r="C14" s="67">
        <f t="shared" ref="C14:H14" si="3">C12+C13</f>
        <v>1000798.55</v>
      </c>
      <c r="D14" s="67">
        <f t="shared" si="3"/>
        <v>4628367.4400000004</v>
      </c>
      <c r="E14" s="67">
        <f t="shared" si="3"/>
        <v>3617151.02</v>
      </c>
      <c r="F14" s="67">
        <f t="shared" si="3"/>
        <v>120000</v>
      </c>
      <c r="G14" s="67">
        <f t="shared" si="3"/>
        <v>0</v>
      </c>
      <c r="H14" s="67">
        <f t="shared" si="3"/>
        <v>30000</v>
      </c>
      <c r="I14" s="24">
        <f t="shared" ref="I14:Q14" si="4">SUM(I12:I13)</f>
        <v>0</v>
      </c>
      <c r="J14" s="24">
        <f t="shared" si="4"/>
        <v>0</v>
      </c>
      <c r="K14" s="24">
        <f t="shared" si="4"/>
        <v>30000</v>
      </c>
      <c r="L14" s="24">
        <f t="shared" si="4"/>
        <v>0</v>
      </c>
      <c r="M14" s="24">
        <f t="shared" si="4"/>
        <v>0</v>
      </c>
      <c r="N14" s="24">
        <f t="shared" si="4"/>
        <v>0</v>
      </c>
      <c r="O14" s="24">
        <f t="shared" si="4"/>
        <v>0</v>
      </c>
      <c r="P14" s="24">
        <f t="shared" si="4"/>
        <v>0</v>
      </c>
      <c r="Q14" s="24">
        <f t="shared" si="4"/>
        <v>0</v>
      </c>
      <c r="R14" s="24">
        <f>SUM(R12:R13)</f>
        <v>9521470.9500000011</v>
      </c>
      <c r="S14" s="21">
        <v>1</v>
      </c>
      <c r="U14" s="70">
        <f t="shared" si="0"/>
        <v>9521470.9500000011</v>
      </c>
      <c r="V14" s="70">
        <f t="shared" si="2"/>
        <v>0</v>
      </c>
      <c r="W14" s="70">
        <f t="shared" si="1"/>
        <v>3797151.0200000005</v>
      </c>
    </row>
    <row r="15" spans="1:23" ht="15" x14ac:dyDescent="0.2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7"/>
      <c r="S15" s="28"/>
      <c r="U15" s="70">
        <f t="shared" si="0"/>
        <v>0</v>
      </c>
      <c r="V15" s="70">
        <f t="shared" si="2"/>
        <v>0</v>
      </c>
      <c r="W15" s="70">
        <f t="shared" si="1"/>
        <v>0</v>
      </c>
    </row>
    <row r="16" spans="1:23" ht="15" x14ac:dyDescent="0.2">
      <c r="A16" s="29" t="s">
        <v>7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30"/>
      <c r="S16" s="31"/>
      <c r="U16" s="70">
        <f t="shared" si="0"/>
        <v>0</v>
      </c>
      <c r="V16" s="70">
        <f t="shared" si="2"/>
        <v>0</v>
      </c>
      <c r="W16" s="70">
        <f t="shared" si="1"/>
        <v>0</v>
      </c>
    </row>
    <row r="17" spans="1:23" ht="15" x14ac:dyDescent="0.2">
      <c r="A17" s="15" t="s">
        <v>8</v>
      </c>
      <c r="B17" s="32">
        <v>-9460.58</v>
      </c>
      <c r="C17" s="32">
        <f>-111112.44-B17</f>
        <v>-101651.86</v>
      </c>
      <c r="D17" s="32">
        <v>-218731.13</v>
      </c>
      <c r="E17" s="32">
        <v>-206940.59</v>
      </c>
      <c r="F17" s="76">
        <v>-7171.55</v>
      </c>
      <c r="G17" s="76">
        <v>-9008.2000000000007</v>
      </c>
      <c r="H17" s="76">
        <v>-5712.57</v>
      </c>
      <c r="I17" s="76">
        <v>-5351.79</v>
      </c>
      <c r="J17" s="76">
        <v>-3329.6</v>
      </c>
      <c r="K17" s="76">
        <v>-2152.88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20">
        <f>SUM(B17:Q17)</f>
        <v>-569510.75</v>
      </c>
      <c r="S17" s="21">
        <f>-R17/$R$14</f>
        <v>5.9813315924678624E-2</v>
      </c>
      <c r="U17" s="70">
        <f t="shared" si="0"/>
        <v>-569510.75</v>
      </c>
      <c r="V17" s="70">
        <f t="shared" si="2"/>
        <v>0</v>
      </c>
      <c r="W17" s="70">
        <f t="shared" si="1"/>
        <v>-239667.18000000005</v>
      </c>
    </row>
    <row r="18" spans="1:23" ht="15" x14ac:dyDescent="0.2">
      <c r="A18" s="33" t="s">
        <v>9</v>
      </c>
      <c r="B18" s="32">
        <v>-176.92</v>
      </c>
      <c r="C18" s="32">
        <f>-176.92-B18</f>
        <v>0</v>
      </c>
      <c r="D18" s="32">
        <v>0</v>
      </c>
      <c r="E18" s="32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20">
        <f t="shared" ref="R18:R42" si="5">SUM(B18:Q18)</f>
        <v>-176.92</v>
      </c>
      <c r="S18" s="21">
        <f t="shared" ref="S18:S53" si="6">-R18/$R$14</f>
        <v>1.8581162609123958E-5</v>
      </c>
      <c r="U18" s="70">
        <f t="shared" si="0"/>
        <v>-176.92</v>
      </c>
      <c r="V18" s="70">
        <f t="shared" si="2"/>
        <v>0</v>
      </c>
      <c r="W18" s="70">
        <f t="shared" si="1"/>
        <v>0</v>
      </c>
    </row>
    <row r="19" spans="1:23" ht="15" x14ac:dyDescent="0.2">
      <c r="A19" s="15" t="s">
        <v>10</v>
      </c>
      <c r="B19" s="32">
        <v>-117</v>
      </c>
      <c r="C19" s="32">
        <f>-1282-B19</f>
        <v>-1165</v>
      </c>
      <c r="D19" s="32">
        <v>-3067.2</v>
      </c>
      <c r="E19" s="32">
        <v>-3888</v>
      </c>
      <c r="F19" s="76">
        <v>-120</v>
      </c>
      <c r="G19" s="76">
        <v>-72</v>
      </c>
      <c r="H19" s="76">
        <v>-72</v>
      </c>
      <c r="I19" s="76">
        <v>-72</v>
      </c>
      <c r="J19" s="76">
        <v>-72</v>
      </c>
      <c r="K19" s="76">
        <v>-45.6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20">
        <f t="shared" si="5"/>
        <v>-8690.8000000000011</v>
      </c>
      <c r="S19" s="21">
        <f t="shared" si="6"/>
        <v>9.1275812798651663E-4</v>
      </c>
      <c r="U19" s="70">
        <f t="shared" si="0"/>
        <v>-8690.8000000000011</v>
      </c>
      <c r="V19" s="70">
        <f t="shared" si="2"/>
        <v>0</v>
      </c>
      <c r="W19" s="70">
        <f t="shared" si="1"/>
        <v>-4341.6000000000013</v>
      </c>
    </row>
    <row r="20" spans="1:23" ht="15" x14ac:dyDescent="0.2">
      <c r="A20" s="33" t="s">
        <v>11</v>
      </c>
      <c r="B20" s="32">
        <v>-2696.67</v>
      </c>
      <c r="C20" s="32">
        <f>-5299.1-B20</f>
        <v>-2602.4300000000003</v>
      </c>
      <c r="D20" s="32">
        <v>-10055.290000000001</v>
      </c>
      <c r="E20" s="32">
        <v>-2771.34</v>
      </c>
      <c r="F20" s="76">
        <v>-302.63</v>
      </c>
      <c r="G20" s="76">
        <v>0</v>
      </c>
      <c r="H20" s="76">
        <f>-1.73</f>
        <v>-1.73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20">
        <f t="shared" si="5"/>
        <v>-18430.090000000004</v>
      </c>
      <c r="S20" s="21">
        <f t="shared" si="6"/>
        <v>1.9356347455956899E-3</v>
      </c>
      <c r="U20" s="70">
        <f t="shared" si="0"/>
        <v>-18430.090000000004</v>
      </c>
      <c r="V20" s="70">
        <f t="shared" si="2"/>
        <v>0</v>
      </c>
      <c r="W20" s="70">
        <f t="shared" si="1"/>
        <v>-3075.7000000000025</v>
      </c>
    </row>
    <row r="21" spans="1:23" ht="15" x14ac:dyDescent="0.2">
      <c r="A21" s="15" t="s">
        <v>12</v>
      </c>
      <c r="B21" s="32">
        <v>-5642.82</v>
      </c>
      <c r="C21" s="32">
        <f>-49752.51-B21</f>
        <v>-44109.69</v>
      </c>
      <c r="D21" s="32">
        <v>-94490.4</v>
      </c>
      <c r="E21" s="32">
        <v>-66933.69</v>
      </c>
      <c r="F21" s="76">
        <v>-2424.36</v>
      </c>
      <c r="G21" s="76">
        <v>-1385.35</v>
      </c>
      <c r="H21" s="76">
        <v>-1039.01</v>
      </c>
      <c r="I21" s="76">
        <v>-1039.01</v>
      </c>
      <c r="J21" s="76">
        <v>-728.35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20">
        <f t="shared" si="5"/>
        <v>-217792.68000000002</v>
      </c>
      <c r="S21" s="21">
        <f t="shared" si="6"/>
        <v>2.2873848079114287E-2</v>
      </c>
      <c r="U21" s="70">
        <f t="shared" si="0"/>
        <v>-217792.68000000002</v>
      </c>
      <c r="V21" s="70">
        <f t="shared" si="2"/>
        <v>0</v>
      </c>
      <c r="W21" s="70">
        <f t="shared" si="1"/>
        <v>-73549.770000000019</v>
      </c>
    </row>
    <row r="22" spans="1:23" ht="15" x14ac:dyDescent="0.2">
      <c r="A22" s="15" t="s">
        <v>13</v>
      </c>
      <c r="B22" s="32">
        <v>-3434.75</v>
      </c>
      <c r="C22" s="32">
        <f>-31943.18-B22</f>
        <v>-28508.43</v>
      </c>
      <c r="D22" s="32">
        <v>-64516.12</v>
      </c>
      <c r="E22" s="32">
        <v>-57242.15</v>
      </c>
      <c r="F22" s="76">
        <v>-4297.78</v>
      </c>
      <c r="G22" s="76">
        <v>-5106.34</v>
      </c>
      <c r="H22" s="76">
        <v>-1363.09</v>
      </c>
      <c r="I22" s="76">
        <v>-683.66</v>
      </c>
      <c r="J22" s="76">
        <v>-488.61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20">
        <f t="shared" si="5"/>
        <v>-165640.93</v>
      </c>
      <c r="S22" s="21">
        <f t="shared" si="6"/>
        <v>1.739656938196088E-2</v>
      </c>
      <c r="U22" s="70">
        <f t="shared" si="0"/>
        <v>-165640.93</v>
      </c>
      <c r="V22" s="70">
        <f t="shared" si="2"/>
        <v>0</v>
      </c>
      <c r="W22" s="70">
        <f t="shared" si="1"/>
        <v>-69181.63</v>
      </c>
    </row>
    <row r="23" spans="1:23" ht="15" x14ac:dyDescent="0.2">
      <c r="A23" s="15" t="s">
        <v>14</v>
      </c>
      <c r="B23" s="32">
        <v>-3249.13</v>
      </c>
      <c r="C23" s="32">
        <f>-36025.16-B23</f>
        <v>-32776.030000000006</v>
      </c>
      <c r="D23" s="32">
        <v>-78523.44</v>
      </c>
      <c r="E23" s="32">
        <v>-59425.89</v>
      </c>
      <c r="F23" s="76">
        <v>-1067.69</v>
      </c>
      <c r="G23" s="76">
        <v>-1975.22</v>
      </c>
      <c r="H23" s="76">
        <v>-1928.65</v>
      </c>
      <c r="I23" s="76">
        <v>-906.78</v>
      </c>
      <c r="J23" s="76">
        <v>-503.86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20">
        <f t="shared" si="5"/>
        <v>-180356.68999999997</v>
      </c>
      <c r="S23" s="21">
        <f t="shared" si="6"/>
        <v>1.8942103688296182E-2</v>
      </c>
      <c r="U23" s="70">
        <f t="shared" si="0"/>
        <v>-180356.68999999997</v>
      </c>
      <c r="V23" s="70">
        <f t="shared" si="2"/>
        <v>0</v>
      </c>
      <c r="W23" s="70">
        <f t="shared" si="1"/>
        <v>-65808.089999999967</v>
      </c>
    </row>
    <row r="24" spans="1:23" ht="15" x14ac:dyDescent="0.2">
      <c r="A24" s="15" t="s">
        <v>15</v>
      </c>
      <c r="B24" s="32">
        <v>1877</v>
      </c>
      <c r="C24" s="32">
        <f>6315.01-B24</f>
        <v>4438.01</v>
      </c>
      <c r="D24" s="32">
        <v>0</v>
      </c>
      <c r="E24" s="32">
        <v>-6206.32</v>
      </c>
      <c r="F24" s="76">
        <v>-2664.75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20">
        <f t="shared" si="5"/>
        <v>-2556.0599999999995</v>
      </c>
      <c r="S24" s="21">
        <f>-R24/$R$14</f>
        <v>2.6845221850936796E-4</v>
      </c>
      <c r="U24" s="70">
        <f t="shared" si="0"/>
        <v>-2556.0599999999995</v>
      </c>
      <c r="V24" s="70">
        <f t="shared" si="2"/>
        <v>0</v>
      </c>
      <c r="W24" s="70">
        <f t="shared" si="1"/>
        <v>-8871.07</v>
      </c>
    </row>
    <row r="25" spans="1:23" ht="15" x14ac:dyDescent="0.2">
      <c r="A25" s="15" t="s">
        <v>16</v>
      </c>
      <c r="B25" s="32">
        <v>0</v>
      </c>
      <c r="C25" s="32">
        <f>0-B25</f>
        <v>0</v>
      </c>
      <c r="D25" s="32">
        <v>-503.84</v>
      </c>
      <c r="E25" s="32">
        <v>-2689.89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20">
        <f t="shared" si="5"/>
        <v>-3193.73</v>
      </c>
      <c r="S25" s="21">
        <f t="shared" si="6"/>
        <v>3.3542401345035868E-4</v>
      </c>
      <c r="U25" s="70">
        <f t="shared" si="0"/>
        <v>-3193.73</v>
      </c>
      <c r="V25" s="70">
        <f t="shared" si="2"/>
        <v>0</v>
      </c>
      <c r="W25" s="70">
        <f t="shared" si="1"/>
        <v>-2689.89</v>
      </c>
    </row>
    <row r="26" spans="1:23" ht="15" x14ac:dyDescent="0.2">
      <c r="A26" s="15" t="s">
        <v>17</v>
      </c>
      <c r="B26" s="32">
        <v>-4404.78</v>
      </c>
      <c r="C26" s="32">
        <f>-37296.65-B26</f>
        <v>-32891.870000000003</v>
      </c>
      <c r="D26" s="32">
        <v>-72140.850000000006</v>
      </c>
      <c r="E26" s="32">
        <v>-85273.83</v>
      </c>
      <c r="F26" s="76">
        <v>-6575.95</v>
      </c>
      <c r="G26" s="76">
        <v>-3681.66</v>
      </c>
      <c r="H26" s="76">
        <v>-3352.29</v>
      </c>
      <c r="I26" s="76">
        <v>-1522.3</v>
      </c>
      <c r="J26" s="76">
        <v>-1127.1300000000001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20">
        <f t="shared" si="5"/>
        <v>-210970.66000000003</v>
      </c>
      <c r="S26" s="21">
        <f t="shared" si="6"/>
        <v>2.2157360045298464E-2</v>
      </c>
      <c r="U26" s="70">
        <f t="shared" si="0"/>
        <v>-210970.66000000003</v>
      </c>
      <c r="V26" s="70">
        <f t="shared" si="2"/>
        <v>0</v>
      </c>
      <c r="W26" s="70">
        <f t="shared" si="1"/>
        <v>-101533.16000000003</v>
      </c>
    </row>
    <row r="27" spans="1:23" ht="15" x14ac:dyDescent="0.2">
      <c r="A27" s="15" t="s">
        <v>18</v>
      </c>
      <c r="B27" s="32">
        <v>0</v>
      </c>
      <c r="C27" s="32">
        <f>0-B27</f>
        <v>0</v>
      </c>
      <c r="D27" s="32">
        <v>-12088.1</v>
      </c>
      <c r="E27" s="32">
        <v>-17475.96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20">
        <f t="shared" si="5"/>
        <v>-29564.059999999998</v>
      </c>
      <c r="S27" s="21">
        <f t="shared" si="6"/>
        <v>3.1049887307590843E-3</v>
      </c>
      <c r="U27" s="70">
        <f t="shared" si="0"/>
        <v>-29564.059999999998</v>
      </c>
      <c r="V27" s="70">
        <f t="shared" si="2"/>
        <v>0</v>
      </c>
      <c r="W27" s="70">
        <f t="shared" si="1"/>
        <v>-17475.96</v>
      </c>
    </row>
    <row r="28" spans="1:23" ht="15" x14ac:dyDescent="0.2">
      <c r="A28" s="15" t="s">
        <v>19</v>
      </c>
      <c r="B28" s="32">
        <v>-8219.7999999999993</v>
      </c>
      <c r="C28" s="32">
        <f>-36060.63-B28</f>
        <v>-27840.829999999998</v>
      </c>
      <c r="D28" s="32">
        <v>-67139.23</v>
      </c>
      <c r="E28" s="32">
        <v>-66798.92</v>
      </c>
      <c r="F28" s="76">
        <v>-3989</v>
      </c>
      <c r="G28" s="76">
        <v>-4569</v>
      </c>
      <c r="H28" s="76">
        <v>-1140.1199999999999</v>
      </c>
      <c r="I28" s="76">
        <v>-4859.49</v>
      </c>
      <c r="J28" s="76">
        <v>-3185.26</v>
      </c>
      <c r="K28" s="76">
        <v>-376.7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20">
        <f t="shared" si="5"/>
        <v>-188118.34999999998</v>
      </c>
      <c r="S28" s="21">
        <f t="shared" si="6"/>
        <v>1.9757278154590174E-2</v>
      </c>
      <c r="U28" s="70">
        <f t="shared" si="0"/>
        <v>-188118.34999999998</v>
      </c>
      <c r="V28" s="70">
        <f t="shared" si="2"/>
        <v>0</v>
      </c>
      <c r="W28" s="70">
        <f t="shared" si="1"/>
        <v>-84918.49</v>
      </c>
    </row>
    <row r="29" spans="1:23" ht="15" x14ac:dyDescent="0.2">
      <c r="A29" s="15" t="s">
        <v>20</v>
      </c>
      <c r="B29" s="32">
        <v>0</v>
      </c>
      <c r="C29" s="32">
        <f>0-B29</f>
        <v>0</v>
      </c>
      <c r="D29" s="32">
        <v>0</v>
      </c>
      <c r="E29" s="32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20">
        <f t="shared" si="5"/>
        <v>0</v>
      </c>
      <c r="S29" s="21">
        <f t="shared" si="6"/>
        <v>0</v>
      </c>
      <c r="U29" s="70">
        <f t="shared" si="0"/>
        <v>0</v>
      </c>
      <c r="V29" s="70">
        <f t="shared" si="2"/>
        <v>0</v>
      </c>
      <c r="W29" s="70">
        <f t="shared" si="1"/>
        <v>0</v>
      </c>
    </row>
    <row r="30" spans="1:23" ht="15" x14ac:dyDescent="0.2">
      <c r="A30" s="15" t="s">
        <v>59</v>
      </c>
      <c r="B30" s="32">
        <v>0</v>
      </c>
      <c r="C30" s="32">
        <f>0-B30</f>
        <v>0</v>
      </c>
      <c r="D30" s="32">
        <v>0</v>
      </c>
      <c r="E30" s="32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20">
        <f t="shared" si="5"/>
        <v>0</v>
      </c>
      <c r="S30" s="21">
        <f t="shared" si="6"/>
        <v>0</v>
      </c>
      <c r="U30" s="70">
        <f t="shared" si="0"/>
        <v>0</v>
      </c>
      <c r="V30" s="70">
        <f t="shared" si="2"/>
        <v>0</v>
      </c>
      <c r="W30" s="70">
        <f t="shared" si="1"/>
        <v>0</v>
      </c>
    </row>
    <row r="31" spans="1:23" ht="15" x14ac:dyDescent="0.2">
      <c r="A31" s="15" t="s">
        <v>21</v>
      </c>
      <c r="B31" s="32">
        <v>-850.77</v>
      </c>
      <c r="C31" s="32">
        <f>-4962.23-B31</f>
        <v>-4111.4599999999991</v>
      </c>
      <c r="D31" s="32">
        <v>-4033</v>
      </c>
      <c r="E31" s="32">
        <v>-6170</v>
      </c>
      <c r="F31" s="76">
        <v>-135</v>
      </c>
      <c r="G31" s="76">
        <v>0</v>
      </c>
      <c r="H31" s="76">
        <v>-2615</v>
      </c>
      <c r="I31" s="76">
        <v>0</v>
      </c>
      <c r="J31" s="76">
        <v>-2480</v>
      </c>
      <c r="K31" s="76">
        <v>-2480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20">
        <f t="shared" si="5"/>
        <v>-22875.23</v>
      </c>
      <c r="S31" s="21">
        <f t="shared" si="6"/>
        <v>2.4024890817946568E-3</v>
      </c>
      <c r="U31" s="70">
        <f t="shared" si="0"/>
        <v>-22875.23</v>
      </c>
      <c r="V31" s="70">
        <f t="shared" si="2"/>
        <v>0</v>
      </c>
      <c r="W31" s="70">
        <f t="shared" si="1"/>
        <v>-13880</v>
      </c>
    </row>
    <row r="32" spans="1:23" ht="15" x14ac:dyDescent="0.2">
      <c r="A32" s="15" t="s">
        <v>22</v>
      </c>
      <c r="B32" s="32">
        <v>-1599.9</v>
      </c>
      <c r="C32" s="32">
        <f>-1599.9-B32</f>
        <v>0</v>
      </c>
      <c r="D32" s="32">
        <v>0</v>
      </c>
      <c r="E32" s="32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20">
        <f t="shared" si="5"/>
        <v>-1599.9</v>
      </c>
      <c r="S32" s="21">
        <f t="shared" si="6"/>
        <v>1.6803075999512448E-4</v>
      </c>
      <c r="U32" s="70">
        <f t="shared" si="0"/>
        <v>-1599.9</v>
      </c>
      <c r="V32" s="70">
        <f t="shared" si="2"/>
        <v>0</v>
      </c>
      <c r="W32" s="70">
        <f t="shared" si="1"/>
        <v>0</v>
      </c>
    </row>
    <row r="33" spans="1:23" ht="15" x14ac:dyDescent="0.2">
      <c r="A33" s="33" t="s">
        <v>23</v>
      </c>
      <c r="B33" s="32">
        <v>-2679.1</v>
      </c>
      <c r="C33" s="32">
        <f>-6737.6-B33</f>
        <v>-4058.5000000000005</v>
      </c>
      <c r="D33" s="32">
        <v>-12315.74</v>
      </c>
      <c r="E33" s="32">
        <v>-1708.41</v>
      </c>
      <c r="F33" s="76">
        <v>0</v>
      </c>
      <c r="G33" s="76">
        <v>0</v>
      </c>
      <c r="H33" s="76">
        <v>-1.03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20">
        <f t="shared" si="5"/>
        <v>-20762.78</v>
      </c>
      <c r="S33" s="21">
        <f t="shared" si="6"/>
        <v>2.1806273535918308E-3</v>
      </c>
      <c r="U33" s="70">
        <f t="shared" si="0"/>
        <v>-20762.78</v>
      </c>
      <c r="V33" s="70">
        <f t="shared" si="2"/>
        <v>0</v>
      </c>
      <c r="W33" s="70">
        <f t="shared" si="1"/>
        <v>-1709.4400000000005</v>
      </c>
    </row>
    <row r="34" spans="1:23" ht="15" x14ac:dyDescent="0.2">
      <c r="A34" s="15" t="s">
        <v>24</v>
      </c>
      <c r="B34" s="32">
        <v>-4497</v>
      </c>
      <c r="C34" s="32">
        <f>-108705.03-B34</f>
        <v>-104208.03</v>
      </c>
      <c r="D34" s="32">
        <v>-391035.72</v>
      </c>
      <c r="E34" s="32">
        <v>-285138.05</v>
      </c>
      <c r="F34" s="76">
        <v>-11690</v>
      </c>
      <c r="G34" s="76">
        <v>-17003</v>
      </c>
      <c r="H34" s="76">
        <v>-6439</v>
      </c>
      <c r="I34" s="76">
        <v>-5038</v>
      </c>
      <c r="J34" s="76">
        <v>-2383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20">
        <f t="shared" si="5"/>
        <v>-827431.8</v>
      </c>
      <c r="S34" s="21">
        <f t="shared" si="6"/>
        <v>8.6901677728691701E-2</v>
      </c>
      <c r="U34" s="70">
        <f t="shared" si="0"/>
        <v>-827431.8</v>
      </c>
      <c r="V34" s="70">
        <f t="shared" si="2"/>
        <v>0</v>
      </c>
      <c r="W34" s="70">
        <f t="shared" si="1"/>
        <v>-327691.05000000005</v>
      </c>
    </row>
    <row r="35" spans="1:23" ht="15" x14ac:dyDescent="0.2">
      <c r="A35" s="34" t="s">
        <v>25</v>
      </c>
      <c r="B35" s="32">
        <v>-41175.17</v>
      </c>
      <c r="C35" s="32">
        <f>-355305.04-B35</f>
        <v>-314129.87</v>
      </c>
      <c r="D35" s="32">
        <v>-670348.77</v>
      </c>
      <c r="E35" s="32">
        <v>-461918.07</v>
      </c>
      <c r="F35" s="76">
        <v>-25784.76</v>
      </c>
      <c r="G35" s="76">
        <v>-15463.5</v>
      </c>
      <c r="H35" s="76">
        <v>-12284.01</v>
      </c>
      <c r="I35" s="76">
        <v>-7639</v>
      </c>
      <c r="J35" s="76">
        <v>-5603.84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20">
        <f t="shared" si="5"/>
        <v>-1554346.9900000002</v>
      </c>
      <c r="S35" s="21">
        <f t="shared" si="6"/>
        <v>0.1632465191735947</v>
      </c>
      <c r="U35" s="70">
        <f t="shared" si="0"/>
        <v>-1554346.9900000002</v>
      </c>
      <c r="V35" s="70">
        <f t="shared" si="2"/>
        <v>0</v>
      </c>
      <c r="W35" s="70">
        <f t="shared" si="1"/>
        <v>-528693.18000000017</v>
      </c>
    </row>
    <row r="36" spans="1:23" ht="15" x14ac:dyDescent="0.2">
      <c r="A36" s="15" t="s">
        <v>26</v>
      </c>
      <c r="B36" s="32">
        <v>-64.5</v>
      </c>
      <c r="C36" s="32">
        <f>-137.22-B36</f>
        <v>-72.72</v>
      </c>
      <c r="D36" s="32">
        <v>-2495</v>
      </c>
      <c r="E36" s="32">
        <v>-4048.35</v>
      </c>
      <c r="F36" s="76">
        <v>-347.67</v>
      </c>
      <c r="G36" s="76">
        <v>-347.23</v>
      </c>
      <c r="H36" s="76">
        <v>-347.67</v>
      </c>
      <c r="I36" s="76">
        <v>-347.67</v>
      </c>
      <c r="J36" s="76">
        <v>-347.67</v>
      </c>
      <c r="K36" s="76">
        <v>-342.58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20">
        <f t="shared" si="5"/>
        <v>-8761.06</v>
      </c>
      <c r="S36" s="21">
        <f t="shared" si="6"/>
        <v>9.2013723992929878E-4</v>
      </c>
      <c r="U36" s="70">
        <f t="shared" si="0"/>
        <v>-8761.06</v>
      </c>
      <c r="V36" s="70">
        <f t="shared" si="2"/>
        <v>0</v>
      </c>
      <c r="W36" s="70">
        <f t="shared" si="1"/>
        <v>-6128.84</v>
      </c>
    </row>
    <row r="37" spans="1:23" ht="15" x14ac:dyDescent="0.2">
      <c r="A37" s="15" t="s">
        <v>27</v>
      </c>
      <c r="B37" s="32">
        <v>0</v>
      </c>
      <c r="C37" s="32">
        <f>0-B37</f>
        <v>0</v>
      </c>
      <c r="D37" s="32">
        <v>0</v>
      </c>
      <c r="E37" s="32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20">
        <f t="shared" si="5"/>
        <v>0</v>
      </c>
      <c r="S37" s="21">
        <f t="shared" si="6"/>
        <v>0</v>
      </c>
      <c r="U37" s="70">
        <f t="shared" si="0"/>
        <v>0</v>
      </c>
      <c r="V37" s="70">
        <f t="shared" si="2"/>
        <v>0</v>
      </c>
      <c r="W37" s="70">
        <f t="shared" si="1"/>
        <v>0</v>
      </c>
    </row>
    <row r="38" spans="1:23" ht="15" x14ac:dyDescent="0.2">
      <c r="A38" s="33" t="s">
        <v>28</v>
      </c>
      <c r="B38" s="32">
        <v>-2206.73</v>
      </c>
      <c r="C38" s="32">
        <f>-8669.21-B38</f>
        <v>-6462.48</v>
      </c>
      <c r="D38" s="32">
        <v>-5374.98</v>
      </c>
      <c r="E38" s="32">
        <v>-3835.53</v>
      </c>
      <c r="F38" s="76">
        <v>0</v>
      </c>
      <c r="G38" s="76">
        <v>-20.059999999999999</v>
      </c>
      <c r="H38" s="76">
        <v>0</v>
      </c>
      <c r="I38" s="76">
        <v>-153.65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20">
        <f t="shared" si="5"/>
        <v>-18053.43</v>
      </c>
      <c r="S38" s="21">
        <f t="shared" si="6"/>
        <v>1.8960757318699794E-3</v>
      </c>
      <c r="U38" s="70">
        <f t="shared" si="0"/>
        <v>-18053.43</v>
      </c>
      <c r="V38" s="70">
        <f t="shared" si="2"/>
        <v>0</v>
      </c>
      <c r="W38" s="70">
        <f t="shared" si="1"/>
        <v>-4009.2400000000016</v>
      </c>
    </row>
    <row r="39" spans="1:23" ht="15" x14ac:dyDescent="0.2">
      <c r="A39" s="15" t="s">
        <v>29</v>
      </c>
      <c r="B39" s="32">
        <v>-3013.32</v>
      </c>
      <c r="C39" s="32">
        <f>-32691.96-B39</f>
        <v>-29678.639999999999</v>
      </c>
      <c r="D39" s="32">
        <v>-62295.32</v>
      </c>
      <c r="E39" s="32">
        <v>-61894.54</v>
      </c>
      <c r="F39" s="76">
        <v>-2489.0300000000002</v>
      </c>
      <c r="G39" s="76">
        <v>-2097.9</v>
      </c>
      <c r="H39" s="76">
        <v>-1552.68</v>
      </c>
      <c r="I39" s="76">
        <v>-1220.01</v>
      </c>
      <c r="J39" s="76">
        <v>-800.64</v>
      </c>
      <c r="K39" s="76">
        <v>-825.44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20">
        <f t="shared" si="5"/>
        <v>-165867.52000000002</v>
      </c>
      <c r="S39" s="21">
        <f t="shared" si="6"/>
        <v>1.7420367175515039E-2</v>
      </c>
      <c r="U39" s="70">
        <f t="shared" si="0"/>
        <v>-165867.52000000002</v>
      </c>
      <c r="V39" s="70">
        <f t="shared" si="2"/>
        <v>0</v>
      </c>
      <c r="W39" s="70">
        <f t="shared" si="1"/>
        <v>-70880.239999999991</v>
      </c>
    </row>
    <row r="40" spans="1:23" ht="15" x14ac:dyDescent="0.2">
      <c r="A40" s="15" t="s">
        <v>276</v>
      </c>
      <c r="B40" s="32">
        <v>-3181.71</v>
      </c>
      <c r="C40" s="32">
        <f>-34970.67-B40</f>
        <v>-31788.959999999999</v>
      </c>
      <c r="D40" s="32">
        <v>-53237.4</v>
      </c>
      <c r="E40" s="32">
        <v>-50453.43</v>
      </c>
      <c r="F40" s="76">
        <v>-3024.48</v>
      </c>
      <c r="G40" s="76">
        <v>-1725.71</v>
      </c>
      <c r="H40" s="76">
        <v>-1252.49</v>
      </c>
      <c r="I40" s="76">
        <v>-779.26</v>
      </c>
      <c r="J40" s="76">
        <v>-546.26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20">
        <f t="shared" si="5"/>
        <v>-145989.70000000001</v>
      </c>
      <c r="S40" s="21">
        <f t="shared" si="6"/>
        <v>1.5332683444252907E-2</v>
      </c>
      <c r="U40" s="70">
        <f t="shared" si="0"/>
        <v>-145989.70000000001</v>
      </c>
      <c r="V40" s="70">
        <f t="shared" si="2"/>
        <v>0</v>
      </c>
      <c r="W40" s="70">
        <f t="shared" si="1"/>
        <v>-57781.630000000026</v>
      </c>
    </row>
    <row r="41" spans="1:23" ht="15" x14ac:dyDescent="0.2">
      <c r="A41" s="15" t="s">
        <v>97</v>
      </c>
      <c r="B41" s="32">
        <v>0</v>
      </c>
      <c r="C41" s="32">
        <f>0-B41</f>
        <v>0</v>
      </c>
      <c r="D41" s="32">
        <v>0</v>
      </c>
      <c r="E41" s="32">
        <v>-300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20">
        <f t="shared" si="5"/>
        <v>-300</v>
      </c>
      <c r="S41" s="21">
        <f t="shared" si="6"/>
        <v>3.1507736732631629E-5</v>
      </c>
      <c r="U41" s="70">
        <f t="shared" si="0"/>
        <v>-300</v>
      </c>
      <c r="V41" s="70">
        <f t="shared" si="2"/>
        <v>0</v>
      </c>
      <c r="W41" s="70">
        <f t="shared" si="1"/>
        <v>-300</v>
      </c>
    </row>
    <row r="42" spans="1:23" ht="15" x14ac:dyDescent="0.2">
      <c r="A42" s="15" t="s">
        <v>114</v>
      </c>
      <c r="B42" s="32">
        <v>0</v>
      </c>
      <c r="C42" s="32">
        <v>0</v>
      </c>
      <c r="D42" s="32">
        <v>0</v>
      </c>
      <c r="E42" s="32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20">
        <f t="shared" si="5"/>
        <v>0</v>
      </c>
      <c r="S42" s="21">
        <f t="shared" si="6"/>
        <v>0</v>
      </c>
      <c r="U42" s="70">
        <f t="shared" si="0"/>
        <v>0</v>
      </c>
      <c r="V42" s="70">
        <f t="shared" si="2"/>
        <v>0</v>
      </c>
      <c r="W42" s="70">
        <f t="shared" si="1"/>
        <v>0</v>
      </c>
    </row>
    <row r="43" spans="1:23" ht="15" x14ac:dyDescent="0.2">
      <c r="A43" s="35" t="s">
        <v>31</v>
      </c>
      <c r="B43" s="36">
        <f>SUM(B17:B42)</f>
        <v>-94793.65</v>
      </c>
      <c r="C43" s="36">
        <f t="shared" ref="C43:Q43" si="7">SUM(C17:C42)</f>
        <v>-761618.78999999992</v>
      </c>
      <c r="D43" s="36">
        <f>SUM(D17:D42)</f>
        <v>-1822391.53</v>
      </c>
      <c r="E43" s="36">
        <f>SUM(E17:E42)</f>
        <v>-1451112.9600000002</v>
      </c>
      <c r="F43" s="36">
        <f t="shared" si="7"/>
        <v>-72084.649999999994</v>
      </c>
      <c r="G43" s="36">
        <f t="shared" si="7"/>
        <v>-62455.170000000006</v>
      </c>
      <c r="H43" s="36">
        <f t="shared" si="7"/>
        <v>-39101.339999999997</v>
      </c>
      <c r="I43" s="36">
        <f t="shared" si="7"/>
        <v>-29612.619999999995</v>
      </c>
      <c r="J43" s="36">
        <f t="shared" si="7"/>
        <v>-21596.219999999998</v>
      </c>
      <c r="K43" s="36">
        <f t="shared" si="7"/>
        <v>-6223.2000000000007</v>
      </c>
      <c r="L43" s="36">
        <f t="shared" si="7"/>
        <v>0</v>
      </c>
      <c r="M43" s="36">
        <f t="shared" si="7"/>
        <v>0</v>
      </c>
      <c r="N43" s="36">
        <f t="shared" si="7"/>
        <v>0</v>
      </c>
      <c r="O43" s="36">
        <f t="shared" si="7"/>
        <v>0</v>
      </c>
      <c r="P43" s="36">
        <f t="shared" si="7"/>
        <v>0</v>
      </c>
      <c r="Q43" s="36">
        <f t="shared" si="7"/>
        <v>0</v>
      </c>
      <c r="R43" s="36">
        <f>SUM(R17:R42)</f>
        <v>-4360990.1300000008</v>
      </c>
      <c r="S43" s="21">
        <f t="shared" si="6"/>
        <v>0.45801642969881667</v>
      </c>
      <c r="U43" s="70">
        <f t="shared" si="0"/>
        <v>-4360990.13</v>
      </c>
      <c r="V43" s="70">
        <f t="shared" si="2"/>
        <v>0</v>
      </c>
      <c r="W43" s="70">
        <f t="shared" si="1"/>
        <v>-1682186.1600000004</v>
      </c>
    </row>
    <row r="44" spans="1:23" ht="15" x14ac:dyDescent="0.2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18"/>
      <c r="U44" s="70">
        <f t="shared" si="0"/>
        <v>0</v>
      </c>
      <c r="V44" s="70">
        <f t="shared" si="2"/>
        <v>0</v>
      </c>
      <c r="W44" s="70">
        <f t="shared" si="1"/>
        <v>0</v>
      </c>
    </row>
    <row r="45" spans="1:23" ht="15" x14ac:dyDescent="0.2">
      <c r="A45" s="39" t="s">
        <v>32</v>
      </c>
      <c r="B45" s="40">
        <f>B14+B43</f>
        <v>360.29000000000815</v>
      </c>
      <c r="C45" s="40">
        <f t="shared" ref="C45:Q45" si="8">C14+C43</f>
        <v>239179.76000000013</v>
      </c>
      <c r="D45" s="40">
        <f t="shared" ref="D45:E45" si="9">D14+D43</f>
        <v>2805975.91</v>
      </c>
      <c r="E45" s="40">
        <f t="shared" si="9"/>
        <v>2166038.0599999996</v>
      </c>
      <c r="F45" s="40">
        <f t="shared" si="8"/>
        <v>47915.350000000006</v>
      </c>
      <c r="G45" s="58">
        <f t="shared" si="8"/>
        <v>-62455.170000000006</v>
      </c>
      <c r="H45" s="58">
        <f t="shared" si="8"/>
        <v>-9101.3399999999965</v>
      </c>
      <c r="I45" s="58">
        <f t="shared" si="8"/>
        <v>-29612.619999999995</v>
      </c>
      <c r="J45" s="58">
        <f t="shared" si="8"/>
        <v>-21596.219999999998</v>
      </c>
      <c r="K45" s="40">
        <f t="shared" si="8"/>
        <v>23776.799999999999</v>
      </c>
      <c r="L45" s="40">
        <f t="shared" si="8"/>
        <v>0</v>
      </c>
      <c r="M45" s="40">
        <f t="shared" si="8"/>
        <v>0</v>
      </c>
      <c r="N45" s="40">
        <f t="shared" si="8"/>
        <v>0</v>
      </c>
      <c r="O45" s="40">
        <f t="shared" si="8"/>
        <v>0</v>
      </c>
      <c r="P45" s="58">
        <f t="shared" si="8"/>
        <v>0</v>
      </c>
      <c r="Q45" s="40">
        <f t="shared" si="8"/>
        <v>0</v>
      </c>
      <c r="R45" s="155">
        <f>SUM(B45:Q45)</f>
        <v>5160480.8199999994</v>
      </c>
      <c r="S45" s="21">
        <f>R45/$R$14</f>
        <v>0.54198357030118327</v>
      </c>
      <c r="U45" s="70">
        <f t="shared" si="0"/>
        <v>5160480.8199999994</v>
      </c>
      <c r="V45" s="70">
        <f t="shared" si="2"/>
        <v>0</v>
      </c>
      <c r="W45" s="70">
        <f t="shared" si="1"/>
        <v>2114964.8599999994</v>
      </c>
    </row>
    <row r="46" spans="1:23" ht="15" x14ac:dyDescent="0.2">
      <c r="A46" s="41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4"/>
      <c r="U46" s="70">
        <f t="shared" si="0"/>
        <v>0</v>
      </c>
      <c r="V46" s="70">
        <f t="shared" si="2"/>
        <v>0</v>
      </c>
      <c r="W46" s="70">
        <f t="shared" si="1"/>
        <v>0</v>
      </c>
    </row>
    <row r="47" spans="1:23" ht="15" x14ac:dyDescent="0.2">
      <c r="A47" s="29" t="s">
        <v>56</v>
      </c>
      <c r="B47" s="45">
        <v>-12512.74</v>
      </c>
      <c r="C47" s="45">
        <f t="shared" ref="C47:N47" si="10">-C12*13.15%</f>
        <v>-131605.00932500002</v>
      </c>
      <c r="D47" s="45">
        <f t="shared" ref="D47:E47" si="11">-D12*13.15%</f>
        <v>-608630.31836000003</v>
      </c>
      <c r="E47" s="45">
        <f t="shared" si="11"/>
        <v>-475655.35913</v>
      </c>
      <c r="F47" s="45">
        <f t="shared" si="10"/>
        <v>-15780</v>
      </c>
      <c r="G47" s="45">
        <f t="shared" si="10"/>
        <v>0</v>
      </c>
      <c r="H47" s="45">
        <f t="shared" si="10"/>
        <v>-3945</v>
      </c>
      <c r="I47" s="45">
        <f>-I12*13.15%</f>
        <v>0</v>
      </c>
      <c r="J47" s="45">
        <f t="shared" si="10"/>
        <v>0</v>
      </c>
      <c r="K47" s="45">
        <f t="shared" si="10"/>
        <v>-3945</v>
      </c>
      <c r="L47" s="45">
        <f t="shared" si="10"/>
        <v>0</v>
      </c>
      <c r="M47" s="45">
        <f t="shared" si="10"/>
        <v>0</v>
      </c>
      <c r="N47" s="45">
        <f t="shared" si="10"/>
        <v>0</v>
      </c>
      <c r="O47" s="45">
        <f>-O12*13.15%</f>
        <v>0</v>
      </c>
      <c r="P47" s="45">
        <f t="shared" ref="P47:Q47" si="12">-P12*13.15%</f>
        <v>0</v>
      </c>
      <c r="Q47" s="45">
        <f t="shared" si="12"/>
        <v>0</v>
      </c>
      <c r="R47" s="20">
        <f t="shared" ref="R47" si="13">SUM(B47:Q47)</f>
        <v>-1252073.4268149999</v>
      </c>
      <c r="S47" s="21">
        <f t="shared" si="6"/>
        <v>0.13149999967336978</v>
      </c>
      <c r="U47" s="70">
        <f t="shared" si="0"/>
        <v>-1252073.4268149999</v>
      </c>
      <c r="V47" s="70">
        <f t="shared" si="2"/>
        <v>0</v>
      </c>
      <c r="W47" s="70">
        <f t="shared" si="1"/>
        <v>-499325.35912999988</v>
      </c>
    </row>
    <row r="48" spans="1:23" ht="15" x14ac:dyDescent="0.2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4"/>
      <c r="U48" s="70">
        <f t="shared" si="0"/>
        <v>0</v>
      </c>
      <c r="V48" s="70">
        <f t="shared" si="2"/>
        <v>0</v>
      </c>
      <c r="W48" s="70">
        <f t="shared" si="1"/>
        <v>0</v>
      </c>
    </row>
    <row r="49" spans="1:23" ht="15" x14ac:dyDescent="0.2">
      <c r="A49" s="29" t="s">
        <v>33</v>
      </c>
      <c r="B49" s="45">
        <f t="shared" ref="B49:Q49" si="14">-B12*1.22%</f>
        <v>-1160.878068</v>
      </c>
      <c r="C49" s="45">
        <f t="shared" si="14"/>
        <v>-12209.74231</v>
      </c>
      <c r="D49" s="45">
        <f t="shared" ref="D49:E49" si="15">-D12*1.22%</f>
        <v>-56466.082768</v>
      </c>
      <c r="E49" s="45">
        <f t="shared" si="15"/>
        <v>-44129.242443999996</v>
      </c>
      <c r="F49" s="45">
        <f t="shared" si="14"/>
        <v>-1463.9999999999998</v>
      </c>
      <c r="G49" s="45">
        <f t="shared" si="14"/>
        <v>0</v>
      </c>
      <c r="H49" s="45">
        <f>-H12*1.22%</f>
        <v>-365.99999999999994</v>
      </c>
      <c r="I49" s="45">
        <f t="shared" si="14"/>
        <v>0</v>
      </c>
      <c r="J49" s="45">
        <f t="shared" si="14"/>
        <v>0</v>
      </c>
      <c r="K49" s="45">
        <f t="shared" si="14"/>
        <v>-365.99999999999994</v>
      </c>
      <c r="L49" s="45">
        <f t="shared" si="14"/>
        <v>0</v>
      </c>
      <c r="M49" s="45">
        <f t="shared" si="14"/>
        <v>0</v>
      </c>
      <c r="N49" s="45">
        <f t="shared" si="14"/>
        <v>0</v>
      </c>
      <c r="O49" s="45">
        <f t="shared" si="14"/>
        <v>0</v>
      </c>
      <c r="P49" s="45">
        <f t="shared" si="14"/>
        <v>0</v>
      </c>
      <c r="Q49" s="45">
        <f t="shared" si="14"/>
        <v>0</v>
      </c>
      <c r="R49" s="20">
        <f t="shared" ref="R49" si="16">SUM(B49:Q49)</f>
        <v>-116161.94558999999</v>
      </c>
      <c r="S49" s="21">
        <f t="shared" si="6"/>
        <v>1.2199999999999997E-2</v>
      </c>
      <c r="U49" s="70">
        <f t="shared" si="0"/>
        <v>-116161.94558999999</v>
      </c>
      <c r="V49" s="70">
        <f t="shared" si="2"/>
        <v>0</v>
      </c>
      <c r="W49" s="70">
        <f t="shared" si="1"/>
        <v>-46325.242443999981</v>
      </c>
    </row>
    <row r="50" spans="1:23" ht="14.25" x14ac:dyDescent="0.2">
      <c r="A50" s="43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4"/>
      <c r="U50" s="70">
        <f t="shared" si="0"/>
        <v>0</v>
      </c>
      <c r="V50" s="70">
        <f t="shared" si="2"/>
        <v>0</v>
      </c>
      <c r="W50" s="70">
        <f t="shared" si="1"/>
        <v>0</v>
      </c>
    </row>
    <row r="51" spans="1:23" ht="15" x14ac:dyDescent="0.2">
      <c r="A51" s="48" t="s">
        <v>57</v>
      </c>
      <c r="B51" s="49">
        <f t="shared" ref="B51:P51" si="17">B43*5.56%</f>
        <v>-5270.5269399999997</v>
      </c>
      <c r="C51" s="49">
        <f t="shared" si="17"/>
        <v>-42346.004723999991</v>
      </c>
      <c r="D51" s="49">
        <f t="shared" ref="D51:E51" si="18">D43*5.56%</f>
        <v>-101324.96906799999</v>
      </c>
      <c r="E51" s="49">
        <f t="shared" si="18"/>
        <v>-80681.88057600001</v>
      </c>
      <c r="F51" s="49">
        <f t="shared" si="17"/>
        <v>-4007.9065399999995</v>
      </c>
      <c r="G51" s="49">
        <f t="shared" si="17"/>
        <v>-3472.5074520000003</v>
      </c>
      <c r="H51" s="49">
        <f t="shared" si="17"/>
        <v>-2174.0345039999997</v>
      </c>
      <c r="I51" s="49">
        <f t="shared" si="17"/>
        <v>-1646.4616719999997</v>
      </c>
      <c r="J51" s="49">
        <f>J43*5.56%</f>
        <v>-1200.7498319999997</v>
      </c>
      <c r="K51" s="49">
        <f t="shared" si="17"/>
        <v>-346.00992000000002</v>
      </c>
      <c r="L51" s="49">
        <f t="shared" si="17"/>
        <v>0</v>
      </c>
      <c r="M51" s="49">
        <f t="shared" si="17"/>
        <v>0</v>
      </c>
      <c r="N51" s="49">
        <f t="shared" si="17"/>
        <v>0</v>
      </c>
      <c r="O51" s="49">
        <f t="shared" si="17"/>
        <v>0</v>
      </c>
      <c r="P51" s="49">
        <f t="shared" si="17"/>
        <v>0</v>
      </c>
      <c r="Q51" s="49">
        <f>Q43*5.56%</f>
        <v>0</v>
      </c>
      <c r="R51" s="20">
        <f t="shared" ref="R51" si="19">SUM(B51:Q51)</f>
        <v>-242471.05122800003</v>
      </c>
      <c r="S51" s="21">
        <f t="shared" si="6"/>
        <v>2.5465713491254205E-2</v>
      </c>
      <c r="U51" s="70">
        <f t="shared" si="0"/>
        <v>-242471.05122800003</v>
      </c>
      <c r="V51" s="70">
        <f t="shared" si="2"/>
        <v>0</v>
      </c>
      <c r="W51" s="70">
        <f t="shared" si="1"/>
        <v>-93529.550496000025</v>
      </c>
    </row>
    <row r="52" spans="1:23" ht="14.25" x14ac:dyDescent="0.2">
      <c r="A52" s="43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4"/>
      <c r="U52" s="70">
        <f t="shared" si="0"/>
        <v>0</v>
      </c>
      <c r="V52" s="70">
        <f t="shared" si="2"/>
        <v>0</v>
      </c>
      <c r="W52" s="70">
        <f t="shared" si="1"/>
        <v>0</v>
      </c>
    </row>
    <row r="53" spans="1:23" ht="15" x14ac:dyDescent="0.2">
      <c r="A53" s="48" t="s">
        <v>58</v>
      </c>
      <c r="B53" s="49">
        <v>-9.48</v>
      </c>
      <c r="C53" s="49">
        <f>C43*0.01%</f>
        <v>-76.161878999999999</v>
      </c>
      <c r="D53" s="49">
        <f>D43*0.01%</f>
        <v>-182.23915300000002</v>
      </c>
      <c r="E53" s="49">
        <f>E43*0.01%</f>
        <v>-145.11129600000004</v>
      </c>
      <c r="F53" s="49">
        <f t="shared" ref="F53:N53" si="20">F43*0.01%</f>
        <v>-7.2084649999999995</v>
      </c>
      <c r="G53" s="49">
        <f t="shared" si="20"/>
        <v>-6.2455170000000004</v>
      </c>
      <c r="H53" s="49">
        <f t="shared" si="20"/>
        <v>-3.9101339999999998</v>
      </c>
      <c r="I53" s="49">
        <f t="shared" si="20"/>
        <v>-2.9612619999999996</v>
      </c>
      <c r="J53" s="49">
        <f t="shared" si="20"/>
        <v>-2.1596219999999997</v>
      </c>
      <c r="K53" s="49">
        <f t="shared" si="20"/>
        <v>-0.6223200000000001</v>
      </c>
      <c r="L53" s="49">
        <f t="shared" si="20"/>
        <v>0</v>
      </c>
      <c r="M53" s="49">
        <f t="shared" si="20"/>
        <v>0</v>
      </c>
      <c r="N53" s="49">
        <f t="shared" si="20"/>
        <v>0</v>
      </c>
      <c r="O53" s="49">
        <f>O43*0.01%</f>
        <v>0</v>
      </c>
      <c r="P53" s="49">
        <f t="shared" ref="P53" si="21">P43*0.01%</f>
        <v>0</v>
      </c>
      <c r="Q53" s="49">
        <f>Q43*0.01%</f>
        <v>0</v>
      </c>
      <c r="R53" s="20">
        <f t="shared" ref="R53" si="22">SUM(B53:Q53)</f>
        <v>-436.09964800000006</v>
      </c>
      <c r="S53" s="21">
        <f t="shared" si="6"/>
        <v>4.5801709661257748E-5</v>
      </c>
      <c r="U53" s="70">
        <f t="shared" si="0"/>
        <v>-436.09964800000006</v>
      </c>
      <c r="V53" s="70">
        <f t="shared" si="2"/>
        <v>0</v>
      </c>
      <c r="W53" s="70">
        <f t="shared" si="1"/>
        <v>-168.21861600000003</v>
      </c>
    </row>
    <row r="54" spans="1:23" ht="14.25" x14ac:dyDescent="0.2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4"/>
      <c r="U54" s="70">
        <f t="shared" si="0"/>
        <v>0</v>
      </c>
      <c r="V54" s="70">
        <f t="shared" si="2"/>
        <v>0</v>
      </c>
      <c r="W54" s="70">
        <f t="shared" si="1"/>
        <v>0</v>
      </c>
    </row>
    <row r="55" spans="1:23" ht="15" x14ac:dyDescent="0.2">
      <c r="A55" s="39" t="s">
        <v>78</v>
      </c>
      <c r="B55" s="58">
        <f>B45+B51+B53+B47+B49</f>
        <v>-18593.335007999987</v>
      </c>
      <c r="C55" s="40">
        <f t="shared" ref="C55:H55" si="23">C45+C51+C53+C47+C49</f>
        <v>52942.841762000113</v>
      </c>
      <c r="D55" s="40">
        <f t="shared" si="23"/>
        <v>2039372.3006510001</v>
      </c>
      <c r="E55" s="40">
        <f t="shared" ref="E55" si="24">E45+E51+E53+E47+E49</f>
        <v>1565426.4665539996</v>
      </c>
      <c r="F55" s="40">
        <f t="shared" si="23"/>
        <v>26656.234995000006</v>
      </c>
      <c r="G55" s="58">
        <f t="shared" si="23"/>
        <v>-65933.922969000007</v>
      </c>
      <c r="H55" s="58">
        <f t="shared" si="23"/>
        <v>-15590.284637999996</v>
      </c>
      <c r="I55" s="58">
        <f t="shared" ref="I55:P55" si="25">I45+I51+I53+I47+I49</f>
        <v>-31262.042933999997</v>
      </c>
      <c r="J55" s="58">
        <f t="shared" si="25"/>
        <v>-22799.129453999998</v>
      </c>
      <c r="K55" s="58">
        <f t="shared" si="25"/>
        <v>19119.16776</v>
      </c>
      <c r="L55" s="58">
        <f t="shared" si="25"/>
        <v>0</v>
      </c>
      <c r="M55" s="40">
        <f t="shared" si="25"/>
        <v>0</v>
      </c>
      <c r="N55" s="58">
        <f t="shared" si="25"/>
        <v>0</v>
      </c>
      <c r="O55" s="40">
        <f t="shared" si="25"/>
        <v>0</v>
      </c>
      <c r="P55" s="58">
        <f t="shared" si="25"/>
        <v>0</v>
      </c>
      <c r="Q55" s="40">
        <f>Q45+Q51+Q53+Q47+Q49</f>
        <v>0</v>
      </c>
      <c r="R55" s="155">
        <f>SUM(B55:Q55)</f>
        <v>3549338.2967189997</v>
      </c>
      <c r="S55" s="21">
        <f>R55/$R$14</f>
        <v>0.37277205542689801</v>
      </c>
      <c r="U55" s="70">
        <f t="shared" si="0"/>
        <v>3549338.2967189997</v>
      </c>
      <c r="V55" s="70">
        <f t="shared" si="2"/>
        <v>0</v>
      </c>
      <c r="W55" s="70">
        <f t="shared" si="1"/>
        <v>1475616.4893139994</v>
      </c>
    </row>
    <row r="56" spans="1:23" x14ac:dyDescent="0.2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</row>
    <row r="57" spans="1:23" ht="15" x14ac:dyDescent="0.2">
      <c r="A57" s="52" t="s">
        <v>35</v>
      </c>
      <c r="B57" s="13"/>
      <c r="C57" s="77"/>
      <c r="D57" s="77"/>
      <c r="E57" s="77"/>
      <c r="F57" s="77">
        <v>16</v>
      </c>
      <c r="G57" s="77">
        <v>8</v>
      </c>
      <c r="H57" s="77">
        <v>7</v>
      </c>
      <c r="I57" s="77">
        <v>3</v>
      </c>
      <c r="J57" s="77">
        <v>2</v>
      </c>
      <c r="K57" s="77"/>
      <c r="L57" s="77"/>
      <c r="M57" s="77"/>
      <c r="N57" s="77"/>
      <c r="O57" s="77"/>
      <c r="P57" s="77"/>
      <c r="Q57" s="77"/>
      <c r="R57" s="82"/>
      <c r="S57" s="50"/>
    </row>
    <row r="58" spans="1:23" ht="15" x14ac:dyDescent="0.2">
      <c r="A58" s="81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</row>
    <row r="59" spans="1:23" ht="15" x14ac:dyDescent="0.25">
      <c r="A59" s="54" t="s">
        <v>36</v>
      </c>
      <c r="B59" s="50"/>
      <c r="C59" s="50"/>
      <c r="D59" s="50"/>
      <c r="E59" s="50"/>
      <c r="F59" s="83"/>
      <c r="S59" s="89">
        <v>46203</v>
      </c>
    </row>
    <row r="61" spans="1:23" x14ac:dyDescent="0.2">
      <c r="B61" s="70">
        <f>B14+B43+B47+B49+B51+B53</f>
        <v>-18593.335007999991</v>
      </c>
      <c r="C61" s="70">
        <f t="shared" ref="C61:Q61" si="26">C14+C43+C47+C49+C51+C53</f>
        <v>52942.841762000113</v>
      </c>
      <c r="D61" s="70">
        <f t="shared" ref="D61:E61" si="27">D14+D43+D47+D49+D51+D53</f>
        <v>2039372.3006509999</v>
      </c>
      <c r="E61" s="70">
        <f t="shared" si="27"/>
        <v>1565426.4665539996</v>
      </c>
      <c r="F61" s="70">
        <f t="shared" si="26"/>
        <v>26656.234995000006</v>
      </c>
      <c r="G61" s="70">
        <f t="shared" si="26"/>
        <v>-65933.922969000007</v>
      </c>
      <c r="H61" s="70">
        <f t="shared" si="26"/>
        <v>-15590.284637999996</v>
      </c>
      <c r="I61" s="70">
        <f t="shared" si="26"/>
        <v>-31262.042933999997</v>
      </c>
      <c r="J61" s="70">
        <f t="shared" si="26"/>
        <v>-22799.129453999998</v>
      </c>
      <c r="K61" s="70">
        <f t="shared" si="26"/>
        <v>19119.16776</v>
      </c>
      <c r="L61" s="70">
        <f t="shared" si="26"/>
        <v>0</v>
      </c>
      <c r="M61" s="70">
        <f t="shared" si="26"/>
        <v>0</v>
      </c>
      <c r="N61" s="70">
        <f t="shared" si="26"/>
        <v>0</v>
      </c>
      <c r="O61" s="70">
        <f t="shared" si="26"/>
        <v>0</v>
      </c>
      <c r="P61" s="70">
        <f t="shared" si="26"/>
        <v>0</v>
      </c>
      <c r="Q61" s="70">
        <f t="shared" si="26"/>
        <v>0</v>
      </c>
      <c r="R61" s="70">
        <f>R14+R43+R47+R49+R51+R53</f>
        <v>3549338.2967190002</v>
      </c>
    </row>
    <row r="63" spans="1:23" x14ac:dyDescent="0.2">
      <c r="B63" s="70">
        <f>B55-B61</f>
        <v>0</v>
      </c>
      <c r="C63" s="70">
        <f t="shared" ref="C63:Q63" si="28">C55-C61</f>
        <v>0</v>
      </c>
      <c r="D63" s="70">
        <f t="shared" ref="D63:E63" si="29">D55-D61</f>
        <v>0</v>
      </c>
      <c r="E63" s="70">
        <f t="shared" si="29"/>
        <v>0</v>
      </c>
      <c r="F63" s="70">
        <f t="shared" si="28"/>
        <v>0</v>
      </c>
      <c r="G63" s="70">
        <f t="shared" si="28"/>
        <v>0</v>
      </c>
      <c r="H63" s="70">
        <f t="shared" si="28"/>
        <v>0</v>
      </c>
      <c r="I63" s="70">
        <f t="shared" si="28"/>
        <v>0</v>
      </c>
      <c r="J63" s="70">
        <f t="shared" si="28"/>
        <v>0</v>
      </c>
      <c r="K63" s="70">
        <f t="shared" si="28"/>
        <v>0</v>
      </c>
      <c r="L63" s="70">
        <f t="shared" si="28"/>
        <v>0</v>
      </c>
      <c r="M63" s="70">
        <f t="shared" si="28"/>
        <v>0</v>
      </c>
      <c r="N63" s="70">
        <f t="shared" si="28"/>
        <v>0</v>
      </c>
      <c r="O63" s="70">
        <f t="shared" si="28"/>
        <v>0</v>
      </c>
      <c r="P63" s="70">
        <f t="shared" si="28"/>
        <v>0</v>
      </c>
      <c r="Q63" s="70">
        <f t="shared" si="28"/>
        <v>0</v>
      </c>
      <c r="R63" s="70">
        <f>R55-R61</f>
        <v>0</v>
      </c>
    </row>
  </sheetData>
  <mergeCells count="4">
    <mergeCell ref="A1:R1"/>
    <mergeCell ref="A5:R5"/>
    <mergeCell ref="A7:R7"/>
    <mergeCell ref="A3:R3"/>
  </mergeCells>
  <phoneticPr fontId="12" type="noConversion"/>
  <conditionalFormatting sqref="I55">
    <cfRule type="cellIs" dxfId="163" priority="5" operator="lessThan">
      <formula>0</formula>
    </cfRule>
    <cfRule type="cellIs" dxfId="162" priority="6" operator="greaterThan">
      <formula>0</formula>
    </cfRule>
  </conditionalFormatting>
  <conditionalFormatting sqref="K55:L55">
    <cfRule type="cellIs" dxfId="161" priority="3" operator="lessThan">
      <formula>0</formula>
    </cfRule>
    <cfRule type="cellIs" dxfId="160" priority="4" operator="greaterThan">
      <formula>0</formula>
    </cfRule>
  </conditionalFormatting>
  <conditionalFormatting sqref="N55">
    <cfRule type="cellIs" dxfId="159" priority="1" operator="lessThan">
      <formula>0</formula>
    </cfRule>
    <cfRule type="cellIs" dxfId="158" priority="2" operator="greaterThan">
      <formula>0</formula>
    </cfRule>
  </conditionalFormatting>
  <printOptions horizontalCentered="1" verticalCentered="1"/>
  <pageMargins left="0" right="0" top="0.11811023622047245" bottom="0" header="0" footer="0"/>
  <pageSetup paperSize="9" scale="68" orientation="landscape" r:id="rId1"/>
  <ignoredErrors>
    <ignoredError sqref="C28 C2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T63"/>
  <sheetViews>
    <sheetView zoomScaleNormal="100" workbookViewId="0">
      <pane xSplit="1" topLeftCell="B1" activePane="topRight" state="frozen"/>
      <selection pane="topRight" activeCell="J51" sqref="J51"/>
    </sheetView>
  </sheetViews>
  <sheetFormatPr defaultColWidth="9.140625" defaultRowHeight="12.75" x14ac:dyDescent="0.2"/>
  <cols>
    <col min="1" max="1" width="44.85546875" style="10" customWidth="1"/>
    <col min="2" max="2" width="16.28515625" style="10" bestFit="1" customWidth="1"/>
    <col min="3" max="3" width="18" style="10" bestFit="1" customWidth="1"/>
    <col min="4" max="4" width="16.140625" style="10" bestFit="1" customWidth="1"/>
    <col min="5" max="5" width="18" style="10" bestFit="1" customWidth="1"/>
    <col min="6" max="6" width="15" style="10" bestFit="1" customWidth="1"/>
    <col min="7" max="7" width="16.140625" style="10" bestFit="1" customWidth="1"/>
    <col min="8" max="8" width="14.7109375" style="10" customWidth="1"/>
    <col min="9" max="9" width="16.140625" style="10" customWidth="1"/>
    <col min="10" max="11" width="15.140625" style="10" customWidth="1"/>
    <col min="12" max="15" width="11.28515625" style="10" hidden="1" customWidth="1"/>
    <col min="16" max="16" width="18" style="10" bestFit="1" customWidth="1"/>
    <col min="17" max="17" width="10.7109375" style="10" bestFit="1" customWidth="1"/>
    <col min="18" max="18" width="9.140625" style="10"/>
    <col min="19" max="19" width="16.42578125" style="10" bestFit="1" customWidth="1"/>
    <col min="20" max="16384" width="9.140625" style="10"/>
  </cols>
  <sheetData>
    <row r="1" spans="1:20" ht="15.75" x14ac:dyDescent="0.25">
      <c r="A1" s="1"/>
      <c r="B1" s="1"/>
      <c r="C1" s="203" t="s">
        <v>151</v>
      </c>
      <c r="D1" s="203"/>
      <c r="E1" s="203"/>
    </row>
    <row r="3" spans="1:20" ht="15.6" customHeight="1" x14ac:dyDescent="0.25">
      <c r="A3" s="88"/>
      <c r="B3" s="88"/>
      <c r="C3" s="209" t="s">
        <v>65</v>
      </c>
      <c r="D3" s="209"/>
      <c r="E3" s="209"/>
    </row>
    <row r="4" spans="1:20" ht="12.6" customHeight="1" x14ac:dyDescent="0.25">
      <c r="A4" s="71"/>
      <c r="B4" s="71"/>
      <c r="C4" s="71"/>
    </row>
    <row r="5" spans="1:20" ht="15.6" customHeight="1" x14ac:dyDescent="0.25">
      <c r="A5" s="88"/>
      <c r="B5" s="88"/>
      <c r="C5" s="209" t="s">
        <v>75</v>
      </c>
      <c r="D5" s="209"/>
      <c r="E5" s="209"/>
      <c r="F5" s="71"/>
    </row>
    <row r="6" spans="1:20" ht="12.6" customHeight="1" x14ac:dyDescent="0.25">
      <c r="A6" s="71"/>
      <c r="B6" s="71"/>
      <c r="C6" s="71"/>
    </row>
    <row r="7" spans="1:20" ht="15.6" customHeight="1" x14ac:dyDescent="0.25">
      <c r="A7" s="88"/>
      <c r="B7" s="88"/>
      <c r="C7" s="209" t="s">
        <v>169</v>
      </c>
      <c r="D7" s="209"/>
      <c r="E7" s="209"/>
      <c r="F7" s="71"/>
    </row>
    <row r="8" spans="1:20" ht="9.6" customHeight="1" x14ac:dyDescent="0.2"/>
    <row r="9" spans="1:20" ht="10.15" customHeight="1" x14ac:dyDescent="0.2"/>
    <row r="10" spans="1:20" ht="15" x14ac:dyDescent="0.2">
      <c r="A10" s="12"/>
      <c r="B10" s="60" t="s">
        <v>85</v>
      </c>
      <c r="C10" s="60" t="s">
        <v>122</v>
      </c>
      <c r="D10" s="60" t="s">
        <v>117</v>
      </c>
      <c r="E10" s="60" t="s">
        <v>118</v>
      </c>
      <c r="F10" s="60" t="s">
        <v>119</v>
      </c>
      <c r="G10" s="60" t="s">
        <v>120</v>
      </c>
      <c r="H10" s="60" t="s">
        <v>121</v>
      </c>
      <c r="I10" s="60" t="s">
        <v>123</v>
      </c>
      <c r="J10" s="60" t="s">
        <v>124</v>
      </c>
      <c r="K10" s="60" t="s">
        <v>125</v>
      </c>
      <c r="L10" s="60" t="s">
        <v>126</v>
      </c>
      <c r="M10" s="60" t="s">
        <v>127</v>
      </c>
      <c r="N10" s="60" t="s">
        <v>128</v>
      </c>
      <c r="O10" s="60" t="s">
        <v>129</v>
      </c>
      <c r="P10" s="13" t="s">
        <v>1</v>
      </c>
      <c r="Q10" s="14" t="s">
        <v>2</v>
      </c>
    </row>
    <row r="11" spans="1:20" ht="15" x14ac:dyDescent="0.2">
      <c r="A11" s="15" t="s">
        <v>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7"/>
      <c r="Q11" s="18"/>
    </row>
    <row r="12" spans="1:20" ht="15" x14ac:dyDescent="0.2">
      <c r="A12" s="15" t="s">
        <v>4</v>
      </c>
      <c r="B12" s="19">
        <v>99222.99</v>
      </c>
      <c r="C12" s="19">
        <v>1853141.92</v>
      </c>
      <c r="D12" s="19">
        <v>104503.5</v>
      </c>
      <c r="E12" s="19">
        <v>100000</v>
      </c>
      <c r="F12" s="19">
        <v>0</v>
      </c>
      <c r="G12" s="19">
        <v>140000</v>
      </c>
      <c r="H12" s="19">
        <v>0</v>
      </c>
      <c r="I12" s="19">
        <v>30000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B12+C12+D12+E12+F12+G12+H12+I12+J12+K12+L12+M12+N12+O12</f>
        <v>2326868.41</v>
      </c>
      <c r="Q12" s="21">
        <v>1</v>
      </c>
      <c r="S12" s="70">
        <f>SUM(B12:O12)</f>
        <v>2326868.41</v>
      </c>
      <c r="T12" s="70">
        <f>P12-S12</f>
        <v>0</v>
      </c>
    </row>
    <row r="13" spans="1:20" ht="15" x14ac:dyDescent="0.2">
      <c r="A13" s="15" t="s">
        <v>5</v>
      </c>
      <c r="B13" s="22">
        <v>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B13+C13+D13+E13+F13+G13+H13+I13+J13+K13+L13+M13+N13+O13</f>
        <v>0</v>
      </c>
      <c r="Q13" s="21"/>
      <c r="S13" s="70">
        <f t="shared" ref="S13:S54" si="0">SUM(B13:O13)</f>
        <v>0</v>
      </c>
      <c r="T13" s="70">
        <f t="shared" ref="T13:T55" si="1">P13-S13</f>
        <v>0</v>
      </c>
    </row>
    <row r="14" spans="1:20" ht="15" x14ac:dyDescent="0.2">
      <c r="A14" s="23" t="s">
        <v>6</v>
      </c>
      <c r="B14" s="24">
        <f>B12+B13</f>
        <v>99222.99</v>
      </c>
      <c r="C14" s="67">
        <f t="shared" ref="C14:F14" si="2">C12+C13</f>
        <v>1853141.92</v>
      </c>
      <c r="D14" s="67">
        <f t="shared" si="2"/>
        <v>104503.5</v>
      </c>
      <c r="E14" s="67">
        <f t="shared" si="2"/>
        <v>100000</v>
      </c>
      <c r="F14" s="67">
        <f t="shared" si="2"/>
        <v>0</v>
      </c>
      <c r="G14" s="24">
        <f t="shared" ref="G14:O14" si="3">SUM(G12:G13)</f>
        <v>140000</v>
      </c>
      <c r="H14" s="24">
        <f t="shared" si="3"/>
        <v>0</v>
      </c>
      <c r="I14" s="24">
        <f t="shared" si="3"/>
        <v>30000</v>
      </c>
      <c r="J14" s="24">
        <f t="shared" si="3"/>
        <v>0</v>
      </c>
      <c r="K14" s="24">
        <f t="shared" si="3"/>
        <v>0</v>
      </c>
      <c r="L14" s="24">
        <f t="shared" si="3"/>
        <v>0</v>
      </c>
      <c r="M14" s="24">
        <f t="shared" si="3"/>
        <v>0</v>
      </c>
      <c r="N14" s="24">
        <f t="shared" si="3"/>
        <v>0</v>
      </c>
      <c r="O14" s="24">
        <f t="shared" si="3"/>
        <v>0</v>
      </c>
      <c r="P14" s="24">
        <f>SUM(P12:P13)</f>
        <v>2326868.41</v>
      </c>
      <c r="Q14" s="21">
        <v>1</v>
      </c>
      <c r="S14" s="70">
        <f>SUM(B14:O14)</f>
        <v>2326868.41</v>
      </c>
      <c r="T14" s="70">
        <f t="shared" si="1"/>
        <v>0</v>
      </c>
    </row>
    <row r="15" spans="1:20" ht="15" x14ac:dyDescent="0.2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8"/>
      <c r="S15" s="70"/>
      <c r="T15" s="70">
        <f t="shared" si="1"/>
        <v>0</v>
      </c>
    </row>
    <row r="16" spans="1:20" ht="15" x14ac:dyDescent="0.2">
      <c r="A16" s="29" t="s">
        <v>7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30"/>
      <c r="Q16" s="31"/>
      <c r="S16" s="70">
        <f t="shared" si="0"/>
        <v>0</v>
      </c>
      <c r="T16" s="70">
        <f t="shared" si="1"/>
        <v>0</v>
      </c>
    </row>
    <row r="17" spans="1:20" ht="15" x14ac:dyDescent="0.2">
      <c r="A17" s="15" t="s">
        <v>8</v>
      </c>
      <c r="B17" s="32">
        <v>-3556.42</v>
      </c>
      <c r="C17" s="32">
        <v>-64608.3</v>
      </c>
      <c r="D17" s="76">
        <v>-4352.7</v>
      </c>
      <c r="E17" s="32">
        <v>-3746.58</v>
      </c>
      <c r="F17" s="32">
        <v>-2459.1</v>
      </c>
      <c r="G17" s="32">
        <v>-2016.86</v>
      </c>
      <c r="H17" s="32">
        <v>-1015.59</v>
      </c>
      <c r="I17" s="32">
        <v>-1350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20">
        <f>B17+C17+D17+E17+F17+G17+H17+I17+J17+K17+L17+M17+N17+O17</f>
        <v>-83105.55</v>
      </c>
      <c r="Q17" s="21">
        <f>-P17/$P$14</f>
        <v>3.571562089323306E-2</v>
      </c>
      <c r="S17" s="70">
        <f t="shared" si="0"/>
        <v>-83105.55</v>
      </c>
      <c r="T17" s="70">
        <f t="shared" si="1"/>
        <v>0</v>
      </c>
    </row>
    <row r="18" spans="1:20" ht="15" x14ac:dyDescent="0.2">
      <c r="A18" s="33" t="s">
        <v>9</v>
      </c>
      <c r="B18" s="32">
        <v>-176.92</v>
      </c>
      <c r="C18" s="32">
        <v>-176.92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20">
        <f t="shared" ref="P18:P42" si="4">B18+C18+D18+E18+F18+G18+H18+I18+J18+K18+L18+M18+N18+O18</f>
        <v>-353.84</v>
      </c>
      <c r="Q18" s="21">
        <f t="shared" ref="Q18:Q53" si="5">-P18/$P$14</f>
        <v>1.5206704361936821E-4</v>
      </c>
      <c r="S18" s="70">
        <f t="shared" si="0"/>
        <v>-353.84</v>
      </c>
      <c r="T18" s="70">
        <f t="shared" si="1"/>
        <v>0</v>
      </c>
    </row>
    <row r="19" spans="1:20" ht="15" x14ac:dyDescent="0.2">
      <c r="A19" s="15" t="s">
        <v>10</v>
      </c>
      <c r="B19" s="32">
        <v>-130</v>
      </c>
      <c r="C19" s="32">
        <v>-720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20">
        <f t="shared" si="4"/>
        <v>-850</v>
      </c>
      <c r="Q19" s="21">
        <f t="shared" si="5"/>
        <v>3.6529783822197316E-4</v>
      </c>
      <c r="S19" s="70">
        <f t="shared" si="0"/>
        <v>-850</v>
      </c>
      <c r="T19" s="70">
        <f t="shared" si="1"/>
        <v>0</v>
      </c>
    </row>
    <row r="20" spans="1:20" ht="15" x14ac:dyDescent="0.2">
      <c r="A20" s="33" t="s">
        <v>11</v>
      </c>
      <c r="B20" s="32">
        <v>-1134.81</v>
      </c>
      <c r="C20" s="32">
        <v>-3665.07</v>
      </c>
      <c r="D20" s="32">
        <v>-192.16</v>
      </c>
      <c r="E20" s="32">
        <v>-119.84</v>
      </c>
      <c r="F20" s="32">
        <v>0</v>
      </c>
      <c r="G20" s="32">
        <v>-108.72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20">
        <f t="shared" si="4"/>
        <v>-5220.6000000000004</v>
      </c>
      <c r="Q20" s="21">
        <f t="shared" si="5"/>
        <v>2.2436163461430981E-3</v>
      </c>
      <c r="S20" s="70">
        <f t="shared" si="0"/>
        <v>-5220.6000000000004</v>
      </c>
      <c r="T20" s="70">
        <f t="shared" si="1"/>
        <v>0</v>
      </c>
    </row>
    <row r="21" spans="1:20" ht="15" x14ac:dyDescent="0.2">
      <c r="A21" s="15" t="s">
        <v>12</v>
      </c>
      <c r="B21" s="32">
        <v>-4424.8500000000004</v>
      </c>
      <c r="C21" s="32">
        <v>-54896.17</v>
      </c>
      <c r="D21" s="32">
        <v>-3266.71</v>
      </c>
      <c r="E21" s="32">
        <v>-2330.34</v>
      </c>
      <c r="F21" s="32">
        <v>-1761.65</v>
      </c>
      <c r="G21" s="32">
        <v>-880.82</v>
      </c>
      <c r="H21" s="32">
        <v>-652.5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20">
        <f t="shared" si="4"/>
        <v>-68213.039999999994</v>
      </c>
      <c r="Q21" s="21">
        <f t="shared" si="5"/>
        <v>2.9315383588881156E-2</v>
      </c>
      <c r="S21" s="70">
        <f t="shared" si="0"/>
        <v>-68213.039999999994</v>
      </c>
      <c r="T21" s="70">
        <f t="shared" si="1"/>
        <v>0</v>
      </c>
    </row>
    <row r="22" spans="1:20" ht="15" x14ac:dyDescent="0.2">
      <c r="A22" s="15" t="s">
        <v>13</v>
      </c>
      <c r="B22" s="32">
        <v>-2185.27</v>
      </c>
      <c r="C22" s="32">
        <v>-32343.52</v>
      </c>
      <c r="D22" s="32">
        <v>-1783.52</v>
      </c>
      <c r="E22" s="32">
        <v>-1254.69</v>
      </c>
      <c r="F22" s="32">
        <v>-927.78</v>
      </c>
      <c r="G22" s="32">
        <v>-863.65</v>
      </c>
      <c r="H22" s="32">
        <v>-402.23</v>
      </c>
      <c r="I22" s="32">
        <v>-239.44</v>
      </c>
      <c r="J22" s="32">
        <v>-17.100000000000001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20">
        <f t="shared" si="4"/>
        <v>-40017.200000000004</v>
      </c>
      <c r="Q22" s="21">
        <f t="shared" si="5"/>
        <v>1.7197878413760408E-2</v>
      </c>
      <c r="S22" s="70">
        <f t="shared" si="0"/>
        <v>-40017.200000000004</v>
      </c>
      <c r="T22" s="70">
        <f t="shared" si="1"/>
        <v>0</v>
      </c>
    </row>
    <row r="23" spans="1:20" ht="15" x14ac:dyDescent="0.2">
      <c r="A23" s="15" t="s">
        <v>14</v>
      </c>
      <c r="B23" s="32">
        <v>-881.3</v>
      </c>
      <c r="C23" s="32">
        <v>-9608.14</v>
      </c>
      <c r="D23" s="32">
        <v>-461.9</v>
      </c>
      <c r="E23" s="32">
        <v>-400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20">
        <f t="shared" si="4"/>
        <v>-11351.339999999998</v>
      </c>
      <c r="Q23" s="21">
        <f t="shared" si="5"/>
        <v>4.8783764269677791E-3</v>
      </c>
      <c r="S23" s="70">
        <f t="shared" si="0"/>
        <v>-11351.339999999998</v>
      </c>
      <c r="T23" s="70">
        <f t="shared" si="1"/>
        <v>0</v>
      </c>
    </row>
    <row r="24" spans="1:20" ht="15" x14ac:dyDescent="0.2">
      <c r="A24" s="15" t="s">
        <v>15</v>
      </c>
      <c r="B24" s="32">
        <v>0</v>
      </c>
      <c r="C24" s="32">
        <v>3272.81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20">
        <f t="shared" si="4"/>
        <v>3272.81</v>
      </c>
      <c r="Q24" s="21">
        <f>P24/$P$14</f>
        <v>1.406529903425007E-3</v>
      </c>
      <c r="S24" s="70">
        <f t="shared" si="0"/>
        <v>3272.81</v>
      </c>
      <c r="T24" s="70">
        <f t="shared" si="1"/>
        <v>0</v>
      </c>
    </row>
    <row r="25" spans="1:20" ht="15" x14ac:dyDescent="0.2">
      <c r="A25" s="15" t="s">
        <v>16</v>
      </c>
      <c r="B25" s="32">
        <v>0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20">
        <f t="shared" si="4"/>
        <v>0</v>
      </c>
      <c r="Q25" s="21">
        <f t="shared" si="5"/>
        <v>0</v>
      </c>
      <c r="S25" s="70">
        <f t="shared" si="0"/>
        <v>0</v>
      </c>
      <c r="T25" s="70">
        <f t="shared" si="1"/>
        <v>0</v>
      </c>
    </row>
    <row r="26" spans="1:20" ht="15" x14ac:dyDescent="0.2">
      <c r="A26" s="15" t="s">
        <v>17</v>
      </c>
      <c r="B26" s="32">
        <v>-2589.83</v>
      </c>
      <c r="C26" s="32">
        <v>-36875.480000000003</v>
      </c>
      <c r="D26" s="32">
        <v>-1961.87</v>
      </c>
      <c r="E26" s="32">
        <v>-1380.16</v>
      </c>
      <c r="F26" s="32">
        <v>-1172.25</v>
      </c>
      <c r="G26" s="32">
        <v>-950.01</v>
      </c>
      <c r="H26" s="32">
        <v>-645.47</v>
      </c>
      <c r="I26" s="32">
        <v>-263.38</v>
      </c>
      <c r="J26" s="32">
        <v>-18.809999999999999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20">
        <f t="shared" si="4"/>
        <v>-45857.260000000009</v>
      </c>
      <c r="Q26" s="21">
        <f t="shared" si="5"/>
        <v>1.9707715229156431E-2</v>
      </c>
      <c r="S26" s="70">
        <f t="shared" si="0"/>
        <v>-45857.260000000009</v>
      </c>
      <c r="T26" s="70">
        <f t="shared" si="1"/>
        <v>0</v>
      </c>
    </row>
    <row r="27" spans="1:20" ht="15" x14ac:dyDescent="0.2">
      <c r="A27" s="15" t="s">
        <v>18</v>
      </c>
      <c r="B27" s="32">
        <v>0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20">
        <f t="shared" si="4"/>
        <v>0</v>
      </c>
      <c r="Q27" s="21">
        <f t="shared" si="5"/>
        <v>0</v>
      </c>
      <c r="S27" s="70">
        <f t="shared" si="0"/>
        <v>0</v>
      </c>
      <c r="T27" s="70">
        <f t="shared" si="1"/>
        <v>0</v>
      </c>
    </row>
    <row r="28" spans="1:20" ht="15" x14ac:dyDescent="0.2">
      <c r="A28" s="15" t="s">
        <v>19</v>
      </c>
      <c r="B28" s="32">
        <v>-11.87</v>
      </c>
      <c r="C28" s="32">
        <v>-14643.65</v>
      </c>
      <c r="D28" s="32">
        <v>-80</v>
      </c>
      <c r="E28" s="32">
        <v>-2298.38</v>
      </c>
      <c r="F28" s="32">
        <v>-730</v>
      </c>
      <c r="G28" s="32">
        <v>-730</v>
      </c>
      <c r="H28" s="32">
        <v>-730</v>
      </c>
      <c r="I28" s="32">
        <v>0</v>
      </c>
      <c r="J28" s="32">
        <v>-23.55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20">
        <f t="shared" si="4"/>
        <v>-19247.45</v>
      </c>
      <c r="Q28" s="21">
        <f t="shared" si="5"/>
        <v>8.2718257368064908E-3</v>
      </c>
      <c r="S28" s="70">
        <f t="shared" si="0"/>
        <v>-19247.45</v>
      </c>
      <c r="T28" s="70">
        <f t="shared" si="1"/>
        <v>0</v>
      </c>
    </row>
    <row r="29" spans="1:20" ht="15" x14ac:dyDescent="0.2">
      <c r="A29" s="15" t="s">
        <v>20</v>
      </c>
      <c r="B29" s="32">
        <v>0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20">
        <f t="shared" si="4"/>
        <v>0</v>
      </c>
      <c r="Q29" s="21">
        <f t="shared" si="5"/>
        <v>0</v>
      </c>
      <c r="S29" s="70">
        <f t="shared" si="0"/>
        <v>0</v>
      </c>
      <c r="T29" s="70">
        <f t="shared" si="1"/>
        <v>0</v>
      </c>
    </row>
    <row r="30" spans="1:20" ht="15" x14ac:dyDescent="0.2">
      <c r="A30" s="15" t="s">
        <v>59</v>
      </c>
      <c r="B30" s="32">
        <v>0</v>
      </c>
      <c r="C30" s="32">
        <v>0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20">
        <f t="shared" si="4"/>
        <v>0</v>
      </c>
      <c r="Q30" s="21">
        <f t="shared" si="5"/>
        <v>0</v>
      </c>
      <c r="S30" s="70">
        <f t="shared" si="0"/>
        <v>0</v>
      </c>
      <c r="T30" s="70">
        <f t="shared" si="1"/>
        <v>0</v>
      </c>
    </row>
    <row r="31" spans="1:20" ht="15" x14ac:dyDescent="0.2">
      <c r="A31" s="15" t="s">
        <v>21</v>
      </c>
      <c r="B31" s="32">
        <v>-647.32000000000005</v>
      </c>
      <c r="C31" s="32">
        <v>-3769.78</v>
      </c>
      <c r="D31" s="32">
        <v>-405</v>
      </c>
      <c r="E31" s="32">
        <v>0</v>
      </c>
      <c r="F31" s="32">
        <v>-180</v>
      </c>
      <c r="G31" s="32">
        <v>0</v>
      </c>
      <c r="H31" s="32">
        <v>0</v>
      </c>
      <c r="I31" s="32">
        <v>-45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20">
        <f t="shared" si="4"/>
        <v>-5047.1000000000004</v>
      </c>
      <c r="Q31" s="21">
        <f t="shared" si="5"/>
        <v>2.1690526109295542E-3</v>
      </c>
      <c r="S31" s="70">
        <f t="shared" si="0"/>
        <v>-5047.1000000000004</v>
      </c>
      <c r="T31" s="70">
        <f t="shared" si="1"/>
        <v>0</v>
      </c>
    </row>
    <row r="32" spans="1:20" ht="15" x14ac:dyDescent="0.2">
      <c r="A32" s="15" t="s">
        <v>22</v>
      </c>
      <c r="B32" s="32">
        <v>0</v>
      </c>
      <c r="C32" s="32">
        <v>0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20">
        <f t="shared" si="4"/>
        <v>0</v>
      </c>
      <c r="Q32" s="21">
        <f t="shared" si="5"/>
        <v>0</v>
      </c>
      <c r="S32" s="70">
        <f t="shared" si="0"/>
        <v>0</v>
      </c>
      <c r="T32" s="70">
        <f t="shared" si="1"/>
        <v>0</v>
      </c>
    </row>
    <row r="33" spans="1:20" ht="15" x14ac:dyDescent="0.2">
      <c r="A33" s="33" t="s">
        <v>23</v>
      </c>
      <c r="B33" s="32">
        <v>-472.17</v>
      </c>
      <c r="C33" s="32">
        <v>-773.31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20">
        <f t="shared" si="4"/>
        <v>-1245.48</v>
      </c>
      <c r="Q33" s="21">
        <f t="shared" si="5"/>
        <v>5.3526017829259192E-4</v>
      </c>
      <c r="S33" s="70">
        <f t="shared" si="0"/>
        <v>-1245.48</v>
      </c>
      <c r="T33" s="70">
        <f t="shared" si="1"/>
        <v>0</v>
      </c>
    </row>
    <row r="34" spans="1:20" ht="15" x14ac:dyDescent="0.2">
      <c r="A34" s="15" t="s">
        <v>24</v>
      </c>
      <c r="B34" s="32">
        <v>-9456</v>
      </c>
      <c r="C34" s="32">
        <v>-130488.79</v>
      </c>
      <c r="D34" s="32">
        <v>-5670</v>
      </c>
      <c r="E34" s="32">
        <v>-4686</v>
      </c>
      <c r="F34" s="32">
        <v>-6062.78</v>
      </c>
      <c r="G34" s="32">
        <v>-4790</v>
      </c>
      <c r="H34" s="32">
        <v>-2622.5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20">
        <f t="shared" si="4"/>
        <v>-163776.06999999998</v>
      </c>
      <c r="Q34" s="21">
        <f t="shared" si="5"/>
        <v>7.0384758027635941E-2</v>
      </c>
      <c r="S34" s="70">
        <f t="shared" si="0"/>
        <v>-163776.06999999998</v>
      </c>
      <c r="T34" s="70">
        <f t="shared" si="1"/>
        <v>0</v>
      </c>
    </row>
    <row r="35" spans="1:20" ht="15" x14ac:dyDescent="0.2">
      <c r="A35" s="34" t="s">
        <v>25</v>
      </c>
      <c r="B35" s="32">
        <v>-26432.28</v>
      </c>
      <c r="C35" s="32">
        <v>-382307.47</v>
      </c>
      <c r="D35" s="32">
        <v>-21822.44</v>
      </c>
      <c r="E35" s="32">
        <v>-15279.97</v>
      </c>
      <c r="F35" s="32">
        <v>-12744.53</v>
      </c>
      <c r="G35" s="32">
        <v>-4414.78</v>
      </c>
      <c r="H35" s="32">
        <v>-6437.12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20">
        <f t="shared" si="4"/>
        <v>-469438.59</v>
      </c>
      <c r="Q35" s="21">
        <f t="shared" si="5"/>
        <v>0.2017469436529073</v>
      </c>
      <c r="S35" s="70">
        <f t="shared" si="0"/>
        <v>-469438.59</v>
      </c>
      <c r="T35" s="70">
        <f t="shared" si="1"/>
        <v>0</v>
      </c>
    </row>
    <row r="36" spans="1:20" ht="15" x14ac:dyDescent="0.2">
      <c r="A36" s="15" t="s">
        <v>26</v>
      </c>
      <c r="B36" s="32">
        <v>0</v>
      </c>
      <c r="C36" s="32">
        <v>-72.72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20">
        <f t="shared" si="4"/>
        <v>-72.72</v>
      </c>
      <c r="Q36" s="21">
        <f t="shared" si="5"/>
        <v>3.1252304465296336E-5</v>
      </c>
      <c r="S36" s="70">
        <f t="shared" si="0"/>
        <v>-72.72</v>
      </c>
      <c r="T36" s="70">
        <f t="shared" si="1"/>
        <v>0</v>
      </c>
    </row>
    <row r="37" spans="1:20" ht="15" x14ac:dyDescent="0.2">
      <c r="A37" s="15" t="s">
        <v>27</v>
      </c>
      <c r="B37" s="32">
        <v>0</v>
      </c>
      <c r="C37" s="32">
        <v>0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20">
        <f t="shared" si="4"/>
        <v>0</v>
      </c>
      <c r="Q37" s="21">
        <f t="shared" si="5"/>
        <v>0</v>
      </c>
      <c r="S37" s="70">
        <f t="shared" si="0"/>
        <v>0</v>
      </c>
      <c r="T37" s="70">
        <f t="shared" si="1"/>
        <v>0</v>
      </c>
    </row>
    <row r="38" spans="1:20" ht="15" x14ac:dyDescent="0.2">
      <c r="A38" s="33" t="s">
        <v>28</v>
      </c>
      <c r="B38" s="32">
        <v>-959.21</v>
      </c>
      <c r="C38" s="32">
        <v>-5192.93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20">
        <f t="shared" si="4"/>
        <v>-6152.14</v>
      </c>
      <c r="Q38" s="21">
        <f t="shared" si="5"/>
        <v>2.6439569911046235E-3</v>
      </c>
      <c r="S38" s="70">
        <f t="shared" si="0"/>
        <v>-6152.14</v>
      </c>
      <c r="T38" s="70">
        <f t="shared" si="1"/>
        <v>0</v>
      </c>
    </row>
    <row r="39" spans="1:20" ht="15" x14ac:dyDescent="0.2">
      <c r="A39" s="15" t="s">
        <v>29</v>
      </c>
      <c r="B39" s="32">
        <v>-1800.9</v>
      </c>
      <c r="C39" s="32">
        <v>-27160.880000000001</v>
      </c>
      <c r="D39" s="32">
        <v>-1602.66</v>
      </c>
      <c r="E39" s="32">
        <v>-2233.2600000000002</v>
      </c>
      <c r="F39" s="32">
        <v>-1066.18</v>
      </c>
      <c r="G39" s="32">
        <v>-1564.28</v>
      </c>
      <c r="H39" s="32">
        <v>-259.98</v>
      </c>
      <c r="I39" s="32">
        <v>-528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20">
        <f t="shared" si="4"/>
        <v>-36216.140000000007</v>
      </c>
      <c r="Q39" s="21">
        <f t="shared" si="5"/>
        <v>1.556432664793451E-2</v>
      </c>
      <c r="S39" s="70">
        <f t="shared" si="0"/>
        <v>-36216.140000000007</v>
      </c>
      <c r="T39" s="70">
        <f t="shared" si="1"/>
        <v>0</v>
      </c>
    </row>
    <row r="40" spans="1:20" ht="15" x14ac:dyDescent="0.2">
      <c r="A40" s="15" t="s">
        <v>30</v>
      </c>
      <c r="B40" s="32">
        <v>-1429.3</v>
      </c>
      <c r="C40" s="32">
        <v>-38166.42</v>
      </c>
      <c r="D40" s="32">
        <v>-2257.6</v>
      </c>
      <c r="E40" s="32">
        <v>-1555.33</v>
      </c>
      <c r="F40" s="32">
        <v>-1321.23</v>
      </c>
      <c r="G40" s="32">
        <v>-660.62</v>
      </c>
      <c r="H40" s="32">
        <v>-489.37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20">
        <f t="shared" si="4"/>
        <v>-45879.87000000001</v>
      </c>
      <c r="Q40" s="21">
        <f t="shared" si="5"/>
        <v>1.9717432151653135E-2</v>
      </c>
      <c r="S40" s="70">
        <f t="shared" si="0"/>
        <v>-45879.87000000001</v>
      </c>
      <c r="T40" s="70">
        <f t="shared" si="1"/>
        <v>0</v>
      </c>
    </row>
    <row r="41" spans="1:20" ht="15" x14ac:dyDescent="0.2">
      <c r="A41" s="15" t="s">
        <v>97</v>
      </c>
      <c r="B41" s="32">
        <v>0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20">
        <f t="shared" si="4"/>
        <v>0</v>
      </c>
      <c r="Q41" s="21">
        <f t="shared" si="5"/>
        <v>0</v>
      </c>
      <c r="S41" s="70">
        <f t="shared" si="0"/>
        <v>0</v>
      </c>
      <c r="T41" s="70">
        <f t="shared" si="1"/>
        <v>0</v>
      </c>
    </row>
    <row r="42" spans="1:20" ht="15" x14ac:dyDescent="0.2">
      <c r="A42" s="15" t="s">
        <v>114</v>
      </c>
      <c r="B42" s="32">
        <v>0</v>
      </c>
      <c r="C42" s="32">
        <v>0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20">
        <f t="shared" si="4"/>
        <v>0</v>
      </c>
      <c r="Q42" s="21">
        <f t="shared" si="5"/>
        <v>0</v>
      </c>
      <c r="S42" s="70">
        <f t="shared" si="0"/>
        <v>0</v>
      </c>
      <c r="T42" s="70">
        <f t="shared" si="1"/>
        <v>0</v>
      </c>
    </row>
    <row r="43" spans="1:20" ht="15" x14ac:dyDescent="0.2">
      <c r="A43" s="35" t="s">
        <v>31</v>
      </c>
      <c r="B43" s="36">
        <f>SUM(B17:B42)</f>
        <v>-56288.450000000004</v>
      </c>
      <c r="C43" s="36">
        <f t="shared" ref="C43:O43" si="6">SUM(C17:C42)</f>
        <v>-802196.74000000011</v>
      </c>
      <c r="D43" s="36">
        <f t="shared" si="6"/>
        <v>-43856.560000000005</v>
      </c>
      <c r="E43" s="36">
        <f t="shared" si="6"/>
        <v>-35284.550000000003</v>
      </c>
      <c r="F43" s="36">
        <f t="shared" si="6"/>
        <v>-28425.5</v>
      </c>
      <c r="G43" s="36">
        <f t="shared" si="6"/>
        <v>-16979.740000000002</v>
      </c>
      <c r="H43" s="36">
        <f t="shared" si="6"/>
        <v>-13254.76</v>
      </c>
      <c r="I43" s="36">
        <f t="shared" si="6"/>
        <v>-2425.8200000000002</v>
      </c>
      <c r="J43" s="36">
        <f t="shared" si="6"/>
        <v>-59.459999999999994</v>
      </c>
      <c r="K43" s="36">
        <f t="shared" si="6"/>
        <v>0</v>
      </c>
      <c r="L43" s="36">
        <f t="shared" si="6"/>
        <v>0</v>
      </c>
      <c r="M43" s="36">
        <f t="shared" si="6"/>
        <v>0</v>
      </c>
      <c r="N43" s="36">
        <f t="shared" si="6"/>
        <v>0</v>
      </c>
      <c r="O43" s="36">
        <f t="shared" si="6"/>
        <v>0</v>
      </c>
      <c r="P43" s="36">
        <f>SUM(P17:P42)</f>
        <v>-998771.58</v>
      </c>
      <c r="Q43" s="21">
        <f t="shared" si="5"/>
        <v>0.42923423417828765</v>
      </c>
      <c r="S43" s="70">
        <f t="shared" si="0"/>
        <v>-998771.58000000007</v>
      </c>
      <c r="T43" s="70">
        <f t="shared" si="1"/>
        <v>0</v>
      </c>
    </row>
    <row r="44" spans="1:20" ht="15" x14ac:dyDescent="0.2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27"/>
      <c r="Q44" s="18"/>
      <c r="S44" s="70">
        <f t="shared" si="0"/>
        <v>0</v>
      </c>
      <c r="T44" s="70">
        <f t="shared" si="1"/>
        <v>0</v>
      </c>
    </row>
    <row r="45" spans="1:20" ht="15" x14ac:dyDescent="0.2">
      <c r="A45" s="39" t="s">
        <v>32</v>
      </c>
      <c r="B45" s="40">
        <f t="shared" ref="B45:O45" si="7">B14+B43</f>
        <v>42934.54</v>
      </c>
      <c r="C45" s="40">
        <f t="shared" si="7"/>
        <v>1050945.1799999997</v>
      </c>
      <c r="D45" s="40">
        <f t="shared" si="7"/>
        <v>60646.939999999995</v>
      </c>
      <c r="E45" s="40">
        <f t="shared" si="7"/>
        <v>64715.45</v>
      </c>
      <c r="F45" s="58">
        <f t="shared" si="7"/>
        <v>-28425.5</v>
      </c>
      <c r="G45" s="40">
        <f t="shared" si="7"/>
        <v>123020.26</v>
      </c>
      <c r="H45" s="58">
        <f t="shared" si="7"/>
        <v>-13254.76</v>
      </c>
      <c r="I45" s="40">
        <f t="shared" si="7"/>
        <v>27574.18</v>
      </c>
      <c r="J45" s="58">
        <f t="shared" si="7"/>
        <v>-59.459999999999994</v>
      </c>
      <c r="K45" s="58">
        <f t="shared" si="7"/>
        <v>0</v>
      </c>
      <c r="L45" s="58">
        <f t="shared" si="7"/>
        <v>0</v>
      </c>
      <c r="M45" s="58">
        <f t="shared" si="7"/>
        <v>0</v>
      </c>
      <c r="N45" s="58">
        <f t="shared" si="7"/>
        <v>0</v>
      </c>
      <c r="O45" s="58">
        <f t="shared" si="7"/>
        <v>0</v>
      </c>
      <c r="P45" s="40">
        <f>B45+C45+D45+E45+F45+G45+H45+I45+J45+K45+L45+M45+N45+O45</f>
        <v>1328096.8299999996</v>
      </c>
      <c r="Q45" s="21">
        <f>P45/$P$14</f>
        <v>0.57076576582171212</v>
      </c>
      <c r="S45" s="70">
        <f>SUM(B45:O45)</f>
        <v>1328096.8299999996</v>
      </c>
      <c r="T45" s="70">
        <f t="shared" si="1"/>
        <v>0</v>
      </c>
    </row>
    <row r="46" spans="1:20" ht="15" x14ac:dyDescent="0.2">
      <c r="A46" s="41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4"/>
      <c r="S46" s="70">
        <f t="shared" si="0"/>
        <v>0</v>
      </c>
      <c r="T46" s="70">
        <f t="shared" si="1"/>
        <v>0</v>
      </c>
    </row>
    <row r="47" spans="1:20" ht="15" x14ac:dyDescent="0.2">
      <c r="A47" s="29" t="s">
        <v>56</v>
      </c>
      <c r="B47" s="45">
        <v>-13047.82</v>
      </c>
      <c r="C47" s="45">
        <f t="shared" ref="C47:L47" si="8">-C12*13.15%</f>
        <v>-243688.16248</v>
      </c>
      <c r="D47" s="45">
        <f t="shared" si="8"/>
        <v>-13742.21025</v>
      </c>
      <c r="E47" s="45">
        <f t="shared" si="8"/>
        <v>-13150</v>
      </c>
      <c r="F47" s="45">
        <f t="shared" si="8"/>
        <v>0</v>
      </c>
      <c r="G47" s="45">
        <f t="shared" si="8"/>
        <v>-18410</v>
      </c>
      <c r="H47" s="45">
        <f t="shared" si="8"/>
        <v>0</v>
      </c>
      <c r="I47" s="45">
        <f t="shared" si="8"/>
        <v>-3945</v>
      </c>
      <c r="J47" s="45">
        <f t="shared" si="8"/>
        <v>0</v>
      </c>
      <c r="K47" s="45">
        <f t="shared" si="8"/>
        <v>0</v>
      </c>
      <c r="L47" s="45">
        <f t="shared" si="8"/>
        <v>0</v>
      </c>
      <c r="M47" s="45">
        <f>-M12*13.15%</f>
        <v>0</v>
      </c>
      <c r="N47" s="45">
        <f t="shared" ref="N47:O47" si="9">-N12*13.15%</f>
        <v>0</v>
      </c>
      <c r="O47" s="45">
        <f t="shared" si="9"/>
        <v>0</v>
      </c>
      <c r="P47" s="45">
        <f>B47+C47+D47+E47+F47+G47+H47+I47+J47+K47+L47+M47+N47+O47</f>
        <v>-305983.19273000001</v>
      </c>
      <c r="Q47" s="21">
        <f t="shared" si="5"/>
        <v>0.13149999863120751</v>
      </c>
      <c r="S47" s="70">
        <f t="shared" si="0"/>
        <v>-305983.19273000001</v>
      </c>
      <c r="T47" s="70">
        <f t="shared" si="1"/>
        <v>0</v>
      </c>
    </row>
    <row r="48" spans="1:20" ht="15" x14ac:dyDescent="0.2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4"/>
      <c r="S48" s="70">
        <f t="shared" si="0"/>
        <v>0</v>
      </c>
      <c r="T48" s="70">
        <f t="shared" si="1"/>
        <v>0</v>
      </c>
    </row>
    <row r="49" spans="1:20" ht="15" x14ac:dyDescent="0.2">
      <c r="A49" s="29" t="s">
        <v>33</v>
      </c>
      <c r="B49" s="45">
        <f t="shared" ref="B49:O49" si="10">-B12*1.22%</f>
        <v>-1210.5204779999999</v>
      </c>
      <c r="C49" s="45">
        <f t="shared" si="10"/>
        <v>-22608.331423999996</v>
      </c>
      <c r="D49" s="45">
        <f t="shared" si="10"/>
        <v>-1274.9426999999998</v>
      </c>
      <c r="E49" s="45">
        <f t="shared" si="10"/>
        <v>-1220</v>
      </c>
      <c r="F49" s="45">
        <f t="shared" si="10"/>
        <v>0</v>
      </c>
      <c r="G49" s="45">
        <f t="shared" si="10"/>
        <v>-1707.9999999999998</v>
      </c>
      <c r="H49" s="45">
        <f t="shared" si="10"/>
        <v>0</v>
      </c>
      <c r="I49" s="45">
        <f t="shared" si="10"/>
        <v>-365.99999999999994</v>
      </c>
      <c r="J49" s="45">
        <f t="shared" si="10"/>
        <v>0</v>
      </c>
      <c r="K49" s="45">
        <f t="shared" si="10"/>
        <v>0</v>
      </c>
      <c r="L49" s="45">
        <f t="shared" si="10"/>
        <v>0</v>
      </c>
      <c r="M49" s="45">
        <f t="shared" si="10"/>
        <v>0</v>
      </c>
      <c r="N49" s="45">
        <f t="shared" si="10"/>
        <v>0</v>
      </c>
      <c r="O49" s="45">
        <f t="shared" si="10"/>
        <v>0</v>
      </c>
      <c r="P49" s="45">
        <f>B49+C49+D49+E49+F49+G49+H49+I49+J49+K49+L49+M49+N49+O49</f>
        <v>-28387.794601999994</v>
      </c>
      <c r="Q49" s="21">
        <f t="shared" si="5"/>
        <v>1.2199999999999997E-2</v>
      </c>
      <c r="S49" s="70">
        <f t="shared" si="0"/>
        <v>-28387.794601999994</v>
      </c>
      <c r="T49" s="70">
        <f t="shared" si="1"/>
        <v>0</v>
      </c>
    </row>
    <row r="50" spans="1:20" ht="14.25" x14ac:dyDescent="0.2">
      <c r="A50" s="43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4"/>
      <c r="S50" s="70">
        <f t="shared" si="0"/>
        <v>0</v>
      </c>
      <c r="T50" s="70">
        <f t="shared" si="1"/>
        <v>0</v>
      </c>
    </row>
    <row r="51" spans="1:20" ht="15" x14ac:dyDescent="0.2">
      <c r="A51" s="147" t="s">
        <v>107</v>
      </c>
      <c r="B51" s="49">
        <f t="shared" ref="B51:N51" si="11">B43*5.56%</f>
        <v>-3129.6378199999999</v>
      </c>
      <c r="C51" s="49">
        <f t="shared" si="11"/>
        <v>-44602.138744000003</v>
      </c>
      <c r="D51" s="49">
        <f t="shared" si="11"/>
        <v>-2438.4247359999999</v>
      </c>
      <c r="E51" s="49">
        <f t="shared" si="11"/>
        <v>-1961.82098</v>
      </c>
      <c r="F51" s="49">
        <f t="shared" si="11"/>
        <v>-1580.4577999999999</v>
      </c>
      <c r="G51" s="49">
        <f t="shared" si="11"/>
        <v>-944.07354400000008</v>
      </c>
      <c r="H51" s="49">
        <f>H43*5.56%</f>
        <v>-736.96465599999999</v>
      </c>
      <c r="I51" s="49">
        <f t="shared" si="11"/>
        <v>-134.87559200000001</v>
      </c>
      <c r="J51" s="49">
        <f t="shared" si="11"/>
        <v>-3.3059759999999994</v>
      </c>
      <c r="K51" s="49">
        <f t="shared" si="11"/>
        <v>0</v>
      </c>
      <c r="L51" s="49">
        <f t="shared" si="11"/>
        <v>0</v>
      </c>
      <c r="M51" s="49">
        <f t="shared" si="11"/>
        <v>0</v>
      </c>
      <c r="N51" s="49">
        <f t="shared" si="11"/>
        <v>0</v>
      </c>
      <c r="O51" s="49">
        <f>O43*5.56%</f>
        <v>0</v>
      </c>
      <c r="P51" s="45">
        <f>B51+C51+D51+E51+F51+G51+H51+I51+J51+K51+L51+M51+N51+O51</f>
        <v>-55531.699847999989</v>
      </c>
      <c r="Q51" s="21">
        <f t="shared" si="5"/>
        <v>2.3865423420312792E-2</v>
      </c>
      <c r="S51" s="70">
        <f t="shared" si="0"/>
        <v>-55531.699847999989</v>
      </c>
      <c r="T51" s="70">
        <f t="shared" si="1"/>
        <v>0</v>
      </c>
    </row>
    <row r="52" spans="1:20" ht="14.25" x14ac:dyDescent="0.2">
      <c r="A52" s="43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4"/>
      <c r="S52" s="70">
        <f t="shared" si="0"/>
        <v>0</v>
      </c>
      <c r="T52" s="70">
        <f t="shared" si="1"/>
        <v>0</v>
      </c>
    </row>
    <row r="53" spans="1:20" ht="15" x14ac:dyDescent="0.2">
      <c r="A53" s="48" t="s">
        <v>58</v>
      </c>
      <c r="B53" s="49">
        <v>-5.63</v>
      </c>
      <c r="C53" s="49">
        <f>C43*0.01%</f>
        <v>-80.219674000000012</v>
      </c>
      <c r="D53" s="49">
        <f t="shared" ref="D53:L53" si="12">D43*0.01%</f>
        <v>-4.3856560000000009</v>
      </c>
      <c r="E53" s="49">
        <f t="shared" si="12"/>
        <v>-3.5284550000000006</v>
      </c>
      <c r="F53" s="49">
        <f t="shared" si="12"/>
        <v>-2.8425500000000001</v>
      </c>
      <c r="G53" s="49">
        <f t="shared" si="12"/>
        <v>-1.6979740000000003</v>
      </c>
      <c r="H53" s="49">
        <f t="shared" si="12"/>
        <v>-1.3254760000000001</v>
      </c>
      <c r="I53" s="49">
        <f t="shared" si="12"/>
        <v>-0.24258200000000002</v>
      </c>
      <c r="J53" s="49">
        <f t="shared" si="12"/>
        <v>-5.9459999999999999E-3</v>
      </c>
      <c r="K53" s="49">
        <f t="shared" si="12"/>
        <v>0</v>
      </c>
      <c r="L53" s="49">
        <f t="shared" si="12"/>
        <v>0</v>
      </c>
      <c r="M53" s="49">
        <f>M43*0.01%</f>
        <v>0</v>
      </c>
      <c r="N53" s="49">
        <f t="shared" ref="N53" si="13">N43*0.01%</f>
        <v>0</v>
      </c>
      <c r="O53" s="49">
        <f>O43*0.01%</f>
        <v>0</v>
      </c>
      <c r="P53" s="45">
        <f>B53+C53+D53+E53+F53+G53+H53+I53+J53+K53+L53+M53+N53+O53</f>
        <v>-99.878312999999991</v>
      </c>
      <c r="Q53" s="21">
        <f t="shared" si="5"/>
        <v>4.2923919793126587E-5</v>
      </c>
      <c r="S53" s="70">
        <f t="shared" si="0"/>
        <v>-99.878312999999991</v>
      </c>
      <c r="T53" s="70">
        <f t="shared" si="1"/>
        <v>0</v>
      </c>
    </row>
    <row r="54" spans="1:20" ht="14.25" x14ac:dyDescent="0.2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4"/>
      <c r="S54" s="70">
        <f t="shared" si="0"/>
        <v>0</v>
      </c>
      <c r="T54" s="70">
        <f t="shared" si="1"/>
        <v>0</v>
      </c>
    </row>
    <row r="55" spans="1:20" ht="15" x14ac:dyDescent="0.2">
      <c r="A55" s="39" t="s">
        <v>76</v>
      </c>
      <c r="B55" s="40">
        <f>B45+B51+B53+B47+B49</f>
        <v>25540.931702000009</v>
      </c>
      <c r="C55" s="40">
        <f>C45+C51+C53+C47+C49</f>
        <v>739966.32767799962</v>
      </c>
      <c r="D55" s="40">
        <f>D45+D51+D53+D47+D49</f>
        <v>43186.976658</v>
      </c>
      <c r="E55" s="40">
        <f>E45+E51+E53+E47+E49</f>
        <v>48380.100565000001</v>
      </c>
      <c r="F55" s="58">
        <f>F45+F51+F53+F47+F49</f>
        <v>-30008.800350000001</v>
      </c>
      <c r="G55" s="58">
        <f t="shared" ref="G55:N55" si="14">G45+G51+G53+G47+G49</f>
        <v>101956.488482</v>
      </c>
      <c r="H55" s="58">
        <f t="shared" si="14"/>
        <v>-13993.050132</v>
      </c>
      <c r="I55" s="58">
        <f t="shared" si="14"/>
        <v>23128.061826000001</v>
      </c>
      <c r="J55" s="58">
        <f t="shared" si="14"/>
        <v>-62.771921999999996</v>
      </c>
      <c r="K55" s="58">
        <f t="shared" si="14"/>
        <v>0</v>
      </c>
      <c r="L55" s="58">
        <f t="shared" si="14"/>
        <v>0</v>
      </c>
      <c r="M55" s="58">
        <f t="shared" si="14"/>
        <v>0</v>
      </c>
      <c r="N55" s="58">
        <f t="shared" si="14"/>
        <v>0</v>
      </c>
      <c r="O55" s="58">
        <f>O45+O51+O53+O47+O49</f>
        <v>0</v>
      </c>
      <c r="P55" s="40">
        <f>B55+C55+D55+E55+F55+G55+H55+I55+J55+K55+L55+M55+N55+O55</f>
        <v>938094.26450699952</v>
      </c>
      <c r="Q55" s="21">
        <f>P55/$P$14</f>
        <v>0.4031574198503986</v>
      </c>
      <c r="S55" s="70">
        <f>SUM(B55:O55)</f>
        <v>938094.26450699952</v>
      </c>
      <c r="T55" s="70">
        <f t="shared" si="1"/>
        <v>0</v>
      </c>
    </row>
    <row r="56" spans="1:20" x14ac:dyDescent="0.2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</row>
    <row r="57" spans="1:20" ht="15" x14ac:dyDescent="0.2">
      <c r="A57" s="52" t="s">
        <v>35</v>
      </c>
      <c r="B57" s="13"/>
      <c r="C57" s="77"/>
      <c r="D57" s="13">
        <v>10</v>
      </c>
      <c r="E57" s="13">
        <v>7</v>
      </c>
      <c r="F57" s="13">
        <v>7</v>
      </c>
      <c r="G57" s="13">
        <v>4</v>
      </c>
      <c r="H57" s="13">
        <v>3</v>
      </c>
      <c r="I57" s="13">
        <v>1</v>
      </c>
      <c r="J57" s="13">
        <v>1</v>
      </c>
      <c r="K57" s="13"/>
      <c r="L57" s="13"/>
      <c r="M57" s="13"/>
      <c r="N57" s="13"/>
      <c r="O57" s="13"/>
      <c r="P57" s="53"/>
      <c r="Q57" s="50"/>
    </row>
    <row r="58" spans="1:20" ht="15" x14ac:dyDescent="0.25">
      <c r="A58" s="81"/>
      <c r="B58" s="79"/>
      <c r="C58" s="79"/>
      <c r="E58"/>
      <c r="F58"/>
      <c r="G58"/>
      <c r="H58"/>
      <c r="I58"/>
      <c r="J58" s="107" t="s">
        <v>181</v>
      </c>
      <c r="K58" s="107"/>
      <c r="L58" s="107"/>
      <c r="M58" s="107"/>
      <c r="N58" s="107"/>
      <c r="O58" s="107"/>
      <c r="P58" s="107"/>
      <c r="Q58" s="63"/>
    </row>
    <row r="59" spans="1:20" ht="15" x14ac:dyDescent="0.25">
      <c r="A59" s="54" t="s">
        <v>36</v>
      </c>
      <c r="B59" s="50"/>
      <c r="C59" s="50"/>
      <c r="D59" s="83"/>
      <c r="Q59" s="89">
        <v>45535</v>
      </c>
    </row>
    <row r="60" spans="1:20" x14ac:dyDescent="0.2">
      <c r="B60" s="70">
        <f>B14+B43+B47+B49+B51+B53</f>
        <v>25540.931702000002</v>
      </c>
      <c r="C60" s="70">
        <f t="shared" ref="C60:O60" si="15">C14+C43+C47+C49+C51+C53</f>
        <v>739966.32767799974</v>
      </c>
      <c r="D60" s="70">
        <f t="shared" si="15"/>
        <v>43186.976658</v>
      </c>
      <c r="E60" s="70">
        <f t="shared" si="15"/>
        <v>48380.100565000001</v>
      </c>
      <c r="F60" s="70">
        <f t="shared" si="15"/>
        <v>-30008.800350000001</v>
      </c>
      <c r="G60" s="70">
        <f t="shared" si="15"/>
        <v>101956.488482</v>
      </c>
      <c r="H60" s="70">
        <f t="shared" si="15"/>
        <v>-13993.050132</v>
      </c>
      <c r="I60" s="70">
        <f t="shared" si="15"/>
        <v>23128.061826000001</v>
      </c>
      <c r="J60" s="70">
        <f t="shared" si="15"/>
        <v>-62.771921999999996</v>
      </c>
      <c r="K60" s="70">
        <f t="shared" si="15"/>
        <v>0</v>
      </c>
      <c r="L60" s="70">
        <f t="shared" si="15"/>
        <v>0</v>
      </c>
      <c r="M60" s="70">
        <f t="shared" si="15"/>
        <v>0</v>
      </c>
      <c r="N60" s="70">
        <f t="shared" si="15"/>
        <v>0</v>
      </c>
      <c r="O60" s="70">
        <f t="shared" si="15"/>
        <v>0</v>
      </c>
      <c r="P60" s="70">
        <f>P14+P43+P47+P49+P51+P53</f>
        <v>938094.2645070001</v>
      </c>
    </row>
    <row r="63" spans="1:20" x14ac:dyDescent="0.2">
      <c r="B63" s="70">
        <f>B55-B60</f>
        <v>0</v>
      </c>
      <c r="C63" s="70">
        <f t="shared" ref="C63:O63" si="16">C55-C60</f>
        <v>0</v>
      </c>
      <c r="D63" s="70">
        <f t="shared" si="16"/>
        <v>0</v>
      </c>
      <c r="E63" s="70">
        <f t="shared" si="16"/>
        <v>0</v>
      </c>
      <c r="F63" s="70">
        <f t="shared" si="16"/>
        <v>0</v>
      </c>
      <c r="G63" s="70">
        <f t="shared" si="16"/>
        <v>0</v>
      </c>
      <c r="H63" s="70">
        <f t="shared" si="16"/>
        <v>0</v>
      </c>
      <c r="I63" s="70">
        <f t="shared" si="16"/>
        <v>0</v>
      </c>
      <c r="J63" s="70">
        <f t="shared" si="16"/>
        <v>0</v>
      </c>
      <c r="K63" s="70">
        <f t="shared" si="16"/>
        <v>0</v>
      </c>
      <c r="L63" s="70">
        <f t="shared" si="16"/>
        <v>0</v>
      </c>
      <c r="M63" s="70">
        <f t="shared" si="16"/>
        <v>0</v>
      </c>
      <c r="N63" s="70">
        <f t="shared" si="16"/>
        <v>0</v>
      </c>
      <c r="O63" s="70">
        <f t="shared" si="16"/>
        <v>0</v>
      </c>
      <c r="P63" s="70">
        <f>P55-P60</f>
        <v>0</v>
      </c>
    </row>
  </sheetData>
  <mergeCells count="4">
    <mergeCell ref="C1:E1"/>
    <mergeCell ref="C3:E3"/>
    <mergeCell ref="C5:E5"/>
    <mergeCell ref="C7:E7"/>
  </mergeCells>
  <conditionalFormatting sqref="G55">
    <cfRule type="cellIs" dxfId="157" priority="5" operator="lessThan">
      <formula>0</formula>
    </cfRule>
    <cfRule type="cellIs" dxfId="156" priority="6" operator="greaterThan">
      <formula>0</formula>
    </cfRule>
  </conditionalFormatting>
  <conditionalFormatting sqref="I55:J55">
    <cfRule type="cellIs" dxfId="155" priority="3" operator="lessThan">
      <formula>0</formula>
    </cfRule>
    <cfRule type="cellIs" dxfId="154" priority="4" operator="greaterThan">
      <formula>0</formula>
    </cfRule>
  </conditionalFormatting>
  <conditionalFormatting sqref="L55">
    <cfRule type="cellIs" dxfId="153" priority="1" operator="lessThan">
      <formula>0</formula>
    </cfRule>
    <cfRule type="cellIs" dxfId="152" priority="2" operator="greaterThan">
      <formula>0</formula>
    </cfRule>
  </conditionalFormatting>
  <printOptions horizontalCentered="1" verticalCentered="1"/>
  <pageMargins left="0.19685039370078741" right="0" top="0.19685039370078741" bottom="0" header="0.11811023622047245" footer="0.19685039370078741"/>
  <pageSetup paperSize="9" scale="6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U63"/>
  <sheetViews>
    <sheetView zoomScale="85" zoomScaleNormal="85" workbookViewId="0">
      <pane xSplit="1" topLeftCell="D1" activePane="topRight" state="frozen"/>
      <selection pane="topRight" activeCell="H34" sqref="H34:I35"/>
    </sheetView>
  </sheetViews>
  <sheetFormatPr defaultColWidth="9.140625" defaultRowHeight="12.75" x14ac:dyDescent="0.2"/>
  <cols>
    <col min="1" max="1" width="55.5703125" style="10" customWidth="1"/>
    <col min="2" max="2" width="16.28515625" style="10" bestFit="1" customWidth="1"/>
    <col min="3" max="3" width="16.140625" style="10" bestFit="1" customWidth="1"/>
    <col min="4" max="4" width="16.140625" style="10" customWidth="1"/>
    <col min="5" max="5" width="15" style="10" bestFit="1" customWidth="1"/>
    <col min="6" max="6" width="16.28515625" style="10" customWidth="1"/>
    <col min="7" max="7" width="15" style="10" customWidth="1"/>
    <col min="8" max="8" width="16.5703125" style="10" customWidth="1"/>
    <col min="9" max="9" width="15" style="10" customWidth="1"/>
    <col min="10" max="10" width="15.140625" style="10" customWidth="1"/>
    <col min="11" max="11" width="15.85546875" style="10" hidden="1" customWidth="1"/>
    <col min="12" max="12" width="15" style="10" hidden="1" customWidth="1"/>
    <col min="13" max="13" width="16.140625" style="10" hidden="1" customWidth="1"/>
    <col min="14" max="14" width="14.7109375" style="10" hidden="1" customWidth="1"/>
    <col min="15" max="15" width="16.85546875" style="10" hidden="1" customWidth="1"/>
    <col min="16" max="16" width="16.7109375" style="10" hidden="1" customWidth="1"/>
    <col min="17" max="17" width="18" style="10" bestFit="1" customWidth="1"/>
    <col min="18" max="18" width="11.5703125" style="10" bestFit="1" customWidth="1"/>
    <col min="19" max="19" width="4.140625" style="10" customWidth="1"/>
    <col min="20" max="20" width="17" style="10" bestFit="1" customWidth="1"/>
    <col min="21" max="21" width="13.28515625" style="10" bestFit="1" customWidth="1"/>
    <col min="22" max="16384" width="9.140625" style="10"/>
  </cols>
  <sheetData>
    <row r="1" spans="1:21" ht="15.75" x14ac:dyDescent="0.25">
      <c r="A1" s="1"/>
      <c r="B1" s="203" t="s">
        <v>163</v>
      </c>
      <c r="C1" s="203"/>
      <c r="D1" s="203"/>
      <c r="E1" s="203"/>
    </row>
    <row r="2" spans="1:21" ht="9.75" customHeight="1" x14ac:dyDescent="0.2"/>
    <row r="3" spans="1:21" ht="15.6" customHeight="1" x14ac:dyDescent="0.25">
      <c r="A3" s="88"/>
      <c r="B3" s="209" t="s">
        <v>65</v>
      </c>
      <c r="C3" s="209"/>
      <c r="D3" s="209"/>
      <c r="E3" s="209"/>
      <c r="F3" s="209"/>
    </row>
    <row r="4" spans="1:21" ht="12.6" customHeight="1" x14ac:dyDescent="0.25">
      <c r="A4" s="71"/>
      <c r="B4" s="71"/>
    </row>
    <row r="5" spans="1:21" ht="15.6" customHeight="1" x14ac:dyDescent="0.25">
      <c r="A5" s="88"/>
      <c r="B5" s="209" t="s">
        <v>162</v>
      </c>
      <c r="C5" s="209"/>
      <c r="D5" s="209"/>
      <c r="E5" s="209"/>
      <c r="F5" s="71"/>
    </row>
    <row r="6" spans="1:21" ht="12.6" customHeight="1" x14ac:dyDescent="0.25">
      <c r="A6" s="71"/>
      <c r="B6" s="71"/>
    </row>
    <row r="7" spans="1:21" ht="15.6" customHeight="1" x14ac:dyDescent="0.25">
      <c r="A7" s="88"/>
      <c r="B7" s="209" t="s">
        <v>267</v>
      </c>
      <c r="C7" s="209"/>
      <c r="D7" s="209"/>
      <c r="E7" s="209"/>
      <c r="F7" s="71"/>
    </row>
    <row r="8" spans="1:21" ht="9.6" customHeight="1" x14ac:dyDescent="0.2">
      <c r="T8" s="70"/>
    </row>
    <row r="9" spans="1:21" ht="10.15" customHeight="1" x14ac:dyDescent="0.2">
      <c r="T9" s="70"/>
    </row>
    <row r="10" spans="1:21" ht="15" x14ac:dyDescent="0.2">
      <c r="A10" s="12"/>
      <c r="B10" s="60" t="s">
        <v>85</v>
      </c>
      <c r="C10" s="60" t="s">
        <v>122</v>
      </c>
      <c r="D10" s="60" t="s">
        <v>221</v>
      </c>
      <c r="E10" s="60" t="s">
        <v>209</v>
      </c>
      <c r="F10" s="60" t="s">
        <v>210</v>
      </c>
      <c r="G10" s="60" t="s">
        <v>211</v>
      </c>
      <c r="H10" s="60" t="s">
        <v>212</v>
      </c>
      <c r="I10" s="60" t="s">
        <v>213</v>
      </c>
      <c r="J10" s="60" t="s">
        <v>214</v>
      </c>
      <c r="K10" s="60" t="s">
        <v>215</v>
      </c>
      <c r="L10" s="60" t="s">
        <v>216</v>
      </c>
      <c r="M10" s="60" t="s">
        <v>217</v>
      </c>
      <c r="N10" s="60" t="s">
        <v>218</v>
      </c>
      <c r="O10" s="60" t="s">
        <v>219</v>
      </c>
      <c r="P10" s="60" t="s">
        <v>220</v>
      </c>
      <c r="Q10" s="13" t="s">
        <v>1</v>
      </c>
      <c r="R10" s="14" t="s">
        <v>2</v>
      </c>
      <c r="T10" s="70"/>
    </row>
    <row r="11" spans="1:21" ht="15" x14ac:dyDescent="0.2">
      <c r="A11" s="15" t="s">
        <v>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7"/>
      <c r="R11" s="18"/>
      <c r="T11" s="70"/>
    </row>
    <row r="12" spans="1:21" ht="15" x14ac:dyDescent="0.2">
      <c r="A12" s="15" t="s">
        <v>4</v>
      </c>
      <c r="B12" s="19">
        <v>0</v>
      </c>
      <c r="C12" s="19">
        <f>312760.6-B12</f>
        <v>312760.59999999998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20">
        <f>B12+C12+D12+E12+F12+G12+H12+I12+J12+K12+L12+M12+N12+O12+P12</f>
        <v>312760.59999999998</v>
      </c>
      <c r="R12" s="21">
        <v>1</v>
      </c>
      <c r="T12" s="70">
        <f>SUM(B12:P12)</f>
        <v>312760.59999999998</v>
      </c>
      <c r="U12" s="70">
        <f>T12-Q12</f>
        <v>0</v>
      </c>
    </row>
    <row r="13" spans="1:21" ht="15" x14ac:dyDescent="0.2">
      <c r="A13" s="15" t="s">
        <v>5</v>
      </c>
      <c r="B13" s="22">
        <v>0</v>
      </c>
      <c r="C13" s="22">
        <f>0-B13</f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20">
        <f>B13+C13+D13+E13+F13+G13+H13+I13+J13+K13+L13+M13+N13+O13+P13</f>
        <v>0</v>
      </c>
      <c r="R13" s="21"/>
      <c r="T13" s="70">
        <f t="shared" ref="T13:T54" si="0">SUM(B13:P13)</f>
        <v>0</v>
      </c>
      <c r="U13" s="70">
        <f t="shared" ref="U13:U55" si="1">T13-Q13</f>
        <v>0</v>
      </c>
    </row>
    <row r="14" spans="1:21" ht="15" x14ac:dyDescent="0.2">
      <c r="A14" s="23" t="s">
        <v>6</v>
      </c>
      <c r="B14" s="24">
        <f>B12+B13</f>
        <v>0</v>
      </c>
      <c r="C14" s="97">
        <f>C12+C13</f>
        <v>312760.59999999998</v>
      </c>
      <c r="D14" s="97">
        <f>SUM(D12:D13)</f>
        <v>0</v>
      </c>
      <c r="E14" s="97">
        <f t="shared" ref="E14:G14" si="2">E12+E13</f>
        <v>0</v>
      </c>
      <c r="F14" s="97">
        <f t="shared" si="2"/>
        <v>0</v>
      </c>
      <c r="G14" s="97">
        <f t="shared" si="2"/>
        <v>0</v>
      </c>
      <c r="H14" s="24">
        <f t="shared" ref="H14:P14" si="3">SUM(H12:H13)</f>
        <v>0</v>
      </c>
      <c r="I14" s="24">
        <f t="shared" si="3"/>
        <v>0</v>
      </c>
      <c r="J14" s="24">
        <f t="shared" si="3"/>
        <v>0</v>
      </c>
      <c r="K14" s="24">
        <f t="shared" si="3"/>
        <v>0</v>
      </c>
      <c r="L14" s="24">
        <f t="shared" si="3"/>
        <v>0</v>
      </c>
      <c r="M14" s="24">
        <f t="shared" si="3"/>
        <v>0</v>
      </c>
      <c r="N14" s="24">
        <f t="shared" si="3"/>
        <v>0</v>
      </c>
      <c r="O14" s="24">
        <f t="shared" si="3"/>
        <v>0</v>
      </c>
      <c r="P14" s="24">
        <f t="shared" si="3"/>
        <v>0</v>
      </c>
      <c r="Q14" s="24">
        <f>SUM(Q12:Q13)</f>
        <v>312760.59999999998</v>
      </c>
      <c r="R14" s="21">
        <v>1</v>
      </c>
      <c r="T14" s="70">
        <f t="shared" si="0"/>
        <v>312760.59999999998</v>
      </c>
      <c r="U14" s="70">
        <f t="shared" si="1"/>
        <v>0</v>
      </c>
    </row>
    <row r="15" spans="1:21" ht="15" x14ac:dyDescent="0.2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7"/>
      <c r="R15" s="28"/>
      <c r="T15" s="70">
        <f t="shared" si="0"/>
        <v>0</v>
      </c>
      <c r="U15" s="70"/>
    </row>
    <row r="16" spans="1:21" ht="15" x14ac:dyDescent="0.2">
      <c r="A16" s="29" t="s">
        <v>7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30"/>
      <c r="R16" s="31"/>
      <c r="T16" s="70">
        <f t="shared" si="0"/>
        <v>0</v>
      </c>
      <c r="U16" s="70"/>
    </row>
    <row r="17" spans="1:21" ht="15" x14ac:dyDescent="0.2">
      <c r="A17" s="15" t="s">
        <v>8</v>
      </c>
      <c r="B17" s="32">
        <v>-1064.07</v>
      </c>
      <c r="C17" s="32">
        <f>-48233.12-B17</f>
        <v>-47169.05</v>
      </c>
      <c r="D17" s="32">
        <v>-34147.01</v>
      </c>
      <c r="E17" s="76">
        <v>-1986.29</v>
      </c>
      <c r="F17" s="76">
        <v>-3841.09</v>
      </c>
      <c r="G17" s="76">
        <v>-1258.51</v>
      </c>
      <c r="H17" s="76">
        <v>-900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20">
        <f>B17+C17+D17+E17+F17+G17+H17+I17+J17+K17+L17+M17+N17+O17+P17</f>
        <v>-90366.01999999999</v>
      </c>
      <c r="R17" s="21">
        <f>-Q17/$Q$14</f>
        <v>0.28893031922818924</v>
      </c>
      <c r="T17" s="70">
        <f>SUM(B17:P17)</f>
        <v>-90366.01999999999</v>
      </c>
      <c r="U17" s="70">
        <f t="shared" si="1"/>
        <v>0</v>
      </c>
    </row>
    <row r="18" spans="1:21" ht="15" x14ac:dyDescent="0.2">
      <c r="A18" s="33" t="s">
        <v>9</v>
      </c>
      <c r="B18" s="32">
        <v>-176.92</v>
      </c>
      <c r="C18" s="32">
        <f>-176.92-B18</f>
        <v>0</v>
      </c>
      <c r="D18" s="32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20">
        <f t="shared" ref="Q18:Q42" si="4">B18+C18+D18+E18+F18+G18+H18+I18+J18+K18+L18+M18+N18+O18+P18</f>
        <v>-176.92</v>
      </c>
      <c r="R18" s="21">
        <f t="shared" ref="R18:R55" si="5">-Q18/$Q$14</f>
        <v>5.6567227457678495E-4</v>
      </c>
      <c r="T18" s="70">
        <f t="shared" si="0"/>
        <v>-176.92</v>
      </c>
      <c r="U18" s="70">
        <f t="shared" si="1"/>
        <v>0</v>
      </c>
    </row>
    <row r="19" spans="1:21" ht="15" x14ac:dyDescent="0.2">
      <c r="A19" s="15" t="s">
        <v>10</v>
      </c>
      <c r="B19" s="32">
        <v>0</v>
      </c>
      <c r="C19" s="32">
        <f>0-B19</f>
        <v>0</v>
      </c>
      <c r="D19" s="32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20">
        <f t="shared" si="4"/>
        <v>0</v>
      </c>
      <c r="R19" s="21">
        <f t="shared" si="5"/>
        <v>0</v>
      </c>
      <c r="T19" s="70">
        <f t="shared" si="0"/>
        <v>0</v>
      </c>
      <c r="U19" s="70">
        <f t="shared" si="1"/>
        <v>0</v>
      </c>
    </row>
    <row r="20" spans="1:21" ht="15" x14ac:dyDescent="0.2">
      <c r="A20" s="33" t="s">
        <v>11</v>
      </c>
      <c r="B20" s="32">
        <v>0</v>
      </c>
      <c r="C20" s="32">
        <f>-1395.43-B20</f>
        <v>-1395.43</v>
      </c>
      <c r="D20" s="32">
        <v>-109.96</v>
      </c>
      <c r="E20" s="76">
        <v>-11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20">
        <f t="shared" si="4"/>
        <v>-1516.39</v>
      </c>
      <c r="R20" s="21">
        <f t="shared" si="5"/>
        <v>4.8484048182539626E-3</v>
      </c>
      <c r="T20" s="70">
        <f t="shared" si="0"/>
        <v>-1516.39</v>
      </c>
      <c r="U20" s="70">
        <f t="shared" si="1"/>
        <v>0</v>
      </c>
    </row>
    <row r="21" spans="1:21" ht="15" x14ac:dyDescent="0.2">
      <c r="A21" s="15" t="s">
        <v>12</v>
      </c>
      <c r="B21" s="32">
        <v>-1217.97</v>
      </c>
      <c r="C21" s="32">
        <f>-36734.8-B21</f>
        <v>-35516.83</v>
      </c>
      <c r="D21" s="32">
        <v>-27166.74</v>
      </c>
      <c r="E21" s="76">
        <v>-2499.21</v>
      </c>
      <c r="F21" s="76">
        <v>-980.9</v>
      </c>
      <c r="G21" s="76">
        <v>-653.92999999999995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20">
        <f t="shared" si="4"/>
        <v>-68035.58</v>
      </c>
      <c r="R21" s="21">
        <f t="shared" si="5"/>
        <v>0.21753245133818008</v>
      </c>
      <c r="T21" s="70">
        <f t="shared" si="0"/>
        <v>-68035.58</v>
      </c>
      <c r="U21" s="70">
        <f t="shared" si="1"/>
        <v>0</v>
      </c>
    </row>
    <row r="22" spans="1:21" ht="15" x14ac:dyDescent="0.2">
      <c r="A22" s="15" t="s">
        <v>13</v>
      </c>
      <c r="B22" s="32">
        <v>-662.73</v>
      </c>
      <c r="C22" s="32">
        <f>-23876.12-B22</f>
        <v>-23213.39</v>
      </c>
      <c r="D22" s="32">
        <v>-17650.79</v>
      </c>
      <c r="E22" s="76">
        <v>-1441.88</v>
      </c>
      <c r="F22" s="76">
        <v>-573.36</v>
      </c>
      <c r="G22" s="76">
        <v>-402.22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20">
        <f t="shared" si="4"/>
        <v>-43944.37</v>
      </c>
      <c r="R22" s="21">
        <f t="shared" si="5"/>
        <v>0.14050481422532124</v>
      </c>
      <c r="T22" s="70">
        <f t="shared" si="0"/>
        <v>-43944.37</v>
      </c>
      <c r="U22" s="70">
        <f t="shared" si="1"/>
        <v>0</v>
      </c>
    </row>
    <row r="23" spans="1:21" ht="15" x14ac:dyDescent="0.2">
      <c r="A23" s="15" t="s">
        <v>14</v>
      </c>
      <c r="B23" s="32">
        <v>-1026.3399999999999</v>
      </c>
      <c r="C23" s="32">
        <f>-30348.58-B23</f>
        <v>-29322.240000000002</v>
      </c>
      <c r="D23" s="32">
        <v>-10457.959999999999</v>
      </c>
      <c r="E23" s="76">
        <v>-317.33999999999997</v>
      </c>
      <c r="F23" s="76">
        <v>-127.9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20">
        <f t="shared" si="4"/>
        <v>-41251.78</v>
      </c>
      <c r="R23" s="21">
        <f t="shared" si="5"/>
        <v>0.13189570553324173</v>
      </c>
      <c r="T23" s="70">
        <f t="shared" si="0"/>
        <v>-41251.78</v>
      </c>
      <c r="U23" s="70">
        <f t="shared" si="1"/>
        <v>0</v>
      </c>
    </row>
    <row r="24" spans="1:21" ht="15" x14ac:dyDescent="0.2">
      <c r="A24" s="15" t="s">
        <v>15</v>
      </c>
      <c r="B24" s="32">
        <v>0</v>
      </c>
      <c r="C24" s="32">
        <f>-2283.36-B24</f>
        <v>-2283.36</v>
      </c>
      <c r="D24" s="32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20">
        <f t="shared" si="4"/>
        <v>-2283.36</v>
      </c>
      <c r="R24" s="21">
        <f t="shared" si="5"/>
        <v>7.3006638304185384E-3</v>
      </c>
      <c r="T24" s="70">
        <f t="shared" si="0"/>
        <v>-2283.36</v>
      </c>
      <c r="U24" s="70">
        <f t="shared" si="1"/>
        <v>0</v>
      </c>
    </row>
    <row r="25" spans="1:21" ht="15" x14ac:dyDescent="0.2">
      <c r="A25" s="15" t="s">
        <v>16</v>
      </c>
      <c r="B25" s="32">
        <v>0</v>
      </c>
      <c r="C25" s="32">
        <f>0-B25</f>
        <v>0</v>
      </c>
      <c r="D25" s="32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20">
        <f t="shared" si="4"/>
        <v>0</v>
      </c>
      <c r="R25" s="21">
        <f t="shared" si="5"/>
        <v>0</v>
      </c>
      <c r="T25" s="70">
        <f t="shared" si="0"/>
        <v>0</v>
      </c>
      <c r="U25" s="70">
        <f t="shared" si="1"/>
        <v>0</v>
      </c>
    </row>
    <row r="26" spans="1:21" ht="15" x14ac:dyDescent="0.2">
      <c r="A26" s="15" t="s">
        <v>17</v>
      </c>
      <c r="B26" s="32">
        <v>-784.05</v>
      </c>
      <c r="C26" s="32">
        <f>-27732.29-B26</f>
        <v>-26948.240000000002</v>
      </c>
      <c r="D26" s="32">
        <v>-19928.43</v>
      </c>
      <c r="E26" s="76">
        <v>-2532.29</v>
      </c>
      <c r="F26" s="76">
        <v>-1004.19</v>
      </c>
      <c r="G26" s="76">
        <v>-695.16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20">
        <f t="shared" si="4"/>
        <v>-51892.360000000008</v>
      </c>
      <c r="R26" s="21">
        <f t="shared" si="5"/>
        <v>0.16591719033663452</v>
      </c>
      <c r="T26" s="70">
        <f t="shared" si="0"/>
        <v>-51892.360000000008</v>
      </c>
      <c r="U26" s="70">
        <f t="shared" si="1"/>
        <v>0</v>
      </c>
    </row>
    <row r="27" spans="1:21" ht="15" x14ac:dyDescent="0.2">
      <c r="A27" s="15" t="s">
        <v>18</v>
      </c>
      <c r="B27" s="32">
        <v>0</v>
      </c>
      <c r="C27" s="32">
        <f>0-B27</f>
        <v>0</v>
      </c>
      <c r="D27" s="32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20">
        <f t="shared" si="4"/>
        <v>0</v>
      </c>
      <c r="R27" s="21">
        <f t="shared" si="5"/>
        <v>0</v>
      </c>
      <c r="T27" s="70">
        <f t="shared" si="0"/>
        <v>0</v>
      </c>
      <c r="U27" s="70">
        <f t="shared" si="1"/>
        <v>0</v>
      </c>
    </row>
    <row r="28" spans="1:21" ht="15" x14ac:dyDescent="0.2">
      <c r="A28" s="15" t="s">
        <v>19</v>
      </c>
      <c r="B28" s="32">
        <v>0</v>
      </c>
      <c r="C28" s="32">
        <f>0-B28</f>
        <v>0</v>
      </c>
      <c r="D28" s="32">
        <v>-610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20">
        <f t="shared" si="4"/>
        <v>-610</v>
      </c>
      <c r="R28" s="21">
        <f t="shared" si="5"/>
        <v>1.9503735444937758E-3</v>
      </c>
      <c r="T28" s="70">
        <f t="shared" si="0"/>
        <v>-610</v>
      </c>
      <c r="U28" s="70">
        <f t="shared" si="1"/>
        <v>0</v>
      </c>
    </row>
    <row r="29" spans="1:21" ht="15" x14ac:dyDescent="0.2">
      <c r="A29" s="15" t="s">
        <v>20</v>
      </c>
      <c r="B29" s="32">
        <v>0</v>
      </c>
      <c r="C29" s="32">
        <f>0-B29</f>
        <v>0</v>
      </c>
      <c r="D29" s="32">
        <v>-280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20">
        <f t="shared" si="4"/>
        <v>-280</v>
      </c>
      <c r="R29" s="21">
        <f t="shared" si="5"/>
        <v>8.9525343025943815E-4</v>
      </c>
      <c r="T29" s="70">
        <f t="shared" si="0"/>
        <v>-280</v>
      </c>
      <c r="U29" s="70">
        <f t="shared" si="1"/>
        <v>0</v>
      </c>
    </row>
    <row r="30" spans="1:21" ht="15" x14ac:dyDescent="0.2">
      <c r="A30" s="15" t="s">
        <v>59</v>
      </c>
      <c r="B30" s="32">
        <v>0</v>
      </c>
      <c r="C30" s="32">
        <f>0-B30</f>
        <v>0</v>
      </c>
      <c r="D30" s="32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20">
        <f t="shared" si="4"/>
        <v>0</v>
      </c>
      <c r="R30" s="21">
        <f t="shared" si="5"/>
        <v>0</v>
      </c>
      <c r="T30" s="70">
        <f t="shared" si="0"/>
        <v>0</v>
      </c>
      <c r="U30" s="70">
        <f t="shared" si="1"/>
        <v>0</v>
      </c>
    </row>
    <row r="31" spans="1:21" ht="15" x14ac:dyDescent="0.2">
      <c r="A31" s="15" t="s">
        <v>21</v>
      </c>
      <c r="B31" s="32">
        <v>-121.69</v>
      </c>
      <c r="C31" s="32">
        <f>-3216.98-B31</f>
        <v>-3095.29</v>
      </c>
      <c r="D31" s="32">
        <v>-990</v>
      </c>
      <c r="E31" s="76">
        <v>0</v>
      </c>
      <c r="F31" s="76">
        <v>-270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20">
        <f t="shared" si="4"/>
        <v>-4476.9799999999996</v>
      </c>
      <c r="R31" s="21">
        <f t="shared" si="5"/>
        <v>1.4314398936438924E-2</v>
      </c>
      <c r="T31" s="70">
        <f t="shared" si="0"/>
        <v>-4476.9799999999996</v>
      </c>
      <c r="U31" s="70">
        <f t="shared" si="1"/>
        <v>0</v>
      </c>
    </row>
    <row r="32" spans="1:21" ht="15" x14ac:dyDescent="0.2">
      <c r="A32" s="15" t="s">
        <v>22</v>
      </c>
      <c r="B32" s="32">
        <v>0</v>
      </c>
      <c r="C32" s="32">
        <f>0-B32</f>
        <v>0</v>
      </c>
      <c r="D32" s="32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20">
        <f t="shared" si="4"/>
        <v>0</v>
      </c>
      <c r="R32" s="21">
        <f t="shared" si="5"/>
        <v>0</v>
      </c>
      <c r="T32" s="70">
        <f t="shared" si="0"/>
        <v>0</v>
      </c>
      <c r="U32" s="70">
        <f t="shared" si="1"/>
        <v>0</v>
      </c>
    </row>
    <row r="33" spans="1:21" ht="15" x14ac:dyDescent="0.2">
      <c r="A33" s="33" t="s">
        <v>23</v>
      </c>
      <c r="B33" s="32">
        <v>-1367.18</v>
      </c>
      <c r="C33" s="32">
        <f>-2115.95-B33</f>
        <v>-748.76999999999975</v>
      </c>
      <c r="D33" s="32">
        <v>-264.58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20">
        <f t="shared" si="4"/>
        <v>-2380.5299999999997</v>
      </c>
      <c r="R33" s="21">
        <f t="shared" si="5"/>
        <v>7.6113487440553568E-3</v>
      </c>
      <c r="T33" s="70">
        <f t="shared" si="0"/>
        <v>-2380.5299999999997</v>
      </c>
      <c r="U33" s="70">
        <f t="shared" si="1"/>
        <v>0</v>
      </c>
    </row>
    <row r="34" spans="1:21" ht="15" x14ac:dyDescent="0.2">
      <c r="A34" s="15" t="s">
        <v>24</v>
      </c>
      <c r="B34" s="32">
        <v>0</v>
      </c>
      <c r="C34" s="32">
        <f>-77037.83-B34</f>
        <v>-77037.83</v>
      </c>
      <c r="D34" s="32">
        <v>-93608.55</v>
      </c>
      <c r="E34" s="76">
        <v>-1443.75</v>
      </c>
      <c r="F34" s="76">
        <v>-3594</v>
      </c>
      <c r="G34" s="76">
        <v>-1472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20">
        <f t="shared" si="4"/>
        <v>-177156.13</v>
      </c>
      <c r="R34" s="21">
        <f t="shared" si="5"/>
        <v>0.5664272609785248</v>
      </c>
      <c r="T34" s="70">
        <f t="shared" si="0"/>
        <v>-177156.13</v>
      </c>
      <c r="U34" s="70">
        <f t="shared" si="1"/>
        <v>0</v>
      </c>
    </row>
    <row r="35" spans="1:21" ht="15" x14ac:dyDescent="0.2">
      <c r="A35" s="34" t="s">
        <v>25</v>
      </c>
      <c r="B35" s="32">
        <v>-7258.55</v>
      </c>
      <c r="C35" s="32">
        <f>-268313.1-B35</f>
        <v>-261054.55</v>
      </c>
      <c r="D35" s="32">
        <v>-185291.28</v>
      </c>
      <c r="E35" s="76">
        <v>-17169.009999999998</v>
      </c>
      <c r="F35" s="76">
        <v>-7036.82</v>
      </c>
      <c r="G35" s="76">
        <v>-5027.16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20">
        <f t="shared" si="4"/>
        <v>-482837.37</v>
      </c>
      <c r="R35" s="21">
        <f t="shared" si="5"/>
        <v>1.5437921848212339</v>
      </c>
      <c r="T35" s="70">
        <f t="shared" si="0"/>
        <v>-482837.37</v>
      </c>
      <c r="U35" s="70">
        <f t="shared" si="1"/>
        <v>0</v>
      </c>
    </row>
    <row r="36" spans="1:21" ht="15" x14ac:dyDescent="0.2">
      <c r="A36" s="15" t="s">
        <v>26</v>
      </c>
      <c r="B36" s="32">
        <v>0</v>
      </c>
      <c r="C36" s="32">
        <f>-72.72-B36</f>
        <v>-72.72</v>
      </c>
      <c r="D36" s="32">
        <v>-300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20">
        <f t="shared" si="4"/>
        <v>-372.72</v>
      </c>
      <c r="R36" s="21">
        <f t="shared" si="5"/>
        <v>1.1917102090224921E-3</v>
      </c>
      <c r="T36" s="70">
        <f t="shared" si="0"/>
        <v>-372.72</v>
      </c>
      <c r="U36" s="70">
        <f t="shared" si="1"/>
        <v>0</v>
      </c>
    </row>
    <row r="37" spans="1:21" ht="15" x14ac:dyDescent="0.2">
      <c r="A37" s="15" t="s">
        <v>27</v>
      </c>
      <c r="B37" s="32">
        <v>0</v>
      </c>
      <c r="C37" s="32">
        <f>0-B37</f>
        <v>0</v>
      </c>
      <c r="D37" s="32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20">
        <f t="shared" si="4"/>
        <v>0</v>
      </c>
      <c r="R37" s="21">
        <f t="shared" si="5"/>
        <v>0</v>
      </c>
      <c r="T37" s="70">
        <f t="shared" si="0"/>
        <v>0</v>
      </c>
      <c r="U37" s="70">
        <f t="shared" si="1"/>
        <v>0</v>
      </c>
    </row>
    <row r="38" spans="1:21" ht="15" x14ac:dyDescent="0.2">
      <c r="A38" s="33" t="s">
        <v>28</v>
      </c>
      <c r="B38" s="32">
        <v>-173.4</v>
      </c>
      <c r="C38" s="32">
        <f>-4198.71-B38</f>
        <v>-4025.31</v>
      </c>
      <c r="D38" s="32">
        <v>-1325.24</v>
      </c>
      <c r="E38" s="76">
        <v>-198.84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20">
        <f t="shared" si="4"/>
        <v>-5722.79</v>
      </c>
      <c r="R38" s="21">
        <f t="shared" si="5"/>
        <v>1.8297669207694319E-2</v>
      </c>
      <c r="T38" s="70">
        <f t="shared" si="0"/>
        <v>-5722.79</v>
      </c>
      <c r="U38" s="70">
        <f t="shared" si="1"/>
        <v>0</v>
      </c>
    </row>
    <row r="39" spans="1:21" ht="15" x14ac:dyDescent="0.2">
      <c r="A39" s="15" t="s">
        <v>29</v>
      </c>
      <c r="B39" s="32">
        <v>-498</v>
      </c>
      <c r="C39" s="32">
        <f>-23973.44-B39</f>
        <v>-23475.439999999999</v>
      </c>
      <c r="D39" s="32">
        <v>-20337.71</v>
      </c>
      <c r="E39" s="76">
        <v>-1928.9</v>
      </c>
      <c r="F39" s="76">
        <v>-2793.21</v>
      </c>
      <c r="G39" s="76">
        <v>-962.94</v>
      </c>
      <c r="H39" s="76">
        <v>-732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20">
        <f t="shared" si="4"/>
        <v>-50728.2</v>
      </c>
      <c r="R39" s="21">
        <f t="shared" si="5"/>
        <v>0.1621949823603101</v>
      </c>
      <c r="T39" s="70">
        <f t="shared" si="0"/>
        <v>-50728.2</v>
      </c>
      <c r="U39" s="70">
        <f t="shared" si="1"/>
        <v>0</v>
      </c>
    </row>
    <row r="40" spans="1:21" ht="15" x14ac:dyDescent="0.2">
      <c r="A40" s="15" t="s">
        <v>30</v>
      </c>
      <c r="B40" s="32">
        <v>-182.69</v>
      </c>
      <c r="C40" s="32">
        <f>-26445.61-B40</f>
        <v>-26262.920000000002</v>
      </c>
      <c r="D40" s="32">
        <v>-16203.39</v>
      </c>
      <c r="E40" s="76">
        <v>-1874.41</v>
      </c>
      <c r="F40" s="76">
        <v>-735.67</v>
      </c>
      <c r="G40" s="76">
        <v>-490.45</v>
      </c>
      <c r="H40" s="76">
        <v>0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20">
        <f t="shared" si="4"/>
        <v>-45749.53</v>
      </c>
      <c r="R40" s="21">
        <f t="shared" si="5"/>
        <v>0.14627651309020381</v>
      </c>
      <c r="T40" s="70">
        <f t="shared" si="0"/>
        <v>-45749.53</v>
      </c>
      <c r="U40" s="70">
        <f t="shared" si="1"/>
        <v>0</v>
      </c>
    </row>
    <row r="41" spans="1:21" ht="15" x14ac:dyDescent="0.2">
      <c r="A41" s="15" t="s">
        <v>97</v>
      </c>
      <c r="B41" s="32">
        <v>0</v>
      </c>
      <c r="C41" s="32">
        <f>100-B41</f>
        <v>100</v>
      </c>
      <c r="D41" s="32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20">
        <f t="shared" si="4"/>
        <v>100</v>
      </c>
      <c r="R41" s="21">
        <f>Q41/$Q$14</f>
        <v>3.1973336794979931E-4</v>
      </c>
      <c r="T41" s="70">
        <f t="shared" si="0"/>
        <v>100</v>
      </c>
      <c r="U41" s="70">
        <f t="shared" si="1"/>
        <v>0</v>
      </c>
    </row>
    <row r="42" spans="1:21" ht="15" x14ac:dyDescent="0.2">
      <c r="A42" s="15" t="s">
        <v>114</v>
      </c>
      <c r="B42" s="32">
        <v>0</v>
      </c>
      <c r="C42" s="32">
        <v>0</v>
      </c>
      <c r="D42" s="32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20">
        <f t="shared" si="4"/>
        <v>0</v>
      </c>
      <c r="R42" s="21">
        <f t="shared" si="5"/>
        <v>0</v>
      </c>
      <c r="T42" s="70">
        <f t="shared" si="0"/>
        <v>0</v>
      </c>
      <c r="U42" s="70">
        <f t="shared" si="1"/>
        <v>0</v>
      </c>
    </row>
    <row r="43" spans="1:21" ht="15" x14ac:dyDescent="0.2">
      <c r="A43" s="35" t="s">
        <v>31</v>
      </c>
      <c r="B43" s="36">
        <f>SUM(B17:B42)</f>
        <v>-14533.59</v>
      </c>
      <c r="C43" s="36">
        <f t="shared" ref="C43:P43" si="6">SUM(C17:C42)</f>
        <v>-561521.37</v>
      </c>
      <c r="D43" s="36">
        <f>SUM(D17:D42)</f>
        <v>-428671.64</v>
      </c>
      <c r="E43" s="36">
        <f t="shared" si="6"/>
        <v>-31402.92</v>
      </c>
      <c r="F43" s="36">
        <f t="shared" si="6"/>
        <v>-20957.139999999996</v>
      </c>
      <c r="G43" s="36">
        <f t="shared" si="6"/>
        <v>-10962.37</v>
      </c>
      <c r="H43" s="36">
        <f t="shared" si="6"/>
        <v>-1632</v>
      </c>
      <c r="I43" s="36">
        <f t="shared" si="6"/>
        <v>0</v>
      </c>
      <c r="J43" s="36">
        <f t="shared" si="6"/>
        <v>0</v>
      </c>
      <c r="K43" s="36">
        <f t="shared" si="6"/>
        <v>0</v>
      </c>
      <c r="L43" s="36">
        <f t="shared" si="6"/>
        <v>0</v>
      </c>
      <c r="M43" s="36">
        <f t="shared" si="6"/>
        <v>0</v>
      </c>
      <c r="N43" s="36">
        <f t="shared" si="6"/>
        <v>0</v>
      </c>
      <c r="O43" s="36">
        <f t="shared" si="6"/>
        <v>0</v>
      </c>
      <c r="P43" s="36">
        <f t="shared" si="6"/>
        <v>0</v>
      </c>
      <c r="Q43" s="36">
        <f>SUM(Q17:Q42)</f>
        <v>-1069681.03</v>
      </c>
      <c r="R43" s="21">
        <f t="shared" si="5"/>
        <v>3.4201271835391034</v>
      </c>
      <c r="T43" s="70">
        <f>SUM(B43:P43)</f>
        <v>-1069681.03</v>
      </c>
      <c r="U43" s="70">
        <f t="shared" si="1"/>
        <v>0</v>
      </c>
    </row>
    <row r="44" spans="1:21" ht="15" x14ac:dyDescent="0.2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18"/>
      <c r="T44" s="70">
        <f t="shared" si="0"/>
        <v>0</v>
      </c>
      <c r="U44" s="70">
        <f t="shared" si="1"/>
        <v>0</v>
      </c>
    </row>
    <row r="45" spans="1:21" ht="15" x14ac:dyDescent="0.2">
      <c r="A45" s="39" t="s">
        <v>32</v>
      </c>
      <c r="B45" s="58">
        <f>B14+B43</f>
        <v>-14533.59</v>
      </c>
      <c r="C45" s="58">
        <f t="shared" ref="C45:P45" si="7">C14+C43</f>
        <v>-248760.77000000002</v>
      </c>
      <c r="D45" s="58">
        <f t="shared" ref="D45" si="8">D14+D43</f>
        <v>-428671.64</v>
      </c>
      <c r="E45" s="58">
        <f t="shared" si="7"/>
        <v>-31402.92</v>
      </c>
      <c r="F45" s="58">
        <f t="shared" si="7"/>
        <v>-20957.139999999996</v>
      </c>
      <c r="G45" s="58">
        <f t="shared" si="7"/>
        <v>-10962.37</v>
      </c>
      <c r="H45" s="58">
        <f t="shared" si="7"/>
        <v>-1632</v>
      </c>
      <c r="I45" s="58">
        <f t="shared" si="7"/>
        <v>0</v>
      </c>
      <c r="J45" s="58">
        <f t="shared" si="7"/>
        <v>0</v>
      </c>
      <c r="K45" s="58">
        <f t="shared" si="7"/>
        <v>0</v>
      </c>
      <c r="L45" s="58">
        <f t="shared" si="7"/>
        <v>0</v>
      </c>
      <c r="M45" s="58">
        <f t="shared" si="7"/>
        <v>0</v>
      </c>
      <c r="N45" s="58">
        <f t="shared" si="7"/>
        <v>0</v>
      </c>
      <c r="O45" s="58">
        <f t="shared" si="7"/>
        <v>0</v>
      </c>
      <c r="P45" s="58">
        <f t="shared" si="7"/>
        <v>0</v>
      </c>
      <c r="Q45" s="154">
        <f>B45+C45+D45+E45+F45+G45+H45+I45+J45+K45+L45+M45+N45+O45+P45</f>
        <v>-756920.43</v>
      </c>
      <c r="R45" s="21">
        <f t="shared" si="5"/>
        <v>2.4201271835391034</v>
      </c>
      <c r="T45" s="70">
        <f>SUM(B45:P45)</f>
        <v>-756920.43</v>
      </c>
      <c r="U45" s="70">
        <f t="shared" si="1"/>
        <v>0</v>
      </c>
    </row>
    <row r="46" spans="1:21" ht="15" x14ac:dyDescent="0.2">
      <c r="A46" s="41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4"/>
      <c r="T46" s="70">
        <f t="shared" si="0"/>
        <v>0</v>
      </c>
      <c r="U46" s="70">
        <f t="shared" si="1"/>
        <v>0</v>
      </c>
    </row>
    <row r="47" spans="1:21" ht="15" x14ac:dyDescent="0.2">
      <c r="A47" s="29" t="s">
        <v>56</v>
      </c>
      <c r="B47" s="45">
        <f>-B12*12.46%</f>
        <v>0</v>
      </c>
      <c r="C47" s="45">
        <f t="shared" ref="C47:M47" si="9">-C12*13.15%</f>
        <v>-41128.018899999995</v>
      </c>
      <c r="D47" s="45">
        <f t="shared" ref="D47" si="10">-D12*13.15%</f>
        <v>0</v>
      </c>
      <c r="E47" s="45">
        <f t="shared" si="9"/>
        <v>0</v>
      </c>
      <c r="F47" s="45">
        <f t="shared" si="9"/>
        <v>0</v>
      </c>
      <c r="G47" s="45">
        <f t="shared" si="9"/>
        <v>0</v>
      </c>
      <c r="H47" s="45">
        <f t="shared" si="9"/>
        <v>0</v>
      </c>
      <c r="I47" s="45">
        <f t="shared" si="9"/>
        <v>0</v>
      </c>
      <c r="J47" s="45">
        <f t="shared" si="9"/>
        <v>0</v>
      </c>
      <c r="K47" s="45">
        <f t="shared" si="9"/>
        <v>0</v>
      </c>
      <c r="L47" s="45">
        <f t="shared" si="9"/>
        <v>0</v>
      </c>
      <c r="M47" s="45">
        <f t="shared" si="9"/>
        <v>0</v>
      </c>
      <c r="N47" s="45">
        <f>-N12*13.15%</f>
        <v>0</v>
      </c>
      <c r="O47" s="45">
        <f t="shared" ref="O47:P47" si="11">-O12*13.15%</f>
        <v>0</v>
      </c>
      <c r="P47" s="45">
        <f t="shared" si="11"/>
        <v>0</v>
      </c>
      <c r="Q47" s="20">
        <f>B47+C47+D47+E47+F47+G47+H47+I47+J47+K47+L47+M47+N47+O47+P47</f>
        <v>-41128.018899999995</v>
      </c>
      <c r="R47" s="21">
        <f t="shared" si="5"/>
        <v>0.13150000000000001</v>
      </c>
      <c r="T47" s="70">
        <f t="shared" si="0"/>
        <v>-41128.018899999995</v>
      </c>
      <c r="U47" s="70">
        <f t="shared" si="1"/>
        <v>0</v>
      </c>
    </row>
    <row r="48" spans="1:21" ht="15" x14ac:dyDescent="0.2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4"/>
      <c r="T48" s="70">
        <f t="shared" si="0"/>
        <v>0</v>
      </c>
      <c r="U48" s="70">
        <f t="shared" si="1"/>
        <v>0</v>
      </c>
    </row>
    <row r="49" spans="1:21" ht="15" x14ac:dyDescent="0.2">
      <c r="A49" s="29" t="s">
        <v>33</v>
      </c>
      <c r="B49" s="45">
        <f t="shared" ref="B49:P49" si="12">-B12*1.22%</f>
        <v>0</v>
      </c>
      <c r="C49" s="45">
        <f t="shared" si="12"/>
        <v>-3815.6793199999993</v>
      </c>
      <c r="D49" s="45">
        <f t="shared" ref="D49" si="13">-D12*1.22%</f>
        <v>0</v>
      </c>
      <c r="E49" s="45">
        <f t="shared" si="12"/>
        <v>0</v>
      </c>
      <c r="F49" s="45">
        <f t="shared" si="12"/>
        <v>0</v>
      </c>
      <c r="G49" s="45">
        <f t="shared" si="12"/>
        <v>0</v>
      </c>
      <c r="H49" s="45">
        <f t="shared" si="12"/>
        <v>0</v>
      </c>
      <c r="I49" s="45">
        <f t="shared" si="12"/>
        <v>0</v>
      </c>
      <c r="J49" s="45">
        <f t="shared" si="12"/>
        <v>0</v>
      </c>
      <c r="K49" s="45">
        <f t="shared" si="12"/>
        <v>0</v>
      </c>
      <c r="L49" s="45">
        <f t="shared" si="12"/>
        <v>0</v>
      </c>
      <c r="M49" s="45">
        <f t="shared" si="12"/>
        <v>0</v>
      </c>
      <c r="N49" s="45">
        <f t="shared" si="12"/>
        <v>0</v>
      </c>
      <c r="O49" s="45">
        <f t="shared" si="12"/>
        <v>0</v>
      </c>
      <c r="P49" s="45">
        <f t="shared" si="12"/>
        <v>0</v>
      </c>
      <c r="Q49" s="20">
        <f>B49+C49+D49+E49+F49+G49+H49+I49+J49+K49+L49+M49+N49+O49+P49</f>
        <v>-3815.6793199999993</v>
      </c>
      <c r="R49" s="21">
        <f t="shared" si="5"/>
        <v>1.2199999999999999E-2</v>
      </c>
      <c r="T49" s="70">
        <f t="shared" si="0"/>
        <v>-3815.6793199999993</v>
      </c>
      <c r="U49" s="70">
        <f t="shared" si="1"/>
        <v>0</v>
      </c>
    </row>
    <row r="50" spans="1:21" ht="14.25" x14ac:dyDescent="0.2">
      <c r="A50" s="43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4"/>
      <c r="T50" s="70">
        <f t="shared" si="0"/>
        <v>0</v>
      </c>
      <c r="U50" s="70">
        <f t="shared" si="1"/>
        <v>0</v>
      </c>
    </row>
    <row r="51" spans="1:21" ht="15" x14ac:dyDescent="0.2">
      <c r="A51" s="48" t="s">
        <v>57</v>
      </c>
      <c r="B51" s="49">
        <f>B43*5.56%</f>
        <v>-808.06760399999996</v>
      </c>
      <c r="C51" s="49">
        <f t="shared" ref="C51:O51" si="14">C43*5.56%</f>
        <v>-31220.588171999996</v>
      </c>
      <c r="D51" s="49">
        <f t="shared" ref="D51" si="15">D43*5.56%</f>
        <v>-23834.143184</v>
      </c>
      <c r="E51" s="49">
        <f t="shared" si="14"/>
        <v>-1746.0023519999997</v>
      </c>
      <c r="F51" s="49">
        <f t="shared" si="14"/>
        <v>-1165.2169839999997</v>
      </c>
      <c r="G51" s="49">
        <f t="shared" si="14"/>
        <v>-609.50777200000005</v>
      </c>
      <c r="H51" s="49">
        <f t="shared" si="14"/>
        <v>-90.739199999999997</v>
      </c>
      <c r="I51" s="49">
        <f>I43*5.56%</f>
        <v>0</v>
      </c>
      <c r="J51" s="49">
        <f t="shared" si="14"/>
        <v>0</v>
      </c>
      <c r="K51" s="49">
        <f t="shared" si="14"/>
        <v>0</v>
      </c>
      <c r="L51" s="49">
        <f t="shared" si="14"/>
        <v>0</v>
      </c>
      <c r="M51" s="49">
        <f t="shared" si="14"/>
        <v>0</v>
      </c>
      <c r="N51" s="49">
        <f t="shared" si="14"/>
        <v>0</v>
      </c>
      <c r="O51" s="49">
        <f t="shared" si="14"/>
        <v>0</v>
      </c>
      <c r="P51" s="49">
        <f>P43*5.56%</f>
        <v>0</v>
      </c>
      <c r="Q51" s="20">
        <f>B51+C51+D51+E51+F51+G51+H51+I51+J51+K51+L51+M51+N51+O51+P51</f>
        <v>-59474.265268000003</v>
      </c>
      <c r="R51" s="21">
        <f t="shared" si="5"/>
        <v>0.19015907140477414</v>
      </c>
      <c r="T51" s="70">
        <f t="shared" si="0"/>
        <v>-59474.265268000003</v>
      </c>
      <c r="U51" s="70">
        <f t="shared" si="1"/>
        <v>0</v>
      </c>
    </row>
    <row r="52" spans="1:21" ht="14.25" x14ac:dyDescent="0.2">
      <c r="A52" s="43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4"/>
      <c r="T52" s="70">
        <f t="shared" si="0"/>
        <v>0</v>
      </c>
      <c r="U52" s="70">
        <f t="shared" si="1"/>
        <v>0</v>
      </c>
    </row>
    <row r="53" spans="1:21" ht="15" x14ac:dyDescent="0.2">
      <c r="A53" s="48" t="s">
        <v>58</v>
      </c>
      <c r="B53" s="49">
        <v>-1.45</v>
      </c>
      <c r="C53" s="49">
        <f>C43*0.01%</f>
        <v>-56.152137000000003</v>
      </c>
      <c r="D53" s="49">
        <f t="shared" ref="D53" si="16">D43*0.01%</f>
        <v>-42.867164000000002</v>
      </c>
      <c r="E53" s="49">
        <f t="shared" ref="E53:M53" si="17">E43*0.01%</f>
        <v>-3.1402920000000001</v>
      </c>
      <c r="F53" s="49">
        <f t="shared" si="17"/>
        <v>-2.0957139999999996</v>
      </c>
      <c r="G53" s="49">
        <f t="shared" si="17"/>
        <v>-1.0962370000000001</v>
      </c>
      <c r="H53" s="49">
        <f t="shared" si="17"/>
        <v>-0.16320000000000001</v>
      </c>
      <c r="I53" s="49">
        <f t="shared" si="17"/>
        <v>0</v>
      </c>
      <c r="J53" s="49">
        <f t="shared" si="17"/>
        <v>0</v>
      </c>
      <c r="K53" s="49">
        <f t="shared" si="17"/>
        <v>0</v>
      </c>
      <c r="L53" s="49">
        <f t="shared" si="17"/>
        <v>0</v>
      </c>
      <c r="M53" s="49">
        <f t="shared" si="17"/>
        <v>0</v>
      </c>
      <c r="N53" s="49">
        <f>N43*0.01%</f>
        <v>0</v>
      </c>
      <c r="O53" s="49">
        <f t="shared" ref="O53" si="18">O43*0.01%</f>
        <v>0</v>
      </c>
      <c r="P53" s="49">
        <f>P43*0.01%</f>
        <v>0</v>
      </c>
      <c r="Q53" s="20">
        <f>B53+C53+D53+E53+F53+G53+H53+I53+J53+K53+L53+M53+N53+O53+P53</f>
        <v>-106.96474400000001</v>
      </c>
      <c r="R53" s="21">
        <f t="shared" si="5"/>
        <v>3.4200197851008094E-4</v>
      </c>
      <c r="T53" s="70">
        <f t="shared" si="0"/>
        <v>-106.96474400000001</v>
      </c>
      <c r="U53" s="70">
        <f t="shared" si="1"/>
        <v>0</v>
      </c>
    </row>
    <row r="54" spans="1:21" ht="14.25" x14ac:dyDescent="0.2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4"/>
      <c r="T54" s="70">
        <f t="shared" si="0"/>
        <v>0</v>
      </c>
      <c r="U54" s="70">
        <f t="shared" si="1"/>
        <v>0</v>
      </c>
    </row>
    <row r="55" spans="1:21" ht="15" x14ac:dyDescent="0.2">
      <c r="A55" s="39" t="s">
        <v>79</v>
      </c>
      <c r="B55" s="58">
        <f>B45+B51+B53+B47+B49</f>
        <v>-15343.107604000001</v>
      </c>
      <c r="C55" s="58">
        <f>C45+C51+C53+C47+C49</f>
        <v>-324981.20852900005</v>
      </c>
      <c r="D55" s="58">
        <f>D45+D51+D53+D47+D49</f>
        <v>-452548.650348</v>
      </c>
      <c r="E55" s="58">
        <f>E45+E51+E53+E47+E49</f>
        <v>-33152.062643999998</v>
      </c>
      <c r="F55" s="58">
        <f>F45+F51+F53+F47+F49</f>
        <v>-22124.452697999994</v>
      </c>
      <c r="G55" s="58">
        <f t="shared" ref="G55" si="19">G45+G51+G53+G47+G49</f>
        <v>-11572.974009000001</v>
      </c>
      <c r="H55" s="58">
        <f t="shared" ref="H55:O55" si="20">H45+H51+H53+H47+H49</f>
        <v>-1722.9023999999999</v>
      </c>
      <c r="I55" s="58">
        <f t="shared" si="20"/>
        <v>0</v>
      </c>
      <c r="J55" s="58">
        <f t="shared" si="20"/>
        <v>0</v>
      </c>
      <c r="K55" s="58">
        <f t="shared" si="20"/>
        <v>0</v>
      </c>
      <c r="L55" s="58">
        <f t="shared" si="20"/>
        <v>0</v>
      </c>
      <c r="M55" s="58">
        <f t="shared" si="20"/>
        <v>0</v>
      </c>
      <c r="N55" s="58">
        <f t="shared" si="20"/>
        <v>0</v>
      </c>
      <c r="O55" s="58">
        <f t="shared" si="20"/>
        <v>0</v>
      </c>
      <c r="P55" s="58">
        <f>P45+P51+P53+P47+P49</f>
        <v>0</v>
      </c>
      <c r="Q55" s="154">
        <f>B55+C55+D55+E55+F55+G55+H55+I55+J55+K55+L55+M55+N55+O55+P55</f>
        <v>-861445.35823200014</v>
      </c>
      <c r="R55" s="21">
        <f t="shared" si="5"/>
        <v>2.7543282569223879</v>
      </c>
      <c r="T55" s="70">
        <f>SUM(B55:P55)</f>
        <v>-861445.35823200014</v>
      </c>
      <c r="U55" s="70">
        <f t="shared" si="1"/>
        <v>0</v>
      </c>
    </row>
    <row r="56" spans="1:21" x14ac:dyDescent="0.2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U56" s="70"/>
    </row>
    <row r="57" spans="1:21" ht="15" x14ac:dyDescent="0.2">
      <c r="A57" s="52" t="s">
        <v>35</v>
      </c>
      <c r="B57" s="13"/>
      <c r="C57" s="77"/>
      <c r="D57" s="77"/>
      <c r="E57" s="13">
        <v>8</v>
      </c>
      <c r="F57" s="13">
        <v>3</v>
      </c>
      <c r="G57" s="13">
        <v>2</v>
      </c>
      <c r="H57" s="13">
        <v>5</v>
      </c>
      <c r="I57" s="13"/>
      <c r="J57" s="13"/>
      <c r="K57" s="13"/>
      <c r="L57" s="13"/>
      <c r="M57" s="13"/>
      <c r="N57" s="13"/>
      <c r="O57" s="13"/>
      <c r="P57" s="13"/>
      <c r="Q57" s="53"/>
      <c r="R57" s="50"/>
      <c r="U57" s="70"/>
    </row>
    <row r="58" spans="1:21" ht="15" x14ac:dyDescent="0.2">
      <c r="A58" s="81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</row>
    <row r="59" spans="1:21" ht="15" x14ac:dyDescent="0.25">
      <c r="A59" s="54" t="s">
        <v>36</v>
      </c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89">
        <v>45838</v>
      </c>
    </row>
    <row r="61" spans="1:21" x14ac:dyDescent="0.2">
      <c r="B61" s="70">
        <f>B14+B43+B47+B49+B51+B53</f>
        <v>-15343.107604000001</v>
      </c>
      <c r="C61" s="70">
        <f t="shared" ref="C61:Q61" si="21">C14+C43+C47+C49+C51+C53</f>
        <v>-324981.20852900005</v>
      </c>
      <c r="D61" s="70">
        <f t="shared" ref="D61" si="22">D14+D43+D47+D49+D51+D53</f>
        <v>-452548.650348</v>
      </c>
      <c r="E61" s="70">
        <f t="shared" si="21"/>
        <v>-33152.062643999998</v>
      </c>
      <c r="F61" s="70">
        <f t="shared" si="21"/>
        <v>-22124.452697999994</v>
      </c>
      <c r="G61" s="70">
        <f t="shared" si="21"/>
        <v>-11572.974009000001</v>
      </c>
      <c r="H61" s="70">
        <f t="shared" si="21"/>
        <v>-1722.9023999999999</v>
      </c>
      <c r="I61" s="70">
        <f t="shared" si="21"/>
        <v>0</v>
      </c>
      <c r="J61" s="70">
        <f t="shared" si="21"/>
        <v>0</v>
      </c>
      <c r="K61" s="70">
        <f t="shared" si="21"/>
        <v>0</v>
      </c>
      <c r="L61" s="70">
        <f t="shared" si="21"/>
        <v>0</v>
      </c>
      <c r="M61" s="70">
        <f t="shared" si="21"/>
        <v>0</v>
      </c>
      <c r="N61" s="70">
        <f t="shared" si="21"/>
        <v>0</v>
      </c>
      <c r="O61" s="70">
        <f t="shared" si="21"/>
        <v>0</v>
      </c>
      <c r="P61" s="70">
        <f t="shared" si="21"/>
        <v>0</v>
      </c>
      <c r="Q61" s="70">
        <f t="shared" si="21"/>
        <v>-861445.35823200003</v>
      </c>
    </row>
    <row r="63" spans="1:21" x14ac:dyDescent="0.2">
      <c r="B63" s="70">
        <f>B55-B61</f>
        <v>0</v>
      </c>
      <c r="C63" s="70">
        <f t="shared" ref="C63:Q63" si="23">C55-C61</f>
        <v>0</v>
      </c>
      <c r="D63" s="70">
        <f t="shared" ref="D63" si="24">D55-D61</f>
        <v>0</v>
      </c>
      <c r="E63" s="70">
        <f t="shared" si="23"/>
        <v>0</v>
      </c>
      <c r="F63" s="70">
        <f t="shared" si="23"/>
        <v>0</v>
      </c>
      <c r="G63" s="70">
        <f t="shared" si="23"/>
        <v>0</v>
      </c>
      <c r="H63" s="70">
        <f t="shared" si="23"/>
        <v>0</v>
      </c>
      <c r="I63" s="70">
        <f t="shared" si="23"/>
        <v>0</v>
      </c>
      <c r="J63" s="70">
        <f t="shared" si="23"/>
        <v>0</v>
      </c>
      <c r="K63" s="70">
        <f t="shared" si="23"/>
        <v>0</v>
      </c>
      <c r="L63" s="70">
        <f t="shared" si="23"/>
        <v>0</v>
      </c>
      <c r="M63" s="70">
        <f t="shared" si="23"/>
        <v>0</v>
      </c>
      <c r="N63" s="70">
        <f t="shared" si="23"/>
        <v>0</v>
      </c>
      <c r="O63" s="70">
        <f t="shared" si="23"/>
        <v>0</v>
      </c>
      <c r="P63" s="70">
        <f t="shared" si="23"/>
        <v>0</v>
      </c>
      <c r="Q63" s="70">
        <f t="shared" si="23"/>
        <v>0</v>
      </c>
    </row>
  </sheetData>
  <mergeCells count="4">
    <mergeCell ref="B1:E1"/>
    <mergeCell ref="B5:E5"/>
    <mergeCell ref="B7:E7"/>
    <mergeCell ref="B3:F3"/>
  </mergeCells>
  <phoneticPr fontId="12" type="noConversion"/>
  <conditionalFormatting sqref="H55">
    <cfRule type="cellIs" dxfId="151" priority="5" operator="lessThan">
      <formula>0</formula>
    </cfRule>
    <cfRule type="cellIs" dxfId="150" priority="6" operator="greaterThan">
      <formula>0</formula>
    </cfRule>
  </conditionalFormatting>
  <conditionalFormatting sqref="J55:K55">
    <cfRule type="cellIs" dxfId="149" priority="3" operator="lessThan">
      <formula>0</formula>
    </cfRule>
    <cfRule type="cellIs" dxfId="148" priority="4" operator="greaterThan">
      <formula>0</formula>
    </cfRule>
  </conditionalFormatting>
  <conditionalFormatting sqref="M55">
    <cfRule type="cellIs" dxfId="147" priority="1" operator="lessThan">
      <formula>0</formula>
    </cfRule>
    <cfRule type="cellIs" dxfId="146" priority="2" operator="greaterThan">
      <formula>0</formula>
    </cfRule>
  </conditionalFormatting>
  <printOptions horizontalCentered="1" verticalCentered="1"/>
  <pageMargins left="0.19685039370078741" right="0" top="0.19685039370078741" bottom="0" header="0.11811023622047245" footer="0.19685039370078741"/>
  <pageSetup paperSize="9" scale="6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S62"/>
  <sheetViews>
    <sheetView zoomScaleNormal="100" workbookViewId="0">
      <pane xSplit="1" topLeftCell="B1" activePane="topRight" state="frozen"/>
      <selection activeCell="D33" sqref="D33"/>
      <selection pane="topRight" activeCell="B8" sqref="B8"/>
    </sheetView>
  </sheetViews>
  <sheetFormatPr defaultColWidth="9.140625" defaultRowHeight="12.75" x14ac:dyDescent="0.2"/>
  <cols>
    <col min="1" max="1" width="61.5703125" style="10" bestFit="1" customWidth="1"/>
    <col min="2" max="2" width="16.140625" style="10" bestFit="1" customWidth="1"/>
    <col min="3" max="3" width="13.85546875" style="10" bestFit="1" customWidth="1"/>
    <col min="4" max="4" width="16.28515625" style="10" bestFit="1" customWidth="1"/>
    <col min="5" max="5" width="12.42578125" style="10" bestFit="1" customWidth="1"/>
    <col min="6" max="6" width="10.7109375" style="10" bestFit="1" customWidth="1"/>
    <col min="7" max="7" width="11" style="10" bestFit="1" customWidth="1"/>
    <col min="8" max="8" width="12.42578125" style="10" bestFit="1" customWidth="1"/>
    <col min="9" max="9" width="11.7109375" style="10" bestFit="1" customWidth="1"/>
    <col min="10" max="10" width="13.28515625" style="10" bestFit="1" customWidth="1"/>
    <col min="11" max="11" width="16.140625" style="10" bestFit="1" customWidth="1"/>
    <col min="12" max="12" width="14.7109375" style="10" bestFit="1" customWidth="1"/>
    <col min="13" max="13" width="16.85546875" style="10" bestFit="1" customWidth="1"/>
    <col min="14" max="14" width="16.7109375" style="10" bestFit="1" customWidth="1"/>
    <col min="15" max="15" width="15" style="10" bestFit="1" customWidth="1"/>
    <col min="16" max="16" width="10.7109375" style="10" bestFit="1" customWidth="1"/>
    <col min="17" max="17" width="9.140625" style="10"/>
    <col min="18" max="18" width="13.7109375" style="10" bestFit="1" customWidth="1"/>
    <col min="19" max="16384" width="9.140625" style="10"/>
  </cols>
  <sheetData>
    <row r="1" spans="1:19" ht="15.75" x14ac:dyDescent="0.25">
      <c r="A1" s="1"/>
      <c r="B1" s="203" t="s">
        <v>71</v>
      </c>
      <c r="C1" s="203"/>
      <c r="D1" s="203"/>
      <c r="E1" s="203"/>
    </row>
    <row r="2" spans="1:19" ht="10.15" customHeight="1" x14ac:dyDescent="0.2"/>
    <row r="3" spans="1:19" ht="15.6" customHeight="1" x14ac:dyDescent="0.25">
      <c r="A3" s="88"/>
      <c r="B3" s="209" t="s">
        <v>65</v>
      </c>
      <c r="C3" s="209"/>
      <c r="D3" s="209"/>
      <c r="E3" s="209"/>
    </row>
    <row r="4" spans="1:19" ht="6.75" customHeight="1" x14ac:dyDescent="0.25">
      <c r="A4" s="71"/>
    </row>
    <row r="5" spans="1:19" ht="15.6" customHeight="1" x14ac:dyDescent="0.25">
      <c r="A5" s="88"/>
      <c r="B5" s="209" t="s">
        <v>82</v>
      </c>
      <c r="C5" s="209"/>
      <c r="D5" s="209"/>
      <c r="E5" s="209"/>
    </row>
    <row r="6" spans="1:19" ht="12.6" customHeight="1" x14ac:dyDescent="0.25">
      <c r="A6" s="71"/>
    </row>
    <row r="7" spans="1:19" ht="15.6" customHeight="1" x14ac:dyDescent="0.25">
      <c r="A7" s="88"/>
      <c r="B7" s="209" t="s">
        <v>169</v>
      </c>
      <c r="C7" s="209"/>
      <c r="D7" s="209"/>
      <c r="E7" s="209"/>
    </row>
    <row r="8" spans="1:19" ht="9.6" customHeight="1" x14ac:dyDescent="0.2"/>
    <row r="9" spans="1:19" ht="10.15" customHeight="1" x14ac:dyDescent="0.2"/>
    <row r="10" spans="1:19" ht="15" x14ac:dyDescent="0.2">
      <c r="A10" s="12"/>
      <c r="B10" s="60" t="s">
        <v>122</v>
      </c>
      <c r="C10" s="60" t="s">
        <v>117</v>
      </c>
      <c r="D10" s="60" t="s">
        <v>118</v>
      </c>
      <c r="E10" s="60" t="s">
        <v>119</v>
      </c>
      <c r="F10" s="60" t="s">
        <v>120</v>
      </c>
      <c r="G10" s="60" t="s">
        <v>121</v>
      </c>
      <c r="H10" s="60" t="s">
        <v>123</v>
      </c>
      <c r="I10" s="60" t="s">
        <v>124</v>
      </c>
      <c r="J10" s="60" t="s">
        <v>125</v>
      </c>
      <c r="K10" s="60" t="s">
        <v>126</v>
      </c>
      <c r="L10" s="60" t="s">
        <v>127</v>
      </c>
      <c r="M10" s="60" t="s">
        <v>128</v>
      </c>
      <c r="N10" s="60" t="s">
        <v>129</v>
      </c>
      <c r="O10" s="13" t="s">
        <v>1</v>
      </c>
      <c r="P10" s="14" t="s">
        <v>2</v>
      </c>
    </row>
    <row r="11" spans="1:19" ht="15" x14ac:dyDescent="0.2">
      <c r="A11" s="15" t="s">
        <v>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  <c r="P11" s="18"/>
    </row>
    <row r="12" spans="1:19" ht="15" x14ac:dyDescent="0.2">
      <c r="A12" s="15" t="s">
        <v>4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20">
        <f>B12+C12+D12+E12+F12+G12+H12+I12+J12+K12+L12+M12+N12</f>
        <v>0</v>
      </c>
      <c r="P12" s="21">
        <v>1</v>
      </c>
      <c r="R12" s="70">
        <f>SUM(B12:N12)</f>
        <v>0</v>
      </c>
      <c r="S12" s="70">
        <f>O12-R12</f>
        <v>0</v>
      </c>
    </row>
    <row r="13" spans="1:19" ht="15" x14ac:dyDescent="0.2">
      <c r="A13" s="15" t="s">
        <v>5</v>
      </c>
      <c r="B13" s="22">
        <v>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20">
        <f>B13+C13+D13+E13+F13+G13+H13+I13+J13+K13+L13+M13+N13</f>
        <v>0</v>
      </c>
      <c r="P13" s="21"/>
      <c r="R13" s="70">
        <f t="shared" ref="R13:R55" si="0">SUM(B13:N13)</f>
        <v>0</v>
      </c>
      <c r="S13" s="70">
        <f t="shared" ref="S13:S55" si="1">O13-R13</f>
        <v>0</v>
      </c>
    </row>
    <row r="14" spans="1:19" ht="15" x14ac:dyDescent="0.2">
      <c r="A14" s="23" t="s">
        <v>6</v>
      </c>
      <c r="B14" s="67">
        <f t="shared" ref="B14" si="2">B12+B13</f>
        <v>0</v>
      </c>
      <c r="C14" s="24"/>
      <c r="D14" s="24"/>
      <c r="E14" s="24"/>
      <c r="F14" s="24">
        <f t="shared" ref="F14:N14" si="3">SUM(F12:F13)</f>
        <v>0</v>
      </c>
      <c r="G14" s="24">
        <f t="shared" si="3"/>
        <v>0</v>
      </c>
      <c r="H14" s="24">
        <f t="shared" si="3"/>
        <v>0</v>
      </c>
      <c r="I14" s="24">
        <f t="shared" si="3"/>
        <v>0</v>
      </c>
      <c r="J14" s="24">
        <f t="shared" si="3"/>
        <v>0</v>
      </c>
      <c r="K14" s="24">
        <f t="shared" si="3"/>
        <v>0</v>
      </c>
      <c r="L14" s="24">
        <f t="shared" si="3"/>
        <v>0</v>
      </c>
      <c r="M14" s="24">
        <f t="shared" si="3"/>
        <v>0</v>
      </c>
      <c r="N14" s="24">
        <f t="shared" si="3"/>
        <v>0</v>
      </c>
      <c r="O14" s="24">
        <f>SUM(O12:O13)</f>
        <v>0</v>
      </c>
      <c r="P14" s="21">
        <v>1</v>
      </c>
      <c r="R14" s="70">
        <f t="shared" si="0"/>
        <v>0</v>
      </c>
      <c r="S14" s="70">
        <f t="shared" si="1"/>
        <v>0</v>
      </c>
    </row>
    <row r="15" spans="1:19" ht="15" x14ac:dyDescent="0.2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7"/>
      <c r="P15" s="28"/>
      <c r="R15" s="70">
        <f t="shared" si="0"/>
        <v>0</v>
      </c>
      <c r="S15" s="70">
        <f t="shared" si="1"/>
        <v>0</v>
      </c>
    </row>
    <row r="16" spans="1:19" ht="15" x14ac:dyDescent="0.2">
      <c r="A16" s="29" t="s">
        <v>7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30"/>
      <c r="P16" s="31"/>
      <c r="R16" s="70">
        <f t="shared" si="0"/>
        <v>0</v>
      </c>
      <c r="S16" s="70">
        <f t="shared" si="1"/>
        <v>0</v>
      </c>
    </row>
    <row r="17" spans="1:19" ht="15" x14ac:dyDescent="0.2">
      <c r="A17" s="15" t="s">
        <v>8</v>
      </c>
      <c r="B17" s="32">
        <v>-6030.15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20">
        <f>B17+C17+D17+E17+F17+G17+H17+I17+J17+K17+L17+M17+N17</f>
        <v>-6030.15</v>
      </c>
      <c r="P17" s="21"/>
      <c r="R17" s="70">
        <f t="shared" si="0"/>
        <v>-6030.15</v>
      </c>
      <c r="S17" s="70">
        <f t="shared" si="1"/>
        <v>0</v>
      </c>
    </row>
    <row r="18" spans="1:19" ht="15" x14ac:dyDescent="0.2">
      <c r="A18" s="33" t="s">
        <v>9</v>
      </c>
      <c r="B18" s="32">
        <v>0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20">
        <f t="shared" ref="O18:O40" si="4">B18+C18+D18+E18+F18+G18+H18+I18+J18+K18+L18+M18+N18</f>
        <v>0</v>
      </c>
      <c r="P18" s="21"/>
      <c r="R18" s="70">
        <f t="shared" si="0"/>
        <v>0</v>
      </c>
      <c r="S18" s="70">
        <f t="shared" si="1"/>
        <v>0</v>
      </c>
    </row>
    <row r="19" spans="1:19" ht="15" x14ac:dyDescent="0.2">
      <c r="A19" s="15" t="s">
        <v>10</v>
      </c>
      <c r="B19" s="32">
        <v>0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20">
        <f t="shared" si="4"/>
        <v>0</v>
      </c>
      <c r="P19" s="21"/>
      <c r="R19" s="70">
        <f t="shared" si="0"/>
        <v>0</v>
      </c>
      <c r="S19" s="70">
        <f t="shared" si="1"/>
        <v>0</v>
      </c>
    </row>
    <row r="20" spans="1:19" ht="15" x14ac:dyDescent="0.2">
      <c r="A20" s="33" t="s">
        <v>11</v>
      </c>
      <c r="B20" s="32">
        <v>0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20">
        <f t="shared" si="4"/>
        <v>0</v>
      </c>
      <c r="P20" s="21"/>
      <c r="R20" s="70">
        <f t="shared" si="0"/>
        <v>0</v>
      </c>
      <c r="S20" s="70">
        <f t="shared" si="1"/>
        <v>0</v>
      </c>
    </row>
    <row r="21" spans="1:19" ht="15" x14ac:dyDescent="0.2">
      <c r="A21" s="15" t="s">
        <v>12</v>
      </c>
      <c r="B21" s="32">
        <v>-3604.9</v>
      </c>
      <c r="C21" s="32">
        <v>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20">
        <f t="shared" si="4"/>
        <v>-3604.9</v>
      </c>
      <c r="P21" s="21"/>
      <c r="R21" s="70">
        <f t="shared" si="0"/>
        <v>-3604.9</v>
      </c>
      <c r="S21" s="70">
        <f t="shared" si="1"/>
        <v>0</v>
      </c>
    </row>
    <row r="22" spans="1:19" ht="15" x14ac:dyDescent="0.2">
      <c r="A22" s="15" t="s">
        <v>13</v>
      </c>
      <c r="B22" s="32">
        <v>-2382.9299999999998</v>
      </c>
      <c r="C22" s="32">
        <v>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20">
        <f t="shared" si="4"/>
        <v>-2382.9299999999998</v>
      </c>
      <c r="P22" s="21"/>
      <c r="R22" s="70">
        <f t="shared" si="0"/>
        <v>-2382.9299999999998</v>
      </c>
      <c r="S22" s="70">
        <f t="shared" si="1"/>
        <v>0</v>
      </c>
    </row>
    <row r="23" spans="1:19" ht="15" x14ac:dyDescent="0.2">
      <c r="A23" s="15" t="s">
        <v>14</v>
      </c>
      <c r="B23" s="32">
        <v>-4602.01</v>
      </c>
      <c r="C23" s="32">
        <v>0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20">
        <f t="shared" si="4"/>
        <v>-4602.01</v>
      </c>
      <c r="P23" s="21"/>
      <c r="R23" s="70">
        <f t="shared" si="0"/>
        <v>-4602.01</v>
      </c>
      <c r="S23" s="70">
        <f t="shared" si="1"/>
        <v>0</v>
      </c>
    </row>
    <row r="24" spans="1:19" ht="15" x14ac:dyDescent="0.2">
      <c r="A24" s="15" t="s">
        <v>15</v>
      </c>
      <c r="B24" s="32">
        <v>0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20">
        <f t="shared" si="4"/>
        <v>0</v>
      </c>
      <c r="P24" s="21"/>
      <c r="R24" s="70">
        <f t="shared" si="0"/>
        <v>0</v>
      </c>
      <c r="S24" s="70">
        <f t="shared" si="1"/>
        <v>0</v>
      </c>
    </row>
    <row r="25" spans="1:19" ht="15" x14ac:dyDescent="0.2">
      <c r="A25" s="15" t="s">
        <v>16</v>
      </c>
      <c r="B25" s="32">
        <v>0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20">
        <f t="shared" si="4"/>
        <v>0</v>
      </c>
      <c r="P25" s="21"/>
      <c r="R25" s="70">
        <f t="shared" si="0"/>
        <v>0</v>
      </c>
      <c r="S25" s="70">
        <f t="shared" si="1"/>
        <v>0</v>
      </c>
    </row>
    <row r="26" spans="1:19" ht="15" x14ac:dyDescent="0.2">
      <c r="A26" s="15" t="s">
        <v>17</v>
      </c>
      <c r="B26" s="32">
        <v>-2621.2199999999998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20">
        <f t="shared" si="4"/>
        <v>-2621.2199999999998</v>
      </c>
      <c r="P26" s="21"/>
      <c r="R26" s="70">
        <f t="shared" si="0"/>
        <v>-2621.2199999999998</v>
      </c>
      <c r="S26" s="70">
        <f t="shared" si="1"/>
        <v>0</v>
      </c>
    </row>
    <row r="27" spans="1:19" ht="15" x14ac:dyDescent="0.2">
      <c r="A27" s="15" t="s">
        <v>18</v>
      </c>
      <c r="B27" s="32">
        <v>0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20">
        <f t="shared" si="4"/>
        <v>0</v>
      </c>
      <c r="P27" s="21"/>
      <c r="R27" s="70">
        <f t="shared" si="0"/>
        <v>0</v>
      </c>
      <c r="S27" s="70">
        <f t="shared" si="1"/>
        <v>0</v>
      </c>
    </row>
    <row r="28" spans="1:19" ht="15" x14ac:dyDescent="0.2">
      <c r="A28" s="15" t="s">
        <v>19</v>
      </c>
      <c r="B28" s="32">
        <v>0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20">
        <f t="shared" si="4"/>
        <v>0</v>
      </c>
      <c r="P28" s="21"/>
      <c r="R28" s="70">
        <f t="shared" si="0"/>
        <v>0</v>
      </c>
      <c r="S28" s="70">
        <f t="shared" si="1"/>
        <v>0</v>
      </c>
    </row>
    <row r="29" spans="1:19" ht="15" x14ac:dyDescent="0.2">
      <c r="A29" s="15" t="s">
        <v>20</v>
      </c>
      <c r="B29" s="32">
        <v>0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20">
        <f t="shared" si="4"/>
        <v>0</v>
      </c>
      <c r="P29" s="21"/>
      <c r="R29" s="70">
        <f t="shared" si="0"/>
        <v>0</v>
      </c>
      <c r="S29" s="70">
        <f t="shared" si="1"/>
        <v>0</v>
      </c>
    </row>
    <row r="30" spans="1:19" ht="15" x14ac:dyDescent="0.2">
      <c r="A30" s="15" t="s">
        <v>59</v>
      </c>
      <c r="B30" s="32">
        <v>0</v>
      </c>
      <c r="C30" s="32">
        <v>0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20">
        <f t="shared" si="4"/>
        <v>0</v>
      </c>
      <c r="P30" s="21"/>
      <c r="R30" s="70">
        <f t="shared" si="0"/>
        <v>0</v>
      </c>
      <c r="S30" s="70">
        <f t="shared" si="1"/>
        <v>0</v>
      </c>
    </row>
    <row r="31" spans="1:19" ht="15" x14ac:dyDescent="0.2">
      <c r="A31" s="15" t="s">
        <v>21</v>
      </c>
      <c r="B31" s="32">
        <v>-223.5</v>
      </c>
      <c r="C31" s="32">
        <v>0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20">
        <f t="shared" si="4"/>
        <v>-223.5</v>
      </c>
      <c r="P31" s="21"/>
      <c r="R31" s="70">
        <f t="shared" si="0"/>
        <v>-223.5</v>
      </c>
      <c r="S31" s="70">
        <f t="shared" si="1"/>
        <v>0</v>
      </c>
    </row>
    <row r="32" spans="1:19" ht="15" x14ac:dyDescent="0.2">
      <c r="A32" s="15" t="s">
        <v>22</v>
      </c>
      <c r="B32" s="32">
        <v>0</v>
      </c>
      <c r="C32" s="32">
        <v>0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20">
        <f t="shared" si="4"/>
        <v>0</v>
      </c>
      <c r="P32" s="21"/>
      <c r="R32" s="70">
        <f t="shared" si="0"/>
        <v>0</v>
      </c>
      <c r="S32" s="70">
        <f t="shared" si="1"/>
        <v>0</v>
      </c>
    </row>
    <row r="33" spans="1:19" ht="15" x14ac:dyDescent="0.2">
      <c r="A33" s="33" t="s">
        <v>23</v>
      </c>
      <c r="B33" s="32">
        <v>0</v>
      </c>
      <c r="C33" s="32">
        <v>0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20">
        <f t="shared" si="4"/>
        <v>0</v>
      </c>
      <c r="P33" s="21"/>
      <c r="R33" s="70">
        <f t="shared" si="0"/>
        <v>0</v>
      </c>
      <c r="S33" s="70">
        <f t="shared" si="1"/>
        <v>0</v>
      </c>
    </row>
    <row r="34" spans="1:19" ht="15" x14ac:dyDescent="0.2">
      <c r="A34" s="15" t="s">
        <v>24</v>
      </c>
      <c r="B34" s="32">
        <v>-8840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20">
        <f t="shared" si="4"/>
        <v>-8840</v>
      </c>
      <c r="P34" s="21"/>
      <c r="R34" s="70">
        <f t="shared" si="0"/>
        <v>-8840</v>
      </c>
      <c r="S34" s="70">
        <f t="shared" si="1"/>
        <v>0</v>
      </c>
    </row>
    <row r="35" spans="1:19" ht="15" x14ac:dyDescent="0.2">
      <c r="A35" s="34" t="s">
        <v>25</v>
      </c>
      <c r="B35" s="32">
        <v>-25182.6</v>
      </c>
      <c r="C35" s="32">
        <v>0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20">
        <f t="shared" si="4"/>
        <v>-25182.6</v>
      </c>
      <c r="P35" s="21"/>
      <c r="R35" s="70">
        <f t="shared" si="0"/>
        <v>-25182.6</v>
      </c>
      <c r="S35" s="70">
        <f t="shared" si="1"/>
        <v>0</v>
      </c>
    </row>
    <row r="36" spans="1:19" ht="15" x14ac:dyDescent="0.2">
      <c r="A36" s="15" t="s">
        <v>26</v>
      </c>
      <c r="B36" s="32">
        <v>0</v>
      </c>
      <c r="C36" s="32">
        <v>0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20">
        <f t="shared" si="4"/>
        <v>0</v>
      </c>
      <c r="P36" s="21"/>
      <c r="R36" s="70">
        <f t="shared" si="0"/>
        <v>0</v>
      </c>
      <c r="S36" s="70">
        <f t="shared" si="1"/>
        <v>0</v>
      </c>
    </row>
    <row r="37" spans="1:19" ht="15" x14ac:dyDescent="0.2">
      <c r="A37" s="15" t="s">
        <v>27</v>
      </c>
      <c r="B37" s="32">
        <v>0</v>
      </c>
      <c r="C37" s="32">
        <v>0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20">
        <f t="shared" si="4"/>
        <v>0</v>
      </c>
      <c r="P37" s="21"/>
      <c r="R37" s="70">
        <f t="shared" si="0"/>
        <v>0</v>
      </c>
      <c r="S37" s="70">
        <f t="shared" si="1"/>
        <v>0</v>
      </c>
    </row>
    <row r="38" spans="1:19" ht="15" x14ac:dyDescent="0.2">
      <c r="A38" s="33" t="s">
        <v>28</v>
      </c>
      <c r="B38" s="32">
        <v>-538.01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20">
        <f t="shared" si="4"/>
        <v>-538.01</v>
      </c>
      <c r="P38" s="21"/>
      <c r="R38" s="70">
        <f t="shared" si="0"/>
        <v>-538.01</v>
      </c>
      <c r="S38" s="70">
        <f t="shared" si="1"/>
        <v>0</v>
      </c>
    </row>
    <row r="39" spans="1:19" ht="15" x14ac:dyDescent="0.2">
      <c r="A39" s="15" t="s">
        <v>29</v>
      </c>
      <c r="B39" s="32">
        <v>-2642.58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20">
        <f t="shared" si="4"/>
        <v>-2642.58</v>
      </c>
      <c r="P39" s="21"/>
      <c r="R39" s="70">
        <f t="shared" si="0"/>
        <v>-2642.58</v>
      </c>
      <c r="S39" s="70">
        <f t="shared" si="1"/>
        <v>0</v>
      </c>
    </row>
    <row r="40" spans="1:19" ht="15" x14ac:dyDescent="0.2">
      <c r="A40" s="15" t="s">
        <v>30</v>
      </c>
      <c r="B40" s="32">
        <v>-2520.9499999999998</v>
      </c>
      <c r="C40" s="32">
        <v>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20">
        <f t="shared" si="4"/>
        <v>-2520.9499999999998</v>
      </c>
      <c r="P40" s="21"/>
      <c r="R40" s="70">
        <f t="shared" si="0"/>
        <v>-2520.9499999999998</v>
      </c>
      <c r="S40" s="70">
        <f t="shared" si="1"/>
        <v>0</v>
      </c>
    </row>
    <row r="41" spans="1:19" ht="15" x14ac:dyDescent="0.2">
      <c r="A41" s="15" t="s">
        <v>97</v>
      </c>
      <c r="B41" s="32">
        <v>0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20">
        <f>B41+C41+D41+E41+F41+G41+H41+I41+J41+K41+L41+M41+N41</f>
        <v>0</v>
      </c>
      <c r="P41" s="21"/>
      <c r="R41" s="70">
        <f t="shared" si="0"/>
        <v>0</v>
      </c>
      <c r="S41" s="70">
        <f t="shared" si="1"/>
        <v>0</v>
      </c>
    </row>
    <row r="42" spans="1:19" ht="15" x14ac:dyDescent="0.2">
      <c r="A42" s="15" t="s">
        <v>114</v>
      </c>
      <c r="B42" s="32">
        <v>0</v>
      </c>
      <c r="C42" s="32">
        <v>0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20">
        <f>B42+C42+D42+E42+F42+G42+H42+I42+J42+K42+L42+M42+N42</f>
        <v>0</v>
      </c>
      <c r="P42" s="21"/>
      <c r="R42" s="70">
        <f t="shared" si="0"/>
        <v>0</v>
      </c>
      <c r="S42" s="70">
        <f t="shared" si="1"/>
        <v>0</v>
      </c>
    </row>
    <row r="43" spans="1:19" ht="15" x14ac:dyDescent="0.2">
      <c r="A43" s="35" t="s">
        <v>31</v>
      </c>
      <c r="B43" s="36">
        <f>SUM(B17:B42)</f>
        <v>-59188.85</v>
      </c>
      <c r="C43" s="36">
        <f t="shared" ref="C43:N43" si="5">SUM(C17:C42)</f>
        <v>0</v>
      </c>
      <c r="D43" s="36">
        <f t="shared" si="5"/>
        <v>0</v>
      </c>
      <c r="E43" s="36">
        <f t="shared" si="5"/>
        <v>0</v>
      </c>
      <c r="F43" s="36">
        <f t="shared" si="5"/>
        <v>0</v>
      </c>
      <c r="G43" s="36">
        <f t="shared" si="5"/>
        <v>0</v>
      </c>
      <c r="H43" s="36">
        <f t="shared" si="5"/>
        <v>0</v>
      </c>
      <c r="I43" s="36">
        <f t="shared" si="5"/>
        <v>0</v>
      </c>
      <c r="J43" s="36">
        <f t="shared" si="5"/>
        <v>0</v>
      </c>
      <c r="K43" s="36">
        <f t="shared" si="5"/>
        <v>0</v>
      </c>
      <c r="L43" s="36">
        <f t="shared" si="5"/>
        <v>0</v>
      </c>
      <c r="M43" s="36">
        <f t="shared" si="5"/>
        <v>0</v>
      </c>
      <c r="N43" s="36">
        <f t="shared" si="5"/>
        <v>0</v>
      </c>
      <c r="O43" s="36">
        <f>SUM(O17:O42)</f>
        <v>-59188.85</v>
      </c>
      <c r="P43" s="21"/>
      <c r="R43" s="70">
        <f t="shared" si="0"/>
        <v>-59188.85</v>
      </c>
      <c r="S43" s="70">
        <f t="shared" si="1"/>
        <v>0</v>
      </c>
    </row>
    <row r="44" spans="1:19" ht="15" x14ac:dyDescent="0.2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27"/>
      <c r="P44" s="18"/>
      <c r="R44" s="70">
        <f t="shared" si="0"/>
        <v>0</v>
      </c>
      <c r="S44" s="70">
        <f t="shared" si="1"/>
        <v>0</v>
      </c>
    </row>
    <row r="45" spans="1:19" ht="15" x14ac:dyDescent="0.2">
      <c r="A45" s="39" t="s">
        <v>32</v>
      </c>
      <c r="B45" s="58">
        <f t="shared" ref="B45:N45" si="6">B14+B43</f>
        <v>-59188.85</v>
      </c>
      <c r="C45" s="58">
        <f t="shared" si="6"/>
        <v>0</v>
      </c>
      <c r="D45" s="58">
        <f t="shared" si="6"/>
        <v>0</v>
      </c>
      <c r="E45" s="58">
        <f t="shared" si="6"/>
        <v>0</v>
      </c>
      <c r="F45" s="58">
        <f t="shared" si="6"/>
        <v>0</v>
      </c>
      <c r="G45" s="58">
        <f t="shared" si="6"/>
        <v>0</v>
      </c>
      <c r="H45" s="58">
        <f t="shared" si="6"/>
        <v>0</v>
      </c>
      <c r="I45" s="58">
        <f t="shared" si="6"/>
        <v>0</v>
      </c>
      <c r="J45" s="58">
        <f t="shared" si="6"/>
        <v>0</v>
      </c>
      <c r="K45" s="58">
        <f t="shared" si="6"/>
        <v>0</v>
      </c>
      <c r="L45" s="58">
        <f t="shared" si="6"/>
        <v>0</v>
      </c>
      <c r="M45" s="58">
        <f t="shared" si="6"/>
        <v>0</v>
      </c>
      <c r="N45" s="58">
        <f t="shared" si="6"/>
        <v>0</v>
      </c>
      <c r="O45" s="58">
        <f>B45+C45+D45+E45+F45+G45+H45+I45+J45+K45+L45+M45+N45</f>
        <v>-59188.85</v>
      </c>
      <c r="P45" s="21"/>
      <c r="R45" s="70">
        <f t="shared" si="0"/>
        <v>-59188.85</v>
      </c>
      <c r="S45" s="70">
        <f t="shared" si="1"/>
        <v>0</v>
      </c>
    </row>
    <row r="46" spans="1:19" ht="15" x14ac:dyDescent="0.2">
      <c r="A46" s="41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4"/>
      <c r="R46" s="70">
        <f t="shared" si="0"/>
        <v>0</v>
      </c>
      <c r="S46" s="70">
        <f t="shared" si="1"/>
        <v>0</v>
      </c>
    </row>
    <row r="47" spans="1:19" ht="15" x14ac:dyDescent="0.2">
      <c r="A47" s="29" t="s">
        <v>56</v>
      </c>
      <c r="B47" s="45">
        <f t="shared" ref="B47:K47" si="7">-B12*13.15%</f>
        <v>0</v>
      </c>
      <c r="C47" s="45">
        <f t="shared" si="7"/>
        <v>0</v>
      </c>
      <c r="D47" s="45">
        <f t="shared" si="7"/>
        <v>0</v>
      </c>
      <c r="E47" s="45">
        <f t="shared" si="7"/>
        <v>0</v>
      </c>
      <c r="F47" s="45">
        <f t="shared" si="7"/>
        <v>0</v>
      </c>
      <c r="G47" s="45">
        <f t="shared" si="7"/>
        <v>0</v>
      </c>
      <c r="H47" s="45">
        <f t="shared" si="7"/>
        <v>0</v>
      </c>
      <c r="I47" s="45">
        <f t="shared" si="7"/>
        <v>0</v>
      </c>
      <c r="J47" s="45">
        <f t="shared" si="7"/>
        <v>0</v>
      </c>
      <c r="K47" s="45">
        <f t="shared" si="7"/>
        <v>0</v>
      </c>
      <c r="L47" s="45">
        <f>-L12*13.15%</f>
        <v>0</v>
      </c>
      <c r="M47" s="45">
        <f t="shared" ref="M47:N47" si="8">-M12*13.15%</f>
        <v>0</v>
      </c>
      <c r="N47" s="45">
        <f t="shared" si="8"/>
        <v>0</v>
      </c>
      <c r="O47" s="45">
        <f>B47+C47+D47+E47+F47+G47+H47+I47+J47+K47+L47+M47+N47</f>
        <v>0</v>
      </c>
      <c r="P47" s="21"/>
      <c r="R47" s="70">
        <f t="shared" si="0"/>
        <v>0</v>
      </c>
      <c r="S47" s="70">
        <f t="shared" si="1"/>
        <v>0</v>
      </c>
    </row>
    <row r="48" spans="1:19" ht="15" x14ac:dyDescent="0.2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4"/>
      <c r="R48" s="70">
        <f t="shared" si="0"/>
        <v>0</v>
      </c>
      <c r="S48" s="70">
        <f t="shared" si="1"/>
        <v>0</v>
      </c>
    </row>
    <row r="49" spans="1:19" ht="15" x14ac:dyDescent="0.2">
      <c r="A49" s="29" t="s">
        <v>33</v>
      </c>
      <c r="B49" s="45">
        <f t="shared" ref="B49:N49" si="9">-B12*1.22%</f>
        <v>0</v>
      </c>
      <c r="C49" s="45">
        <f t="shared" si="9"/>
        <v>0</v>
      </c>
      <c r="D49" s="45">
        <f t="shared" si="9"/>
        <v>0</v>
      </c>
      <c r="E49" s="45">
        <f t="shared" si="9"/>
        <v>0</v>
      </c>
      <c r="F49" s="45">
        <f t="shared" si="9"/>
        <v>0</v>
      </c>
      <c r="G49" s="45">
        <f t="shared" si="9"/>
        <v>0</v>
      </c>
      <c r="H49" s="45">
        <f t="shared" si="9"/>
        <v>0</v>
      </c>
      <c r="I49" s="45">
        <f t="shared" si="9"/>
        <v>0</v>
      </c>
      <c r="J49" s="45">
        <f t="shared" si="9"/>
        <v>0</v>
      </c>
      <c r="K49" s="45">
        <f t="shared" si="9"/>
        <v>0</v>
      </c>
      <c r="L49" s="45">
        <f t="shared" si="9"/>
        <v>0</v>
      </c>
      <c r="M49" s="45">
        <f t="shared" si="9"/>
        <v>0</v>
      </c>
      <c r="N49" s="45">
        <f t="shared" si="9"/>
        <v>0</v>
      </c>
      <c r="O49" s="45">
        <f>B49+C49+D49+E49+F49+G49+H49+I49+J49+K49+L49+M49+N49</f>
        <v>0</v>
      </c>
      <c r="P49" s="21"/>
      <c r="R49" s="70">
        <f t="shared" si="0"/>
        <v>0</v>
      </c>
      <c r="S49" s="70">
        <f t="shared" si="1"/>
        <v>0</v>
      </c>
    </row>
    <row r="50" spans="1:19" ht="14.25" x14ac:dyDescent="0.2">
      <c r="A50" s="43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4"/>
      <c r="R50" s="70">
        <f t="shared" si="0"/>
        <v>0</v>
      </c>
      <c r="S50" s="70">
        <f t="shared" si="1"/>
        <v>0</v>
      </c>
    </row>
    <row r="51" spans="1:19" ht="15" x14ac:dyDescent="0.2">
      <c r="A51" s="48" t="s">
        <v>57</v>
      </c>
      <c r="B51" s="49">
        <f t="shared" ref="B51:M51" si="10">B43*5.56%</f>
        <v>-3290.9000599999999</v>
      </c>
      <c r="C51" s="49">
        <f t="shared" si="10"/>
        <v>0</v>
      </c>
      <c r="D51" s="49">
        <f t="shared" si="10"/>
        <v>0</v>
      </c>
      <c r="E51" s="49">
        <f t="shared" si="10"/>
        <v>0</v>
      </c>
      <c r="F51" s="49">
        <f t="shared" si="10"/>
        <v>0</v>
      </c>
      <c r="G51" s="49">
        <f>G43*5.56%</f>
        <v>0</v>
      </c>
      <c r="H51" s="49">
        <f t="shared" si="10"/>
        <v>0</v>
      </c>
      <c r="I51" s="49">
        <f t="shared" si="10"/>
        <v>0</v>
      </c>
      <c r="J51" s="49">
        <f t="shared" si="10"/>
        <v>0</v>
      </c>
      <c r="K51" s="49">
        <f t="shared" si="10"/>
        <v>0</v>
      </c>
      <c r="L51" s="49">
        <f t="shared" si="10"/>
        <v>0</v>
      </c>
      <c r="M51" s="49">
        <f t="shared" si="10"/>
        <v>0</v>
      </c>
      <c r="N51" s="49">
        <f>N43*5.56%</f>
        <v>0</v>
      </c>
      <c r="O51" s="45">
        <f>B51+C51+D51+E51+F51+G51+H51+I51+J51+K51+L51+M51+N51</f>
        <v>-3290.9000599999999</v>
      </c>
      <c r="P51" s="21"/>
      <c r="R51" s="70">
        <f t="shared" si="0"/>
        <v>-3290.9000599999999</v>
      </c>
      <c r="S51" s="70">
        <f t="shared" si="1"/>
        <v>0</v>
      </c>
    </row>
    <row r="52" spans="1:19" ht="14.25" x14ac:dyDescent="0.2">
      <c r="A52" s="43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4"/>
      <c r="R52" s="70">
        <f t="shared" si="0"/>
        <v>0</v>
      </c>
      <c r="S52" s="70">
        <f t="shared" si="1"/>
        <v>0</v>
      </c>
    </row>
    <row r="53" spans="1:19" ht="15" x14ac:dyDescent="0.2">
      <c r="A53" s="48" t="s">
        <v>58</v>
      </c>
      <c r="B53" s="49">
        <f>B43*0.01%</f>
        <v>-5.9188850000000004</v>
      </c>
      <c r="C53" s="49">
        <f t="shared" ref="C53:K53" si="11">C43*0.01%</f>
        <v>0</v>
      </c>
      <c r="D53" s="49">
        <f t="shared" si="11"/>
        <v>0</v>
      </c>
      <c r="E53" s="49">
        <f t="shared" si="11"/>
        <v>0</v>
      </c>
      <c r="F53" s="49">
        <f t="shared" si="11"/>
        <v>0</v>
      </c>
      <c r="G53" s="49">
        <f t="shared" si="11"/>
        <v>0</v>
      </c>
      <c r="H53" s="49">
        <f t="shared" si="11"/>
        <v>0</v>
      </c>
      <c r="I53" s="49">
        <f t="shared" si="11"/>
        <v>0</v>
      </c>
      <c r="J53" s="49">
        <f t="shared" si="11"/>
        <v>0</v>
      </c>
      <c r="K53" s="49">
        <f t="shared" si="11"/>
        <v>0</v>
      </c>
      <c r="L53" s="49">
        <f>L43*0.01%</f>
        <v>0</v>
      </c>
      <c r="M53" s="49">
        <f t="shared" ref="M53" si="12">M43*0.01%</f>
        <v>0</v>
      </c>
      <c r="N53" s="49">
        <f>N43*0.01%</f>
        <v>0</v>
      </c>
      <c r="O53" s="45">
        <f>B53+C53+D53+E53+F53+G53+H53+I53+J53+K53+L53+M53+N53</f>
        <v>-5.9188850000000004</v>
      </c>
      <c r="P53" s="21"/>
      <c r="R53" s="70">
        <f t="shared" si="0"/>
        <v>-5.9188850000000004</v>
      </c>
      <c r="S53" s="70">
        <f t="shared" si="1"/>
        <v>0</v>
      </c>
    </row>
    <row r="54" spans="1:19" ht="14.25" x14ac:dyDescent="0.2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4"/>
      <c r="R54" s="70">
        <f t="shared" si="0"/>
        <v>0</v>
      </c>
      <c r="S54" s="70">
        <f t="shared" si="1"/>
        <v>0</v>
      </c>
    </row>
    <row r="55" spans="1:19" ht="15" x14ac:dyDescent="0.2">
      <c r="A55" s="39" t="s">
        <v>88</v>
      </c>
      <c r="B55" s="58">
        <f>B45+B51+B53+B47+B49</f>
        <v>-62485.668944999998</v>
      </c>
      <c r="C55" s="58">
        <f t="shared" ref="C55:M55" si="13">C45+C51+C53+C47+C49</f>
        <v>0</v>
      </c>
      <c r="D55" s="58">
        <f>D45+D51+D53+D47+D49</f>
        <v>0</v>
      </c>
      <c r="E55" s="58">
        <f t="shared" si="13"/>
        <v>0</v>
      </c>
      <c r="F55" s="58">
        <f t="shared" si="13"/>
        <v>0</v>
      </c>
      <c r="G55" s="58">
        <f t="shared" si="13"/>
        <v>0</v>
      </c>
      <c r="H55" s="58">
        <f t="shared" si="13"/>
        <v>0</v>
      </c>
      <c r="I55" s="58">
        <f t="shared" si="13"/>
        <v>0</v>
      </c>
      <c r="J55" s="58">
        <f t="shared" si="13"/>
        <v>0</v>
      </c>
      <c r="K55" s="58">
        <f t="shared" si="13"/>
        <v>0</v>
      </c>
      <c r="L55" s="58">
        <f t="shared" si="13"/>
        <v>0</v>
      </c>
      <c r="M55" s="58">
        <f t="shared" si="13"/>
        <v>0</v>
      </c>
      <c r="N55" s="58">
        <f>N45+N51+N53+N47+N49</f>
        <v>0</v>
      </c>
      <c r="O55" s="58">
        <f>B55+C55+D55+E55+F55+G55+H55+I55+J55+K55+L55+M55+N55</f>
        <v>-62485.668944999998</v>
      </c>
      <c r="P55" s="21"/>
      <c r="R55" s="70">
        <f t="shared" si="0"/>
        <v>-62485.668944999998</v>
      </c>
      <c r="S55" s="70">
        <f t="shared" si="1"/>
        <v>0</v>
      </c>
    </row>
    <row r="56" spans="1:19" x14ac:dyDescent="0.2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</row>
    <row r="57" spans="1:19" ht="15" x14ac:dyDescent="0.2">
      <c r="A57" s="52" t="s">
        <v>35</v>
      </c>
      <c r="B57" s="77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53"/>
      <c r="P57" s="50"/>
    </row>
    <row r="58" spans="1:19" ht="15" x14ac:dyDescent="0.25">
      <c r="A58" s="81"/>
      <c r="B58" s="79"/>
      <c r="D58"/>
      <c r="E58"/>
      <c r="F58"/>
      <c r="G58"/>
      <c r="H58"/>
      <c r="I58"/>
      <c r="J58"/>
      <c r="K58"/>
      <c r="L58"/>
      <c r="M58"/>
      <c r="N58"/>
      <c r="O58"/>
      <c r="P58" s="89">
        <v>45382</v>
      </c>
    </row>
    <row r="59" spans="1:19" x14ac:dyDescent="0.2">
      <c r="A59" s="54" t="s">
        <v>36</v>
      </c>
      <c r="B59" s="83"/>
    </row>
    <row r="60" spans="1:19" x14ac:dyDescent="0.2">
      <c r="B60" s="70">
        <f>B14+B43+B47+B49+B51+B53</f>
        <v>-62485.668944999998</v>
      </c>
      <c r="C60" s="70">
        <f t="shared" ref="C60:O60" si="14">C14+C43+C47+C49+C51+C53</f>
        <v>0</v>
      </c>
      <c r="D60" s="70">
        <f t="shared" si="14"/>
        <v>0</v>
      </c>
      <c r="E60" s="70">
        <f t="shared" si="14"/>
        <v>0</v>
      </c>
      <c r="F60" s="70">
        <f t="shared" si="14"/>
        <v>0</v>
      </c>
      <c r="G60" s="70">
        <f t="shared" si="14"/>
        <v>0</v>
      </c>
      <c r="H60" s="70">
        <f t="shared" si="14"/>
        <v>0</v>
      </c>
      <c r="I60" s="70">
        <f t="shared" si="14"/>
        <v>0</v>
      </c>
      <c r="J60" s="70">
        <f t="shared" si="14"/>
        <v>0</v>
      </c>
      <c r="K60" s="70">
        <f t="shared" si="14"/>
        <v>0</v>
      </c>
      <c r="L60" s="70">
        <f t="shared" si="14"/>
        <v>0</v>
      </c>
      <c r="M60" s="70">
        <f t="shared" si="14"/>
        <v>0</v>
      </c>
      <c r="N60" s="70">
        <f t="shared" si="14"/>
        <v>0</v>
      </c>
      <c r="O60" s="70">
        <f t="shared" si="14"/>
        <v>-62485.668944999998</v>
      </c>
    </row>
    <row r="62" spans="1:19" x14ac:dyDescent="0.2">
      <c r="B62" s="70">
        <f>B55-B60</f>
        <v>0</v>
      </c>
      <c r="C62" s="70">
        <f t="shared" ref="C62:M62" si="15">C55-C60</f>
        <v>0</v>
      </c>
      <c r="D62" s="70">
        <f t="shared" si="15"/>
        <v>0</v>
      </c>
      <c r="E62" s="70">
        <f t="shared" si="15"/>
        <v>0</v>
      </c>
      <c r="F62" s="70">
        <f t="shared" si="15"/>
        <v>0</v>
      </c>
      <c r="G62" s="70">
        <f t="shared" si="15"/>
        <v>0</v>
      </c>
      <c r="H62" s="70">
        <f t="shared" si="15"/>
        <v>0</v>
      </c>
      <c r="I62" s="70">
        <f t="shared" si="15"/>
        <v>0</v>
      </c>
      <c r="J62" s="70">
        <f t="shared" si="15"/>
        <v>0</v>
      </c>
      <c r="K62" s="70">
        <f t="shared" si="15"/>
        <v>0</v>
      </c>
      <c r="L62" s="70">
        <f t="shared" si="15"/>
        <v>0</v>
      </c>
      <c r="M62" s="70">
        <f t="shared" si="15"/>
        <v>0</v>
      </c>
      <c r="N62" s="70">
        <f>N55-N60</f>
        <v>0</v>
      </c>
      <c r="O62" s="70">
        <f>O55-O60</f>
        <v>0</v>
      </c>
    </row>
  </sheetData>
  <mergeCells count="4">
    <mergeCell ref="B1:E1"/>
    <mergeCell ref="B3:E3"/>
    <mergeCell ref="B5:E5"/>
    <mergeCell ref="B7:E7"/>
  </mergeCells>
  <conditionalFormatting sqref="F55">
    <cfRule type="cellIs" dxfId="145" priority="5" operator="lessThan">
      <formula>0</formula>
    </cfRule>
    <cfRule type="cellIs" dxfId="144" priority="6" operator="greaterThan">
      <formula>0</formula>
    </cfRule>
  </conditionalFormatting>
  <conditionalFormatting sqref="H55:I55">
    <cfRule type="cellIs" dxfId="143" priority="3" operator="lessThan">
      <formula>0</formula>
    </cfRule>
    <cfRule type="cellIs" dxfId="142" priority="4" operator="greaterThan">
      <formula>0</formula>
    </cfRule>
  </conditionalFormatting>
  <conditionalFormatting sqref="K55">
    <cfRule type="cellIs" dxfId="141" priority="1" operator="lessThan">
      <formula>0</formula>
    </cfRule>
    <cfRule type="cellIs" dxfId="140" priority="2" operator="greaterThan">
      <formula>0</formula>
    </cfRule>
  </conditionalFormatting>
  <printOptions horizontalCentered="1" verticalCentered="1"/>
  <pageMargins left="0.11811023622047245" right="0" top="0.39370078740157483" bottom="0" header="0.19685039370078741" footer="0.19685039370078741"/>
  <pageSetup paperSize="9" scale="4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T63"/>
  <sheetViews>
    <sheetView zoomScale="85" zoomScaleNormal="85" workbookViewId="0">
      <pane xSplit="1" topLeftCell="B1" activePane="topRight" state="frozen"/>
      <selection pane="topRight" activeCell="G11" sqref="G11"/>
    </sheetView>
  </sheetViews>
  <sheetFormatPr defaultColWidth="9.140625" defaultRowHeight="12.75" x14ac:dyDescent="0.2"/>
  <cols>
    <col min="1" max="1" width="51.7109375" style="10" customWidth="1"/>
    <col min="2" max="2" width="16.140625" style="10" bestFit="1" customWidth="1"/>
    <col min="3" max="3" width="16.140625" style="10" customWidth="1"/>
    <col min="4" max="4" width="15" style="10" bestFit="1" customWidth="1"/>
    <col min="5" max="5" width="16.28515625" style="10" customWidth="1"/>
    <col min="6" max="6" width="15" style="10" customWidth="1"/>
    <col min="7" max="7" width="16.7109375" style="10" customWidth="1"/>
    <col min="8" max="8" width="16.85546875" style="10" hidden="1" customWidth="1"/>
    <col min="9" max="9" width="15.85546875" style="10" hidden="1" customWidth="1"/>
    <col min="10" max="10" width="18.140625" style="10" hidden="1" customWidth="1"/>
    <col min="11" max="11" width="15.140625" style="10" hidden="1" customWidth="1"/>
    <col min="12" max="12" width="16.140625" style="10" hidden="1" customWidth="1"/>
    <col min="13" max="13" width="14.7109375" style="10" hidden="1" customWidth="1"/>
    <col min="14" max="14" width="16.85546875" style="10" hidden="1" customWidth="1"/>
    <col min="15" max="15" width="16.7109375" style="10" hidden="1" customWidth="1"/>
    <col min="16" max="16" width="16.140625" style="10" bestFit="1" customWidth="1"/>
    <col min="17" max="17" width="11.5703125" style="10" bestFit="1" customWidth="1"/>
    <col min="18" max="18" width="3.85546875" style="10" customWidth="1"/>
    <col min="19" max="19" width="14.85546875" style="10" bestFit="1" customWidth="1"/>
    <col min="20" max="20" width="14.140625" style="10" bestFit="1" customWidth="1"/>
    <col min="21" max="16384" width="9.140625" style="10"/>
  </cols>
  <sheetData>
    <row r="1" spans="1:20" ht="15.75" x14ac:dyDescent="0.25">
      <c r="A1" s="203" t="s">
        <v>151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20" ht="6.75" customHeight="1" x14ac:dyDescent="0.2"/>
    <row r="3" spans="1:20" ht="15.6" customHeight="1" x14ac:dyDescent="0.25">
      <c r="A3" s="209" t="s">
        <v>65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</row>
    <row r="4" spans="1:20" ht="7.5" customHeight="1" x14ac:dyDescent="0.25">
      <c r="A4" s="71"/>
    </row>
    <row r="5" spans="1:20" ht="15.6" customHeight="1" x14ac:dyDescent="0.25">
      <c r="A5" s="209" t="s">
        <v>93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20" ht="7.5" customHeight="1" x14ac:dyDescent="0.25">
      <c r="A6" s="71"/>
    </row>
    <row r="7" spans="1:20" ht="15.6" customHeight="1" x14ac:dyDescent="0.25">
      <c r="A7" s="209" t="s">
        <v>169</v>
      </c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</row>
    <row r="8" spans="1:20" ht="9.6" customHeight="1" x14ac:dyDescent="0.2"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</row>
    <row r="9" spans="1:20" ht="10.15" customHeight="1" x14ac:dyDescent="0.2"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</row>
    <row r="10" spans="1:20" ht="15" x14ac:dyDescent="0.2">
      <c r="A10" s="12"/>
      <c r="B10" s="60" t="s">
        <v>122</v>
      </c>
      <c r="C10" s="60" t="s">
        <v>221</v>
      </c>
      <c r="D10" s="60" t="s">
        <v>209</v>
      </c>
      <c r="E10" s="60" t="s">
        <v>210</v>
      </c>
      <c r="F10" s="60" t="s">
        <v>211</v>
      </c>
      <c r="G10" s="60" t="s">
        <v>212</v>
      </c>
      <c r="H10" s="60" t="s">
        <v>121</v>
      </c>
      <c r="I10" s="60" t="s">
        <v>123</v>
      </c>
      <c r="J10" s="60" t="s">
        <v>124</v>
      </c>
      <c r="K10" s="60" t="s">
        <v>125</v>
      </c>
      <c r="L10" s="60" t="s">
        <v>126</v>
      </c>
      <c r="M10" s="60" t="s">
        <v>127</v>
      </c>
      <c r="N10" s="60" t="s">
        <v>128</v>
      </c>
      <c r="O10" s="60" t="s">
        <v>129</v>
      </c>
      <c r="P10" s="13" t="s">
        <v>1</v>
      </c>
      <c r="Q10" s="14" t="s">
        <v>2</v>
      </c>
    </row>
    <row r="11" spans="1:20" ht="15" x14ac:dyDescent="0.2">
      <c r="A11" s="15" t="s">
        <v>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7"/>
      <c r="Q11" s="18"/>
    </row>
    <row r="12" spans="1:20" ht="15" x14ac:dyDescent="0.2">
      <c r="A12" s="78" t="s">
        <v>4</v>
      </c>
      <c r="B12" s="19">
        <v>0</v>
      </c>
      <c r="C12" s="19"/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B12+C12+D12+E12+F12+G12+H12+I12+J12+K12+L12+M12+N12+O12</f>
        <v>0</v>
      </c>
      <c r="Q12" s="21">
        <v>1</v>
      </c>
      <c r="S12" s="70">
        <f>SUM(B12:O12)</f>
        <v>0</v>
      </c>
      <c r="T12" s="70">
        <f>P12-S12</f>
        <v>0</v>
      </c>
    </row>
    <row r="13" spans="1:20" ht="15" x14ac:dyDescent="0.2">
      <c r="A13" s="15" t="s">
        <v>5</v>
      </c>
      <c r="B13" s="22">
        <v>0</v>
      </c>
      <c r="C13" s="22"/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B13+C13+D13+E13+F13+G13+H13+I13+J13+K13+L13+M13+N13+O13</f>
        <v>0</v>
      </c>
      <c r="Q13" s="21"/>
      <c r="S13" s="70">
        <f t="shared" ref="S13:S54" si="0">SUM(B13:O13)</f>
        <v>0</v>
      </c>
      <c r="T13" s="70">
        <f t="shared" ref="T13:T14" si="1">P13-S13</f>
        <v>0</v>
      </c>
    </row>
    <row r="14" spans="1:20" ht="15" x14ac:dyDescent="0.2">
      <c r="A14" s="23" t="s">
        <v>6</v>
      </c>
      <c r="B14" s="67">
        <f t="shared" ref="B14:F14" si="2">B12+B13</f>
        <v>0</v>
      </c>
      <c r="C14" s="67"/>
      <c r="D14" s="67">
        <f t="shared" si="2"/>
        <v>0</v>
      </c>
      <c r="E14" s="67">
        <f t="shared" si="2"/>
        <v>0</v>
      </c>
      <c r="F14" s="67">
        <f t="shared" si="2"/>
        <v>0</v>
      </c>
      <c r="G14" s="24">
        <f t="shared" ref="G14:O14" si="3">SUM(G12:G13)</f>
        <v>0</v>
      </c>
      <c r="H14" s="24">
        <f t="shared" si="3"/>
        <v>0</v>
      </c>
      <c r="I14" s="24">
        <f t="shared" si="3"/>
        <v>0</v>
      </c>
      <c r="J14" s="24">
        <f t="shared" si="3"/>
        <v>0</v>
      </c>
      <c r="K14" s="24">
        <f t="shared" si="3"/>
        <v>0</v>
      </c>
      <c r="L14" s="24">
        <f t="shared" si="3"/>
        <v>0</v>
      </c>
      <c r="M14" s="24">
        <f t="shared" si="3"/>
        <v>0</v>
      </c>
      <c r="N14" s="24">
        <f t="shared" si="3"/>
        <v>0</v>
      </c>
      <c r="O14" s="24">
        <f t="shared" si="3"/>
        <v>0</v>
      </c>
      <c r="P14" s="24">
        <f>SUM(P12:P13)</f>
        <v>0</v>
      </c>
      <c r="Q14" s="21">
        <v>1</v>
      </c>
      <c r="S14" s="70">
        <f t="shared" si="0"/>
        <v>0</v>
      </c>
      <c r="T14" s="70">
        <f t="shared" si="1"/>
        <v>0</v>
      </c>
    </row>
    <row r="15" spans="1:20" ht="15" x14ac:dyDescent="0.2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8"/>
      <c r="S15" s="70">
        <f t="shared" si="0"/>
        <v>0</v>
      </c>
      <c r="T15" s="70"/>
    </row>
    <row r="16" spans="1:20" ht="15" x14ac:dyDescent="0.2">
      <c r="A16" s="29" t="s">
        <v>7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30"/>
      <c r="Q16" s="31"/>
      <c r="S16" s="70">
        <f t="shared" si="0"/>
        <v>0</v>
      </c>
      <c r="T16" s="70"/>
    </row>
    <row r="17" spans="1:20" ht="15" x14ac:dyDescent="0.2">
      <c r="A17" s="15" t="s">
        <v>8</v>
      </c>
      <c r="B17" s="32">
        <v>-51320.74</v>
      </c>
      <c r="C17" s="32">
        <v>-10258.64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20">
        <f>B17+C17+D17+E17+F17+G17+H17+I17+J17+K17+L17+M17+N17+O17</f>
        <v>-61579.38</v>
      </c>
      <c r="Q17" s="21"/>
      <c r="S17" s="70">
        <f>SUM(B17:O17)</f>
        <v>-61579.38</v>
      </c>
      <c r="T17" s="70">
        <f>S17-P17</f>
        <v>0</v>
      </c>
    </row>
    <row r="18" spans="1:20" ht="15" x14ac:dyDescent="0.2">
      <c r="A18" s="33" t="s">
        <v>9</v>
      </c>
      <c r="B18" s="32">
        <v>0</v>
      </c>
      <c r="C18" s="32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20">
        <f t="shared" ref="P18:P42" si="4">B18+C18+D18+E18+F18+G18+H18+I18+J18+K18+L18+M18+N18+O18</f>
        <v>0</v>
      </c>
      <c r="Q18" s="21"/>
      <c r="S18" s="70">
        <f t="shared" si="0"/>
        <v>0</v>
      </c>
      <c r="T18" s="70">
        <f t="shared" ref="T18:T55" si="5">S18-P18</f>
        <v>0</v>
      </c>
    </row>
    <row r="19" spans="1:20" ht="15" x14ac:dyDescent="0.2">
      <c r="A19" s="15" t="s">
        <v>10</v>
      </c>
      <c r="B19" s="32">
        <v>0</v>
      </c>
      <c r="C19" s="32">
        <v>0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20">
        <f t="shared" si="4"/>
        <v>0</v>
      </c>
      <c r="Q19" s="21"/>
      <c r="S19" s="70">
        <f t="shared" si="0"/>
        <v>0</v>
      </c>
      <c r="T19" s="70">
        <f t="shared" si="5"/>
        <v>0</v>
      </c>
    </row>
    <row r="20" spans="1:20" ht="15" x14ac:dyDescent="0.2">
      <c r="A20" s="33" t="s">
        <v>11</v>
      </c>
      <c r="B20" s="32">
        <v>-483.05</v>
      </c>
      <c r="C20" s="32">
        <v>-119.07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20">
        <f t="shared" si="4"/>
        <v>-602.12</v>
      </c>
      <c r="Q20" s="21"/>
      <c r="S20" s="70">
        <f t="shared" si="0"/>
        <v>-602.12</v>
      </c>
      <c r="T20" s="70">
        <f t="shared" si="5"/>
        <v>0</v>
      </c>
    </row>
    <row r="21" spans="1:20" ht="15" x14ac:dyDescent="0.2">
      <c r="A21" s="15" t="s">
        <v>12</v>
      </c>
      <c r="B21" s="32">
        <v>-41917.71</v>
      </c>
      <c r="C21" s="32">
        <v>-8721.07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20">
        <f t="shared" si="4"/>
        <v>-50638.78</v>
      </c>
      <c r="Q21" s="21"/>
      <c r="S21" s="70">
        <f t="shared" si="0"/>
        <v>-50638.78</v>
      </c>
      <c r="T21" s="70">
        <f t="shared" si="5"/>
        <v>0</v>
      </c>
    </row>
    <row r="22" spans="1:20" ht="15" x14ac:dyDescent="0.2">
      <c r="A22" s="15" t="s">
        <v>13</v>
      </c>
      <c r="B22" s="32">
        <v>-24582.81</v>
      </c>
      <c r="C22" s="32">
        <v>-5549.9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20">
        <f t="shared" si="4"/>
        <v>-30132.71</v>
      </c>
      <c r="Q22" s="21"/>
      <c r="S22" s="70">
        <f t="shared" si="0"/>
        <v>-30132.71</v>
      </c>
      <c r="T22" s="70">
        <f t="shared" si="5"/>
        <v>0</v>
      </c>
    </row>
    <row r="23" spans="1:20" ht="15" x14ac:dyDescent="0.2">
      <c r="A23" s="15" t="s">
        <v>14</v>
      </c>
      <c r="B23" s="32">
        <v>-18841.099999999999</v>
      </c>
      <c r="C23" s="32">
        <v>-5651.46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20">
        <f t="shared" si="4"/>
        <v>-24492.559999999998</v>
      </c>
      <c r="Q23" s="21"/>
      <c r="S23" s="70">
        <f t="shared" si="0"/>
        <v>-24492.559999999998</v>
      </c>
      <c r="T23" s="70">
        <f t="shared" si="5"/>
        <v>0</v>
      </c>
    </row>
    <row r="24" spans="1:20" ht="15" x14ac:dyDescent="0.2">
      <c r="A24" s="15" t="s">
        <v>15</v>
      </c>
      <c r="B24" s="32">
        <v>1674.46</v>
      </c>
      <c r="C24" s="32">
        <v>0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20">
        <f t="shared" si="4"/>
        <v>1674.46</v>
      </c>
      <c r="Q24" s="21"/>
      <c r="S24" s="70">
        <f t="shared" si="0"/>
        <v>1674.46</v>
      </c>
      <c r="T24" s="70">
        <f t="shared" si="5"/>
        <v>0</v>
      </c>
    </row>
    <row r="25" spans="1:20" ht="15" x14ac:dyDescent="0.2">
      <c r="A25" s="15" t="s">
        <v>16</v>
      </c>
      <c r="B25" s="32">
        <v>0</v>
      </c>
      <c r="C25" s="32">
        <v>-520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20">
        <f t="shared" si="4"/>
        <v>-520</v>
      </c>
      <c r="Q25" s="21"/>
      <c r="S25" s="70">
        <f t="shared" si="0"/>
        <v>-520</v>
      </c>
      <c r="T25" s="70">
        <f t="shared" si="5"/>
        <v>0</v>
      </c>
    </row>
    <row r="26" spans="1:20" ht="15" x14ac:dyDescent="0.2">
      <c r="A26" s="15" t="s">
        <v>17</v>
      </c>
      <c r="B26" s="32">
        <v>-28395.43</v>
      </c>
      <c r="C26" s="32">
        <v>-6543.9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20">
        <f t="shared" si="4"/>
        <v>-34939.33</v>
      </c>
      <c r="Q26" s="21"/>
      <c r="S26" s="70">
        <f t="shared" si="0"/>
        <v>-34939.33</v>
      </c>
      <c r="T26" s="70">
        <f t="shared" si="5"/>
        <v>0</v>
      </c>
    </row>
    <row r="27" spans="1:20" ht="15" x14ac:dyDescent="0.2">
      <c r="A27" s="15" t="s">
        <v>18</v>
      </c>
      <c r="B27" s="32">
        <v>0</v>
      </c>
      <c r="C27" s="32">
        <v>0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20">
        <f t="shared" si="4"/>
        <v>0</v>
      </c>
      <c r="Q27" s="21"/>
      <c r="S27" s="70">
        <f t="shared" si="0"/>
        <v>0</v>
      </c>
      <c r="T27" s="70">
        <f t="shared" si="5"/>
        <v>0</v>
      </c>
    </row>
    <row r="28" spans="1:20" ht="15" x14ac:dyDescent="0.2">
      <c r="A28" s="15" t="s">
        <v>19</v>
      </c>
      <c r="B28" s="32">
        <v>0</v>
      </c>
      <c r="C28" s="32">
        <v>-3385.66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20">
        <f t="shared" si="4"/>
        <v>-3385.66</v>
      </c>
      <c r="Q28" s="21"/>
      <c r="S28" s="70">
        <f t="shared" si="0"/>
        <v>-3385.66</v>
      </c>
      <c r="T28" s="70">
        <f t="shared" si="5"/>
        <v>0</v>
      </c>
    </row>
    <row r="29" spans="1:20" ht="15" x14ac:dyDescent="0.2">
      <c r="A29" s="15" t="s">
        <v>20</v>
      </c>
      <c r="B29" s="32">
        <v>0</v>
      </c>
      <c r="C29" s="32">
        <v>0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20">
        <f t="shared" si="4"/>
        <v>0</v>
      </c>
      <c r="Q29" s="21"/>
      <c r="S29" s="70">
        <f t="shared" si="0"/>
        <v>0</v>
      </c>
      <c r="T29" s="70">
        <f t="shared" si="5"/>
        <v>0</v>
      </c>
    </row>
    <row r="30" spans="1:20" ht="15" x14ac:dyDescent="0.2">
      <c r="A30" s="15" t="s">
        <v>59</v>
      </c>
      <c r="B30" s="32">
        <v>0</v>
      </c>
      <c r="C30" s="32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20">
        <f t="shared" si="4"/>
        <v>0</v>
      </c>
      <c r="Q30" s="21"/>
      <c r="S30" s="70">
        <f t="shared" si="0"/>
        <v>0</v>
      </c>
      <c r="T30" s="70">
        <f t="shared" si="5"/>
        <v>0</v>
      </c>
    </row>
    <row r="31" spans="1:20" ht="15" x14ac:dyDescent="0.2">
      <c r="A31" s="15" t="s">
        <v>21</v>
      </c>
      <c r="B31" s="32">
        <v>-2946.66</v>
      </c>
      <c r="C31" s="32">
        <v>-360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20">
        <f t="shared" si="4"/>
        <v>-3306.66</v>
      </c>
      <c r="Q31" s="21"/>
      <c r="S31" s="70">
        <f t="shared" si="0"/>
        <v>-3306.66</v>
      </c>
      <c r="T31" s="70">
        <f t="shared" si="5"/>
        <v>0</v>
      </c>
    </row>
    <row r="32" spans="1:20" ht="15" x14ac:dyDescent="0.2">
      <c r="A32" s="15" t="s">
        <v>22</v>
      </c>
      <c r="B32" s="32">
        <v>0</v>
      </c>
      <c r="C32" s="32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20">
        <f t="shared" si="4"/>
        <v>0</v>
      </c>
      <c r="Q32" s="21"/>
      <c r="S32" s="70">
        <f t="shared" si="0"/>
        <v>0</v>
      </c>
      <c r="T32" s="70">
        <f t="shared" si="5"/>
        <v>0</v>
      </c>
    </row>
    <row r="33" spans="1:20" ht="15" x14ac:dyDescent="0.2">
      <c r="A33" s="33" t="s">
        <v>23</v>
      </c>
      <c r="B33" s="32">
        <v>-495.94</v>
      </c>
      <c r="C33" s="32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20">
        <f t="shared" si="4"/>
        <v>-495.94</v>
      </c>
      <c r="Q33" s="21"/>
      <c r="S33" s="70">
        <f t="shared" si="0"/>
        <v>-495.94</v>
      </c>
      <c r="T33" s="70">
        <f t="shared" si="5"/>
        <v>0</v>
      </c>
    </row>
    <row r="34" spans="1:20" ht="15" x14ac:dyDescent="0.2">
      <c r="A34" s="15" t="s">
        <v>24</v>
      </c>
      <c r="B34" s="32">
        <v>-164761</v>
      </c>
      <c r="C34" s="32">
        <v>-21716.25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20">
        <f t="shared" si="4"/>
        <v>-186477.25</v>
      </c>
      <c r="Q34" s="21"/>
      <c r="S34" s="70">
        <f t="shared" si="0"/>
        <v>-186477.25</v>
      </c>
      <c r="T34" s="70">
        <f t="shared" si="5"/>
        <v>0</v>
      </c>
    </row>
    <row r="35" spans="1:20" ht="15" x14ac:dyDescent="0.2">
      <c r="A35" s="34" t="s">
        <v>25</v>
      </c>
      <c r="B35" s="32">
        <v>-271434.33</v>
      </c>
      <c r="C35" s="32">
        <v>-60552.86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20">
        <f t="shared" si="4"/>
        <v>-331987.19</v>
      </c>
      <c r="Q35" s="21"/>
      <c r="S35" s="70">
        <f t="shared" si="0"/>
        <v>-331987.19</v>
      </c>
      <c r="T35" s="70">
        <f t="shared" si="5"/>
        <v>0</v>
      </c>
    </row>
    <row r="36" spans="1:20" ht="15" x14ac:dyDescent="0.2">
      <c r="A36" s="15" t="s">
        <v>26</v>
      </c>
      <c r="B36" s="32">
        <v>0</v>
      </c>
      <c r="C36" s="32">
        <v>0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20">
        <f t="shared" si="4"/>
        <v>0</v>
      </c>
      <c r="Q36" s="21"/>
      <c r="S36" s="70">
        <f t="shared" si="0"/>
        <v>0</v>
      </c>
      <c r="T36" s="70">
        <f t="shared" si="5"/>
        <v>0</v>
      </c>
    </row>
    <row r="37" spans="1:20" ht="15" x14ac:dyDescent="0.2">
      <c r="A37" s="15" t="s">
        <v>27</v>
      </c>
      <c r="B37" s="32">
        <v>0</v>
      </c>
      <c r="C37" s="32">
        <v>0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20">
        <f t="shared" si="4"/>
        <v>0</v>
      </c>
      <c r="Q37" s="21"/>
      <c r="S37" s="70">
        <f t="shared" si="0"/>
        <v>0</v>
      </c>
      <c r="T37" s="70">
        <f t="shared" si="5"/>
        <v>0</v>
      </c>
    </row>
    <row r="38" spans="1:20" ht="15" x14ac:dyDescent="0.2">
      <c r="A38" s="33" t="s">
        <v>28</v>
      </c>
      <c r="B38" s="32">
        <v>-3949.5</v>
      </c>
      <c r="C38" s="32">
        <v>-466.65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20">
        <f t="shared" si="4"/>
        <v>-4416.1499999999996</v>
      </c>
      <c r="Q38" s="21"/>
      <c r="S38" s="70">
        <f t="shared" si="0"/>
        <v>-4416.1499999999996</v>
      </c>
      <c r="T38" s="70">
        <f t="shared" si="5"/>
        <v>0</v>
      </c>
    </row>
    <row r="39" spans="1:20" ht="15" x14ac:dyDescent="0.2">
      <c r="A39" s="15" t="s">
        <v>29</v>
      </c>
      <c r="B39" s="32">
        <v>-20302.41</v>
      </c>
      <c r="C39" s="32">
        <v>-5768.28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20">
        <f t="shared" si="4"/>
        <v>-26070.69</v>
      </c>
      <c r="Q39" s="21"/>
      <c r="S39" s="70">
        <f t="shared" si="0"/>
        <v>-26070.69</v>
      </c>
      <c r="T39" s="70">
        <f t="shared" si="5"/>
        <v>0</v>
      </c>
    </row>
    <row r="40" spans="1:20" ht="15" x14ac:dyDescent="0.2">
      <c r="A40" s="15" t="s">
        <v>30</v>
      </c>
      <c r="B40" s="32">
        <v>-30151.18</v>
      </c>
      <c r="C40" s="32">
        <v>-6072.64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20">
        <f t="shared" si="4"/>
        <v>-36223.82</v>
      </c>
      <c r="Q40" s="21"/>
      <c r="S40" s="70">
        <f t="shared" si="0"/>
        <v>-36223.82</v>
      </c>
      <c r="T40" s="70">
        <f t="shared" si="5"/>
        <v>0</v>
      </c>
    </row>
    <row r="41" spans="1:20" ht="15" x14ac:dyDescent="0.2">
      <c r="A41" s="15" t="s">
        <v>97</v>
      </c>
      <c r="B41" s="32">
        <v>0</v>
      </c>
      <c r="C41" s="32">
        <v>0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20">
        <f t="shared" si="4"/>
        <v>0</v>
      </c>
      <c r="Q41" s="21"/>
      <c r="S41" s="70">
        <f t="shared" si="0"/>
        <v>0</v>
      </c>
      <c r="T41" s="70">
        <f t="shared" si="5"/>
        <v>0</v>
      </c>
    </row>
    <row r="42" spans="1:20" ht="15" x14ac:dyDescent="0.2">
      <c r="A42" s="15" t="s">
        <v>114</v>
      </c>
      <c r="B42" s="32">
        <v>0</v>
      </c>
      <c r="C42" s="32">
        <v>0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20">
        <f t="shared" si="4"/>
        <v>0</v>
      </c>
      <c r="Q42" s="21"/>
      <c r="S42" s="70">
        <f t="shared" si="0"/>
        <v>0</v>
      </c>
      <c r="T42" s="70">
        <f t="shared" si="5"/>
        <v>0</v>
      </c>
    </row>
    <row r="43" spans="1:20" ht="15" x14ac:dyDescent="0.2">
      <c r="A43" s="35" t="s">
        <v>31</v>
      </c>
      <c r="B43" s="36">
        <f>SUM(B17:B42)</f>
        <v>-657907.40000000014</v>
      </c>
      <c r="C43" s="36">
        <f>SUM(C17:C42)</f>
        <v>-135686.38</v>
      </c>
      <c r="D43" s="36">
        <f>SUM(D17:D42)</f>
        <v>0</v>
      </c>
      <c r="E43" s="36">
        <f t="shared" ref="E43:O43" si="6">SUM(E17:E42)</f>
        <v>0</v>
      </c>
      <c r="F43" s="36">
        <f t="shared" si="6"/>
        <v>0</v>
      </c>
      <c r="G43" s="36">
        <f t="shared" si="6"/>
        <v>0</v>
      </c>
      <c r="H43" s="36">
        <f t="shared" si="6"/>
        <v>0</v>
      </c>
      <c r="I43" s="36">
        <f t="shared" si="6"/>
        <v>0</v>
      </c>
      <c r="J43" s="36">
        <f t="shared" si="6"/>
        <v>0</v>
      </c>
      <c r="K43" s="36">
        <f t="shared" si="6"/>
        <v>0</v>
      </c>
      <c r="L43" s="36">
        <f t="shared" si="6"/>
        <v>0</v>
      </c>
      <c r="M43" s="36">
        <f t="shared" si="6"/>
        <v>0</v>
      </c>
      <c r="N43" s="36">
        <f t="shared" si="6"/>
        <v>0</v>
      </c>
      <c r="O43" s="36">
        <f t="shared" si="6"/>
        <v>0</v>
      </c>
      <c r="P43" s="36">
        <f>SUM(P17:P42)</f>
        <v>-793593.77999999991</v>
      </c>
      <c r="Q43" s="21"/>
      <c r="S43" s="70">
        <f t="shared" si="0"/>
        <v>-793593.78000000014</v>
      </c>
      <c r="T43" s="70">
        <f t="shared" si="5"/>
        <v>0</v>
      </c>
    </row>
    <row r="44" spans="1:20" ht="15" x14ac:dyDescent="0.2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18"/>
      <c r="S44" s="70">
        <f t="shared" si="0"/>
        <v>0</v>
      </c>
      <c r="T44" s="70">
        <f t="shared" si="5"/>
        <v>0</v>
      </c>
    </row>
    <row r="45" spans="1:20" ht="15" x14ac:dyDescent="0.2">
      <c r="A45" s="39" t="s">
        <v>32</v>
      </c>
      <c r="B45" s="58">
        <f t="shared" ref="B45:O45" si="7">B14+B43</f>
        <v>-657907.40000000014</v>
      </c>
      <c r="C45" s="58">
        <f t="shared" ref="C45" si="8">C14+C43</f>
        <v>-135686.38</v>
      </c>
      <c r="D45" s="58">
        <f t="shared" si="7"/>
        <v>0</v>
      </c>
      <c r="E45" s="58">
        <f t="shared" si="7"/>
        <v>0</v>
      </c>
      <c r="F45" s="58">
        <f t="shared" si="7"/>
        <v>0</v>
      </c>
      <c r="G45" s="58">
        <f t="shared" si="7"/>
        <v>0</v>
      </c>
      <c r="H45" s="58">
        <f t="shared" si="7"/>
        <v>0</v>
      </c>
      <c r="I45" s="58">
        <f t="shared" si="7"/>
        <v>0</v>
      </c>
      <c r="J45" s="58">
        <f t="shared" si="7"/>
        <v>0</v>
      </c>
      <c r="K45" s="58">
        <f t="shared" si="7"/>
        <v>0</v>
      </c>
      <c r="L45" s="58">
        <f t="shared" si="7"/>
        <v>0</v>
      </c>
      <c r="M45" s="58">
        <f t="shared" si="7"/>
        <v>0</v>
      </c>
      <c r="N45" s="58">
        <f t="shared" si="7"/>
        <v>0</v>
      </c>
      <c r="O45" s="58">
        <f t="shared" si="7"/>
        <v>0</v>
      </c>
      <c r="P45" s="154">
        <f t="shared" ref="P45" si="9">B45+C45+D45+E45+F45+G45+H45+I45+J45+K45+L45+M45+N45+O45</f>
        <v>-793593.78000000014</v>
      </c>
      <c r="Q45" s="21"/>
      <c r="S45" s="70">
        <f t="shared" si="0"/>
        <v>-793593.78000000014</v>
      </c>
      <c r="T45" s="70">
        <f t="shared" si="5"/>
        <v>0</v>
      </c>
    </row>
    <row r="46" spans="1:20" ht="15" x14ac:dyDescent="0.2">
      <c r="A46" s="41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4"/>
      <c r="S46" s="70">
        <f t="shared" si="0"/>
        <v>0</v>
      </c>
      <c r="T46" s="70">
        <f t="shared" si="5"/>
        <v>0</v>
      </c>
    </row>
    <row r="47" spans="1:20" ht="15" x14ac:dyDescent="0.2">
      <c r="A47" s="29" t="s">
        <v>56</v>
      </c>
      <c r="B47" s="45">
        <f t="shared" ref="B47:L47" si="10">-B12*13.15%</f>
        <v>0</v>
      </c>
      <c r="C47" s="45">
        <f t="shared" ref="C47" si="11">-C12*13.15%</f>
        <v>0</v>
      </c>
      <c r="D47" s="45">
        <f t="shared" si="10"/>
        <v>0</v>
      </c>
      <c r="E47" s="45">
        <f t="shared" si="10"/>
        <v>0</v>
      </c>
      <c r="F47" s="45">
        <f t="shared" si="10"/>
        <v>0</v>
      </c>
      <c r="G47" s="45">
        <f t="shared" si="10"/>
        <v>0</v>
      </c>
      <c r="H47" s="45">
        <f t="shared" si="10"/>
        <v>0</v>
      </c>
      <c r="I47" s="45">
        <f t="shared" si="10"/>
        <v>0</v>
      </c>
      <c r="J47" s="45">
        <f t="shared" si="10"/>
        <v>0</v>
      </c>
      <c r="K47" s="45">
        <f t="shared" si="10"/>
        <v>0</v>
      </c>
      <c r="L47" s="45">
        <f t="shared" si="10"/>
        <v>0</v>
      </c>
      <c r="M47" s="45">
        <f>-M12*13.15%</f>
        <v>0</v>
      </c>
      <c r="N47" s="45">
        <f t="shared" ref="N47:O47" si="12">-N12*13.15%</f>
        <v>0</v>
      </c>
      <c r="O47" s="45">
        <f t="shared" si="12"/>
        <v>0</v>
      </c>
      <c r="P47" s="20">
        <f t="shared" ref="P47" si="13">B47+C47+D47+E47+F47+G47+H47+I47+J47+K47+L47+M47+N47+O47</f>
        <v>0</v>
      </c>
      <c r="Q47" s="21"/>
      <c r="S47" s="70">
        <f t="shared" si="0"/>
        <v>0</v>
      </c>
      <c r="T47" s="70">
        <f t="shared" si="5"/>
        <v>0</v>
      </c>
    </row>
    <row r="48" spans="1:20" ht="15" x14ac:dyDescent="0.2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4"/>
      <c r="S48" s="70">
        <f t="shared" si="0"/>
        <v>0</v>
      </c>
      <c r="T48" s="70">
        <f t="shared" si="5"/>
        <v>0</v>
      </c>
    </row>
    <row r="49" spans="1:20" ht="15" x14ac:dyDescent="0.2">
      <c r="A49" s="29" t="s">
        <v>33</v>
      </c>
      <c r="B49" s="45">
        <f t="shared" ref="B49:O49" si="14">-B12*1.22%</f>
        <v>0</v>
      </c>
      <c r="C49" s="45">
        <f t="shared" ref="C49" si="15">-C12*1.22%</f>
        <v>0</v>
      </c>
      <c r="D49" s="45">
        <f t="shared" si="14"/>
        <v>0</v>
      </c>
      <c r="E49" s="45">
        <f t="shared" si="14"/>
        <v>0</v>
      </c>
      <c r="F49" s="45">
        <f t="shared" si="14"/>
        <v>0</v>
      </c>
      <c r="G49" s="45">
        <f t="shared" si="14"/>
        <v>0</v>
      </c>
      <c r="H49" s="45">
        <f t="shared" si="14"/>
        <v>0</v>
      </c>
      <c r="I49" s="45">
        <f t="shared" si="14"/>
        <v>0</v>
      </c>
      <c r="J49" s="45">
        <f t="shared" si="14"/>
        <v>0</v>
      </c>
      <c r="K49" s="45">
        <f t="shared" si="14"/>
        <v>0</v>
      </c>
      <c r="L49" s="45">
        <f t="shared" si="14"/>
        <v>0</v>
      </c>
      <c r="M49" s="45">
        <f t="shared" si="14"/>
        <v>0</v>
      </c>
      <c r="N49" s="45">
        <f t="shared" si="14"/>
        <v>0</v>
      </c>
      <c r="O49" s="45">
        <f t="shared" si="14"/>
        <v>0</v>
      </c>
      <c r="P49" s="20">
        <f t="shared" ref="P49" si="16">B49+C49+D49+E49+F49+G49+H49+I49+J49+K49+L49+M49+N49+O49</f>
        <v>0</v>
      </c>
      <c r="Q49" s="21"/>
      <c r="S49" s="70">
        <f t="shared" si="0"/>
        <v>0</v>
      </c>
      <c r="T49" s="70">
        <f t="shared" si="5"/>
        <v>0</v>
      </c>
    </row>
    <row r="50" spans="1:20" ht="14.25" x14ac:dyDescent="0.2">
      <c r="A50" s="43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4"/>
      <c r="S50" s="70">
        <f t="shared" si="0"/>
        <v>0</v>
      </c>
      <c r="T50" s="70">
        <f t="shared" si="5"/>
        <v>0</v>
      </c>
    </row>
    <row r="51" spans="1:20" ht="15" x14ac:dyDescent="0.2">
      <c r="A51" s="48" t="s">
        <v>57</v>
      </c>
      <c r="B51" s="49">
        <f t="shared" ref="B51:N51" si="17">B43*5.56%</f>
        <v>-36579.651440000009</v>
      </c>
      <c r="C51" s="49">
        <f t="shared" ref="C51" si="18">C43*5.56%</f>
        <v>-7544.1627280000002</v>
      </c>
      <c r="D51" s="49">
        <f t="shared" si="17"/>
        <v>0</v>
      </c>
      <c r="E51" s="49">
        <f t="shared" si="17"/>
        <v>0</v>
      </c>
      <c r="F51" s="49">
        <f t="shared" si="17"/>
        <v>0</v>
      </c>
      <c r="G51" s="49">
        <f t="shared" si="17"/>
        <v>0</v>
      </c>
      <c r="H51" s="49">
        <f>H43*5.56%</f>
        <v>0</v>
      </c>
      <c r="I51" s="49">
        <f t="shared" si="17"/>
        <v>0</v>
      </c>
      <c r="J51" s="49">
        <f t="shared" si="17"/>
        <v>0</v>
      </c>
      <c r="K51" s="49">
        <f t="shared" si="17"/>
        <v>0</v>
      </c>
      <c r="L51" s="49">
        <f t="shared" si="17"/>
        <v>0</v>
      </c>
      <c r="M51" s="49">
        <f t="shared" si="17"/>
        <v>0</v>
      </c>
      <c r="N51" s="49">
        <f t="shared" si="17"/>
        <v>0</v>
      </c>
      <c r="O51" s="49">
        <f>O43*5.56%</f>
        <v>0</v>
      </c>
      <c r="P51" s="20">
        <f t="shared" ref="P51" si="19">B51+C51+D51+E51+F51+G51+H51+I51+J51+K51+L51+M51+N51+O51</f>
        <v>-44123.814168000012</v>
      </c>
      <c r="Q51" s="21"/>
      <c r="S51" s="70">
        <f t="shared" si="0"/>
        <v>-44123.814168000012</v>
      </c>
      <c r="T51" s="70">
        <f t="shared" si="5"/>
        <v>0</v>
      </c>
    </row>
    <row r="52" spans="1:20" ht="14.25" x14ac:dyDescent="0.2">
      <c r="A52" s="43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4"/>
      <c r="S52" s="70">
        <f t="shared" si="0"/>
        <v>0</v>
      </c>
      <c r="T52" s="70">
        <f t="shared" si="5"/>
        <v>0</v>
      </c>
    </row>
    <row r="53" spans="1:20" ht="15" x14ac:dyDescent="0.2">
      <c r="A53" s="48" t="s">
        <v>58</v>
      </c>
      <c r="B53" s="49">
        <f>B43*0.01%</f>
        <v>-65.790740000000014</v>
      </c>
      <c r="C53" s="49">
        <f t="shared" ref="C53" si="20">C43*0.01%</f>
        <v>-13.568638000000002</v>
      </c>
      <c r="D53" s="49">
        <f t="shared" ref="D53:L53" si="21">D43*0.01%</f>
        <v>0</v>
      </c>
      <c r="E53" s="49">
        <f t="shared" si="21"/>
        <v>0</v>
      </c>
      <c r="F53" s="49">
        <f t="shared" si="21"/>
        <v>0</v>
      </c>
      <c r="G53" s="49">
        <f t="shared" si="21"/>
        <v>0</v>
      </c>
      <c r="H53" s="49">
        <f t="shared" si="21"/>
        <v>0</v>
      </c>
      <c r="I53" s="49">
        <f t="shared" si="21"/>
        <v>0</v>
      </c>
      <c r="J53" s="49">
        <f t="shared" si="21"/>
        <v>0</v>
      </c>
      <c r="K53" s="49">
        <f t="shared" si="21"/>
        <v>0</v>
      </c>
      <c r="L53" s="49">
        <f t="shared" si="21"/>
        <v>0</v>
      </c>
      <c r="M53" s="49">
        <f>M43*0.01%</f>
        <v>0</v>
      </c>
      <c r="N53" s="49">
        <f t="shared" ref="N53" si="22">N43*0.01%</f>
        <v>0</v>
      </c>
      <c r="O53" s="49">
        <f>O43*0.01%</f>
        <v>0</v>
      </c>
      <c r="P53" s="20">
        <f t="shared" ref="P53" si="23">B53+C53+D53+E53+F53+G53+H53+I53+J53+K53+L53+M53+N53+O53</f>
        <v>-79.359378000000021</v>
      </c>
      <c r="Q53" s="21"/>
      <c r="S53" s="70">
        <f t="shared" si="0"/>
        <v>-79.359378000000021</v>
      </c>
      <c r="T53" s="70">
        <f t="shared" si="5"/>
        <v>0</v>
      </c>
    </row>
    <row r="54" spans="1:20" ht="14.25" x14ac:dyDescent="0.2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4"/>
      <c r="S54" s="70">
        <f t="shared" si="0"/>
        <v>0</v>
      </c>
      <c r="T54" s="70">
        <f t="shared" si="5"/>
        <v>0</v>
      </c>
    </row>
    <row r="55" spans="1:20" ht="15" x14ac:dyDescent="0.2">
      <c r="A55" s="39" t="s">
        <v>87</v>
      </c>
      <c r="B55" s="58">
        <f>B45+B51+B53+B47+B49</f>
        <v>-694552.84218000015</v>
      </c>
      <c r="C55" s="58">
        <f>C45+C51+C53+C47+C49</f>
        <v>-143244.111366</v>
      </c>
      <c r="D55" s="58">
        <f>D45+D51+D53+D47+D49</f>
        <v>0</v>
      </c>
      <c r="E55" s="58">
        <f>E45+E51+E53+E47+E49</f>
        <v>0</v>
      </c>
      <c r="F55" s="58">
        <f>F45+F51+F53+F47+F49</f>
        <v>0</v>
      </c>
      <c r="G55" s="58">
        <f t="shared" ref="G55:N55" si="24">G45+G51+G53+G47+G49</f>
        <v>0</v>
      </c>
      <c r="H55" s="58">
        <f t="shared" si="24"/>
        <v>0</v>
      </c>
      <c r="I55" s="58">
        <f t="shared" si="24"/>
        <v>0</v>
      </c>
      <c r="J55" s="58">
        <f t="shared" si="24"/>
        <v>0</v>
      </c>
      <c r="K55" s="58">
        <f t="shared" si="24"/>
        <v>0</v>
      </c>
      <c r="L55" s="58">
        <f t="shared" si="24"/>
        <v>0</v>
      </c>
      <c r="M55" s="58">
        <f t="shared" si="24"/>
        <v>0</v>
      </c>
      <c r="N55" s="58">
        <f t="shared" si="24"/>
        <v>0</v>
      </c>
      <c r="O55" s="58">
        <f>O45+O51+O53+O47+O49</f>
        <v>0</v>
      </c>
      <c r="P55" s="154">
        <f>B55+C55+D55+E55+F55+G55+H55+I55+J55+K55+L55+M55+N55+O55</f>
        <v>-837796.95354600018</v>
      </c>
      <c r="Q55" s="21"/>
      <c r="S55" s="70">
        <f>SUM(B55:O55)</f>
        <v>-837796.95354600018</v>
      </c>
      <c r="T55" s="70">
        <f t="shared" si="5"/>
        <v>0</v>
      </c>
    </row>
    <row r="56" spans="1:20" x14ac:dyDescent="0.2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</row>
    <row r="57" spans="1:20" ht="15" x14ac:dyDescent="0.2">
      <c r="A57" s="52" t="s">
        <v>35</v>
      </c>
      <c r="B57" s="77"/>
      <c r="C57" s="77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82"/>
      <c r="Q57" s="50"/>
    </row>
    <row r="58" spans="1:20" ht="15" x14ac:dyDescent="0.2">
      <c r="A58" s="81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</row>
    <row r="59" spans="1:20" ht="15" x14ac:dyDescent="0.25">
      <c r="A59" s="54" t="s">
        <v>36</v>
      </c>
      <c r="B59" s="83"/>
      <c r="C59" s="83"/>
      <c r="Q59" s="89">
        <v>45777</v>
      </c>
    </row>
    <row r="61" spans="1:20" x14ac:dyDescent="0.2">
      <c r="B61" s="70">
        <f>B14+B43+B47+B49+B51+B53</f>
        <v>-694552.84218000015</v>
      </c>
      <c r="C61" s="70">
        <f t="shared" ref="C61" si="25">C14+C43+C47+C49+C51+C53</f>
        <v>-143244.111366</v>
      </c>
      <c r="D61" s="70">
        <f t="shared" ref="D61:P61" si="26">D14+D43+D47+D49+D51+D53</f>
        <v>0</v>
      </c>
      <c r="E61" s="70">
        <f t="shared" si="26"/>
        <v>0</v>
      </c>
      <c r="F61" s="70">
        <f t="shared" si="26"/>
        <v>0</v>
      </c>
      <c r="G61" s="70">
        <f t="shared" si="26"/>
        <v>0</v>
      </c>
      <c r="H61" s="70">
        <f t="shared" si="26"/>
        <v>0</v>
      </c>
      <c r="I61" s="70">
        <f t="shared" si="26"/>
        <v>0</v>
      </c>
      <c r="J61" s="70">
        <f t="shared" si="26"/>
        <v>0</v>
      </c>
      <c r="K61" s="70">
        <f t="shared" si="26"/>
        <v>0</v>
      </c>
      <c r="L61" s="70">
        <f t="shared" si="26"/>
        <v>0</v>
      </c>
      <c r="M61" s="70">
        <f t="shared" si="26"/>
        <v>0</v>
      </c>
      <c r="N61" s="70">
        <f t="shared" si="26"/>
        <v>0</v>
      </c>
      <c r="O61" s="70">
        <f t="shared" si="26"/>
        <v>0</v>
      </c>
      <c r="P61" s="70">
        <f t="shared" si="26"/>
        <v>-837796.95354599995</v>
      </c>
    </row>
    <row r="63" spans="1:20" x14ac:dyDescent="0.2">
      <c r="B63" s="70">
        <f>B61-B55</f>
        <v>0</v>
      </c>
      <c r="C63" s="70">
        <f t="shared" ref="C63" si="27">C61-C55</f>
        <v>0</v>
      </c>
      <c r="D63" s="70">
        <f t="shared" ref="D63:P63" si="28">D61-D55</f>
        <v>0</v>
      </c>
      <c r="E63" s="70">
        <f t="shared" si="28"/>
        <v>0</v>
      </c>
      <c r="F63" s="70">
        <f t="shared" si="28"/>
        <v>0</v>
      </c>
      <c r="G63" s="70">
        <f t="shared" si="28"/>
        <v>0</v>
      </c>
      <c r="H63" s="70">
        <f t="shared" si="28"/>
        <v>0</v>
      </c>
      <c r="I63" s="70">
        <f t="shared" si="28"/>
        <v>0</v>
      </c>
      <c r="J63" s="70">
        <f t="shared" si="28"/>
        <v>0</v>
      </c>
      <c r="K63" s="70">
        <f t="shared" si="28"/>
        <v>0</v>
      </c>
      <c r="L63" s="70">
        <f t="shared" si="28"/>
        <v>0</v>
      </c>
      <c r="M63" s="70">
        <f t="shared" si="28"/>
        <v>0</v>
      </c>
      <c r="N63" s="70">
        <f t="shared" si="28"/>
        <v>0</v>
      </c>
      <c r="O63" s="70">
        <f t="shared" si="28"/>
        <v>0</v>
      </c>
      <c r="P63" s="70">
        <f t="shared" si="28"/>
        <v>0</v>
      </c>
    </row>
  </sheetData>
  <mergeCells count="5">
    <mergeCell ref="A1:P1"/>
    <mergeCell ref="A3:P3"/>
    <mergeCell ref="A5:P5"/>
    <mergeCell ref="A7:P7"/>
    <mergeCell ref="E8:P9"/>
  </mergeCells>
  <phoneticPr fontId="12" type="noConversion"/>
  <conditionalFormatting sqref="G55">
    <cfRule type="cellIs" dxfId="139" priority="5" operator="lessThan">
      <formula>0</formula>
    </cfRule>
    <cfRule type="cellIs" dxfId="138" priority="6" operator="greaterThan">
      <formula>0</formula>
    </cfRule>
  </conditionalFormatting>
  <conditionalFormatting sqref="I55:J55">
    <cfRule type="cellIs" dxfId="137" priority="3" operator="lessThan">
      <formula>0</formula>
    </cfRule>
    <cfRule type="cellIs" dxfId="136" priority="4" operator="greaterThan">
      <formula>0</formula>
    </cfRule>
  </conditionalFormatting>
  <conditionalFormatting sqref="L55">
    <cfRule type="cellIs" dxfId="135" priority="1" operator="lessThan">
      <formula>0</formula>
    </cfRule>
    <cfRule type="cellIs" dxfId="134" priority="2" operator="greaterThan">
      <formula>0</formula>
    </cfRule>
  </conditionalFormatting>
  <printOptions horizontalCentered="1" verticalCentered="1"/>
  <pageMargins left="0.19685039370078741" right="0" top="0.19685039370078741" bottom="0" header="0" footer="0"/>
  <pageSetup paperSize="9" scale="69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T60"/>
  <sheetViews>
    <sheetView zoomScaleNormal="100" workbookViewId="0">
      <selection activeCell="E9" sqref="E9"/>
    </sheetView>
  </sheetViews>
  <sheetFormatPr defaultColWidth="9.140625" defaultRowHeight="12.75" x14ac:dyDescent="0.2"/>
  <cols>
    <col min="1" max="1" width="57.7109375" style="10" bestFit="1" customWidth="1"/>
    <col min="2" max="2" width="18" style="10" bestFit="1" customWidth="1"/>
    <col min="3" max="3" width="18" style="10" customWidth="1"/>
    <col min="4" max="4" width="16.140625" style="10" bestFit="1" customWidth="1"/>
    <col min="5" max="5" width="16.28515625" style="10" customWidth="1"/>
    <col min="6" max="6" width="16.140625" style="10" hidden="1" customWidth="1"/>
    <col min="7" max="8" width="16.28515625" style="10" hidden="1" customWidth="1"/>
    <col min="9" max="9" width="19.5703125" style="10" hidden="1" customWidth="1"/>
    <col min="10" max="10" width="18.5703125" style="10" hidden="1" customWidth="1"/>
    <col min="11" max="11" width="16" style="10" hidden="1" customWidth="1"/>
    <col min="12" max="12" width="16.140625" style="10" hidden="1" customWidth="1"/>
    <col min="13" max="13" width="14.7109375" style="10" hidden="1" customWidth="1"/>
    <col min="14" max="14" width="16.85546875" style="10" hidden="1" customWidth="1"/>
    <col min="15" max="15" width="16.7109375" style="10" hidden="1" customWidth="1"/>
    <col min="16" max="16" width="18" style="10" bestFit="1" customWidth="1"/>
    <col min="17" max="17" width="11.5703125" style="10" bestFit="1" customWidth="1"/>
    <col min="18" max="18" width="9.140625" style="10"/>
    <col min="19" max="19" width="16.42578125" style="10" bestFit="1" customWidth="1"/>
    <col min="20" max="20" width="14.140625" style="10" bestFit="1" customWidth="1"/>
    <col min="21" max="16384" width="9.140625" style="10"/>
  </cols>
  <sheetData>
    <row r="1" spans="1:20" ht="15.6" customHeight="1" x14ac:dyDescent="0.25">
      <c r="A1" s="209" t="s">
        <v>189</v>
      </c>
      <c r="B1" s="209"/>
      <c r="C1" s="209"/>
      <c r="D1" s="209"/>
      <c r="E1" s="88"/>
      <c r="F1" s="88"/>
      <c r="G1" s="88"/>
    </row>
    <row r="2" spans="1:20" ht="7.5" customHeight="1" x14ac:dyDescent="0.25">
      <c r="A2" s="71"/>
      <c r="B2" s="71"/>
      <c r="C2" s="71"/>
    </row>
    <row r="3" spans="1:20" ht="15.6" customHeight="1" x14ac:dyDescent="0.25">
      <c r="A3" s="209" t="s">
        <v>188</v>
      </c>
      <c r="B3" s="209"/>
      <c r="C3" s="209"/>
      <c r="D3" s="209"/>
      <c r="E3" s="88"/>
      <c r="F3" s="88"/>
      <c r="G3" s="88"/>
    </row>
    <row r="4" spans="1:20" ht="9.75" customHeight="1" x14ac:dyDescent="0.25">
      <c r="A4" s="71"/>
      <c r="B4" s="71"/>
      <c r="C4" s="71"/>
    </row>
    <row r="5" spans="1:20" ht="15.6" customHeight="1" x14ac:dyDescent="0.25">
      <c r="A5" s="209" t="s">
        <v>250</v>
      </c>
      <c r="B5" s="209"/>
      <c r="C5" s="209"/>
      <c r="D5" s="209"/>
      <c r="E5" s="88"/>
      <c r="F5" s="88"/>
      <c r="G5" s="88"/>
    </row>
    <row r="6" spans="1:20" ht="9.6" customHeight="1" x14ac:dyDescent="0.2"/>
    <row r="7" spans="1:20" ht="10.15" customHeight="1" x14ac:dyDescent="0.2"/>
    <row r="8" spans="1:20" ht="15" x14ac:dyDescent="0.2">
      <c r="A8" s="12"/>
      <c r="B8" s="60" t="s">
        <v>133</v>
      </c>
      <c r="C8" s="60" t="s">
        <v>221</v>
      </c>
      <c r="D8" s="60" t="s">
        <v>209</v>
      </c>
      <c r="E8" s="60" t="s">
        <v>210</v>
      </c>
      <c r="F8" s="60" t="s">
        <v>119</v>
      </c>
      <c r="G8" s="60" t="s">
        <v>120</v>
      </c>
      <c r="H8" s="60" t="s">
        <v>121</v>
      </c>
      <c r="I8" s="60" t="s">
        <v>123</v>
      </c>
      <c r="J8" s="60" t="s">
        <v>124</v>
      </c>
      <c r="K8" s="60" t="s">
        <v>125</v>
      </c>
      <c r="L8" s="60" t="s">
        <v>126</v>
      </c>
      <c r="M8" s="60" t="s">
        <v>127</v>
      </c>
      <c r="N8" s="60" t="s">
        <v>128</v>
      </c>
      <c r="O8" s="60" t="s">
        <v>129</v>
      </c>
      <c r="P8" s="13" t="s">
        <v>1</v>
      </c>
      <c r="Q8" s="14" t="s">
        <v>2</v>
      </c>
    </row>
    <row r="9" spans="1:20" ht="15" x14ac:dyDescent="0.2">
      <c r="A9" s="15" t="s">
        <v>3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7"/>
      <c r="Q9" s="18"/>
    </row>
    <row r="10" spans="1:20" ht="15" x14ac:dyDescent="0.2">
      <c r="A10" s="78" t="s">
        <v>4</v>
      </c>
      <c r="B10" s="19">
        <v>1765630.02</v>
      </c>
      <c r="C10" s="19">
        <v>777420.65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B10+C10+D10+E10+F10+G10+H10+I10+J10+K10+L10+M10+N10+O10</f>
        <v>2543050.67</v>
      </c>
      <c r="Q10" s="21">
        <v>1</v>
      </c>
      <c r="S10" s="70">
        <f>SUM(B10:O10)</f>
        <v>2543050.67</v>
      </c>
      <c r="T10" s="70">
        <f>P10-S10</f>
        <v>0</v>
      </c>
    </row>
    <row r="11" spans="1:20" ht="15" x14ac:dyDescent="0.2">
      <c r="A11" s="15" t="s">
        <v>5</v>
      </c>
      <c r="B11" s="22">
        <v>0</v>
      </c>
      <c r="C11" s="22"/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B11+C11+D11+E11+F11+G11+H11+I11+J11+K11+L11+M11+N11+O11</f>
        <v>0</v>
      </c>
      <c r="Q11" s="21"/>
      <c r="S11" s="70">
        <f t="shared" ref="S11:S52" si="0">SUM(B11:O11)</f>
        <v>0</v>
      </c>
      <c r="T11" s="70">
        <f t="shared" ref="T11:T53" si="1">P11-S11</f>
        <v>0</v>
      </c>
    </row>
    <row r="12" spans="1:20" ht="15" x14ac:dyDescent="0.2">
      <c r="A12" s="23" t="s">
        <v>6</v>
      </c>
      <c r="B12" s="24">
        <f t="shared" ref="B12:F12" si="2">SUM(B10:B11)</f>
        <v>1765630.02</v>
      </c>
      <c r="C12" s="24">
        <f t="shared" si="2"/>
        <v>777420.65</v>
      </c>
      <c r="D12" s="24">
        <f t="shared" si="2"/>
        <v>0</v>
      </c>
      <c r="E12" s="24">
        <f t="shared" si="2"/>
        <v>0</v>
      </c>
      <c r="F12" s="24">
        <f t="shared" si="2"/>
        <v>0</v>
      </c>
      <c r="G12" s="24">
        <f t="shared" ref="G12:O12" si="3">SUM(G10:G11)</f>
        <v>0</v>
      </c>
      <c r="H12" s="24">
        <f t="shared" si="3"/>
        <v>0</v>
      </c>
      <c r="I12" s="24">
        <f t="shared" si="3"/>
        <v>0</v>
      </c>
      <c r="J12" s="24">
        <f t="shared" si="3"/>
        <v>0</v>
      </c>
      <c r="K12" s="24">
        <f t="shared" si="3"/>
        <v>0</v>
      </c>
      <c r="L12" s="24">
        <f t="shared" si="3"/>
        <v>0</v>
      </c>
      <c r="M12" s="24">
        <f t="shared" si="3"/>
        <v>0</v>
      </c>
      <c r="N12" s="24">
        <f t="shared" si="3"/>
        <v>0</v>
      </c>
      <c r="O12" s="24">
        <f t="shared" si="3"/>
        <v>0</v>
      </c>
      <c r="P12" s="24">
        <f>SUM(P10:P11)</f>
        <v>2543050.67</v>
      </c>
      <c r="Q12" s="21">
        <v>1</v>
      </c>
      <c r="S12" s="70">
        <f>SUM(B12:O12)</f>
        <v>2543050.67</v>
      </c>
      <c r="T12" s="70">
        <f t="shared" si="1"/>
        <v>0</v>
      </c>
    </row>
    <row r="13" spans="1:20" ht="15" x14ac:dyDescent="0.2">
      <c r="A13" s="25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8"/>
      <c r="S13" s="70">
        <f t="shared" si="0"/>
        <v>0</v>
      </c>
      <c r="T13" s="70"/>
    </row>
    <row r="14" spans="1:20" ht="15" x14ac:dyDescent="0.2">
      <c r="A14" s="29" t="s">
        <v>7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0"/>
      <c r="Q14" s="31"/>
      <c r="S14" s="70">
        <f t="shared" si="0"/>
        <v>0</v>
      </c>
      <c r="T14" s="70"/>
    </row>
    <row r="15" spans="1:20" ht="15" x14ac:dyDescent="0.2">
      <c r="A15" s="15" t="s">
        <v>8</v>
      </c>
      <c r="B15" s="32">
        <v>-118811.95</v>
      </c>
      <c r="C15" s="32">
        <v>-75125.679999999993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20">
        <f>B15+C15+D15+E15+F15+G15+H15+I15+J15+K15+L15+M15+N15+O15</f>
        <v>-193937.63</v>
      </c>
      <c r="Q15" s="21">
        <f>-P15/$P$12</f>
        <v>7.6261803308858178E-2</v>
      </c>
      <c r="S15" s="70">
        <f>SUM(B15:O15)</f>
        <v>-193937.63</v>
      </c>
      <c r="T15" s="70">
        <f t="shared" si="1"/>
        <v>0</v>
      </c>
    </row>
    <row r="16" spans="1:20" ht="15" x14ac:dyDescent="0.2">
      <c r="A16" s="33" t="s">
        <v>9</v>
      </c>
      <c r="B16" s="32">
        <v>0</v>
      </c>
      <c r="C16" s="32">
        <v>0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20">
        <f t="shared" ref="P16:P40" si="4">B16+C16+D16+E16+F16+G16+H16+I16+J16+K16+L16+M16+N16+O16</f>
        <v>0</v>
      </c>
      <c r="Q16" s="21">
        <f t="shared" ref="Q16:Q51" si="5">-P16/$P$12</f>
        <v>0</v>
      </c>
      <c r="S16" s="70">
        <f t="shared" si="0"/>
        <v>0</v>
      </c>
      <c r="T16" s="70">
        <f t="shared" si="1"/>
        <v>0</v>
      </c>
    </row>
    <row r="17" spans="1:20" ht="15" x14ac:dyDescent="0.2">
      <c r="A17" s="15" t="s">
        <v>10</v>
      </c>
      <c r="B17" s="32">
        <v>-579.99</v>
      </c>
      <c r="C17" s="32">
        <v>-240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20">
        <f t="shared" si="4"/>
        <v>-819.99</v>
      </c>
      <c r="Q17" s="21">
        <f t="shared" si="5"/>
        <v>3.2244343758986132E-4</v>
      </c>
      <c r="S17" s="70">
        <f t="shared" si="0"/>
        <v>-819.99</v>
      </c>
      <c r="T17" s="70">
        <f t="shared" si="1"/>
        <v>0</v>
      </c>
    </row>
    <row r="18" spans="1:20" ht="15" x14ac:dyDescent="0.2">
      <c r="A18" s="33" t="s">
        <v>11</v>
      </c>
      <c r="B18" s="32">
        <v>-7902.89</v>
      </c>
      <c r="C18" s="32">
        <v>-2164.17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20">
        <f t="shared" si="4"/>
        <v>-10067.060000000001</v>
      </c>
      <c r="Q18" s="21">
        <f t="shared" si="5"/>
        <v>3.9586549016736661E-3</v>
      </c>
      <c r="S18" s="70">
        <f t="shared" si="0"/>
        <v>-10067.060000000001</v>
      </c>
      <c r="T18" s="70">
        <f t="shared" si="1"/>
        <v>0</v>
      </c>
    </row>
    <row r="19" spans="1:20" ht="15" x14ac:dyDescent="0.2">
      <c r="A19" s="15" t="s">
        <v>12</v>
      </c>
      <c r="B19" s="32">
        <v>-71650.58</v>
      </c>
      <c r="C19" s="32">
        <v>-29535.52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20">
        <f t="shared" si="4"/>
        <v>-101186.1</v>
      </c>
      <c r="Q19" s="21">
        <f t="shared" si="5"/>
        <v>3.9789258308407995E-2</v>
      </c>
      <c r="S19" s="70">
        <f t="shared" si="0"/>
        <v>-101186.1</v>
      </c>
      <c r="T19" s="70">
        <f t="shared" si="1"/>
        <v>0</v>
      </c>
    </row>
    <row r="20" spans="1:20" ht="15" x14ac:dyDescent="0.2">
      <c r="A20" s="15" t="s">
        <v>13</v>
      </c>
      <c r="B20" s="32">
        <v>-43076.14</v>
      </c>
      <c r="C20" s="32">
        <v>-18215.310000000001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20">
        <f t="shared" si="4"/>
        <v>-61291.45</v>
      </c>
      <c r="Q20" s="21">
        <f t="shared" si="5"/>
        <v>2.4101544936971312E-2</v>
      </c>
      <c r="S20" s="70">
        <f t="shared" si="0"/>
        <v>-61291.45</v>
      </c>
      <c r="T20" s="70">
        <f t="shared" si="1"/>
        <v>0</v>
      </c>
    </row>
    <row r="21" spans="1:20" ht="15" x14ac:dyDescent="0.2">
      <c r="A21" s="15" t="s">
        <v>14</v>
      </c>
      <c r="B21" s="32">
        <v>-19440.330000000002</v>
      </c>
      <c r="C21" s="32">
        <v>-7380.21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20">
        <f t="shared" si="4"/>
        <v>-26820.54</v>
      </c>
      <c r="Q21" s="21">
        <f t="shared" si="5"/>
        <v>1.0546600709296918E-2</v>
      </c>
      <c r="S21" s="70">
        <f t="shared" si="0"/>
        <v>-26820.54</v>
      </c>
      <c r="T21" s="70">
        <f t="shared" si="1"/>
        <v>0</v>
      </c>
    </row>
    <row r="22" spans="1:20" ht="15" x14ac:dyDescent="0.2">
      <c r="A22" s="15" t="s">
        <v>15</v>
      </c>
      <c r="B22" s="32">
        <v>-329.58</v>
      </c>
      <c r="C22" s="32">
        <v>0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20">
        <f t="shared" si="4"/>
        <v>-329.58</v>
      </c>
      <c r="Q22" s="21">
        <f t="shared" si="5"/>
        <v>1.296002489797028E-4</v>
      </c>
      <c r="S22" s="70">
        <f t="shared" si="0"/>
        <v>-329.58</v>
      </c>
      <c r="T22" s="70">
        <f t="shared" si="1"/>
        <v>0</v>
      </c>
    </row>
    <row r="23" spans="1:20" ht="15" x14ac:dyDescent="0.2">
      <c r="A23" s="15" t="s">
        <v>16</v>
      </c>
      <c r="B23" s="32">
        <v>0</v>
      </c>
      <c r="C23" s="32">
        <v>-240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20">
        <f t="shared" si="4"/>
        <v>-240</v>
      </c>
      <c r="Q23" s="21">
        <f t="shared" si="5"/>
        <v>9.4374839963373597E-5</v>
      </c>
      <c r="S23" s="70">
        <f t="shared" si="0"/>
        <v>-240</v>
      </c>
      <c r="T23" s="70">
        <f t="shared" si="1"/>
        <v>0</v>
      </c>
    </row>
    <row r="24" spans="1:20" ht="15" x14ac:dyDescent="0.2">
      <c r="A24" s="15" t="s">
        <v>17</v>
      </c>
      <c r="B24" s="32">
        <v>-48191.93</v>
      </c>
      <c r="C24" s="32">
        <v>-20709.509999999998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20">
        <f t="shared" si="4"/>
        <v>-68901.440000000002</v>
      </c>
      <c r="Q24" s="21">
        <f t="shared" si="5"/>
        <v>2.709400988852495E-2</v>
      </c>
      <c r="S24" s="70">
        <f t="shared" si="0"/>
        <v>-68901.440000000002</v>
      </c>
      <c r="T24" s="70">
        <f t="shared" si="1"/>
        <v>0</v>
      </c>
    </row>
    <row r="25" spans="1:20" ht="15" x14ac:dyDescent="0.2">
      <c r="A25" s="15" t="s">
        <v>18</v>
      </c>
      <c r="B25" s="32">
        <v>-7027.2</v>
      </c>
      <c r="C25" s="32">
        <v>-3621.04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20">
        <f t="shared" si="4"/>
        <v>-10648.24</v>
      </c>
      <c r="Q25" s="21">
        <f t="shared" si="5"/>
        <v>4.1871914412149724E-3</v>
      </c>
      <c r="S25" s="70">
        <f t="shared" si="0"/>
        <v>-10648.24</v>
      </c>
      <c r="T25" s="70">
        <f t="shared" si="1"/>
        <v>0</v>
      </c>
    </row>
    <row r="26" spans="1:20" ht="15" x14ac:dyDescent="0.2">
      <c r="A26" s="15" t="s">
        <v>19</v>
      </c>
      <c r="B26" s="32">
        <v>-26174.3</v>
      </c>
      <c r="C26" s="32">
        <v>-18135.490000000002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20">
        <f t="shared" si="4"/>
        <v>-44309.79</v>
      </c>
      <c r="Q26" s="21">
        <f t="shared" si="5"/>
        <v>1.7423872250252884E-2</v>
      </c>
      <c r="S26" s="70">
        <f t="shared" si="0"/>
        <v>-44309.79</v>
      </c>
      <c r="T26" s="70">
        <f t="shared" si="1"/>
        <v>0</v>
      </c>
    </row>
    <row r="27" spans="1:20" ht="15" x14ac:dyDescent="0.2">
      <c r="A27" s="15" t="s">
        <v>20</v>
      </c>
      <c r="B27" s="32">
        <v>0</v>
      </c>
      <c r="C27" s="32">
        <v>0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20">
        <f t="shared" si="4"/>
        <v>0</v>
      </c>
      <c r="Q27" s="21">
        <f t="shared" si="5"/>
        <v>0</v>
      </c>
      <c r="S27" s="70">
        <f t="shared" si="0"/>
        <v>0</v>
      </c>
      <c r="T27" s="70">
        <f t="shared" si="1"/>
        <v>0</v>
      </c>
    </row>
    <row r="28" spans="1:20" ht="15" x14ac:dyDescent="0.2">
      <c r="A28" s="15" t="s">
        <v>59</v>
      </c>
      <c r="B28" s="32">
        <v>0</v>
      </c>
      <c r="C28" s="32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20">
        <f t="shared" si="4"/>
        <v>0</v>
      </c>
      <c r="Q28" s="21">
        <f t="shared" si="5"/>
        <v>0</v>
      </c>
      <c r="S28" s="70">
        <f t="shared" si="0"/>
        <v>0</v>
      </c>
      <c r="T28" s="70">
        <f t="shared" si="1"/>
        <v>0</v>
      </c>
    </row>
    <row r="29" spans="1:20" ht="15" x14ac:dyDescent="0.2">
      <c r="A29" s="15" t="s">
        <v>21</v>
      </c>
      <c r="B29" s="32">
        <v>-7912.83</v>
      </c>
      <c r="C29" s="32">
        <v>-2295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20">
        <f t="shared" si="4"/>
        <v>-10207.83</v>
      </c>
      <c r="Q29" s="21">
        <f t="shared" si="5"/>
        <v>4.014009677597183E-3</v>
      </c>
      <c r="S29" s="70">
        <f t="shared" si="0"/>
        <v>-10207.83</v>
      </c>
      <c r="T29" s="70">
        <f t="shared" si="1"/>
        <v>0</v>
      </c>
    </row>
    <row r="30" spans="1:20" ht="15" x14ac:dyDescent="0.2">
      <c r="A30" s="15" t="s">
        <v>22</v>
      </c>
      <c r="B30" s="32">
        <v>0</v>
      </c>
      <c r="C30" s="32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20">
        <f t="shared" si="4"/>
        <v>0</v>
      </c>
      <c r="Q30" s="21">
        <f t="shared" si="5"/>
        <v>0</v>
      </c>
      <c r="S30" s="70">
        <f t="shared" si="0"/>
        <v>0</v>
      </c>
      <c r="T30" s="70">
        <f t="shared" si="1"/>
        <v>0</v>
      </c>
    </row>
    <row r="31" spans="1:20" ht="15" x14ac:dyDescent="0.2">
      <c r="A31" s="33" t="s">
        <v>23</v>
      </c>
      <c r="B31" s="32">
        <v>-3532.34</v>
      </c>
      <c r="C31" s="32">
        <v>-314.89999999999998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20">
        <f t="shared" si="4"/>
        <v>-3847.2400000000002</v>
      </c>
      <c r="Q31" s="21">
        <f t="shared" si="5"/>
        <v>1.5128444137528728E-3</v>
      </c>
      <c r="S31" s="70">
        <f t="shared" si="0"/>
        <v>-3847.2400000000002</v>
      </c>
      <c r="T31" s="70">
        <f t="shared" si="1"/>
        <v>0</v>
      </c>
    </row>
    <row r="32" spans="1:20" ht="15" x14ac:dyDescent="0.2">
      <c r="A32" s="15" t="s">
        <v>24</v>
      </c>
      <c r="B32" s="32">
        <v>-406796</v>
      </c>
      <c r="C32" s="32">
        <v>-124618.45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20">
        <f t="shared" si="4"/>
        <v>-531414.44999999995</v>
      </c>
      <c r="Q32" s="21">
        <f t="shared" si="5"/>
        <v>0.20896730697072582</v>
      </c>
      <c r="S32" s="70">
        <f t="shared" si="0"/>
        <v>-531414.44999999995</v>
      </c>
      <c r="T32" s="70">
        <f t="shared" si="1"/>
        <v>0</v>
      </c>
    </row>
    <row r="33" spans="1:20" ht="15" x14ac:dyDescent="0.2">
      <c r="A33" s="34" t="s">
        <v>25</v>
      </c>
      <c r="B33" s="32">
        <v>-508516.36</v>
      </c>
      <c r="C33" s="32">
        <v>-192964.34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20">
        <f t="shared" si="4"/>
        <v>-701480.7</v>
      </c>
      <c r="Q33" s="21">
        <f t="shared" si="5"/>
        <v>0.275842203332897</v>
      </c>
      <c r="S33" s="70">
        <f t="shared" si="0"/>
        <v>-701480.7</v>
      </c>
      <c r="T33" s="70">
        <f t="shared" si="1"/>
        <v>0</v>
      </c>
    </row>
    <row r="34" spans="1:20" ht="15" x14ac:dyDescent="0.2">
      <c r="A34" s="15" t="s">
        <v>26</v>
      </c>
      <c r="B34" s="32">
        <v>0</v>
      </c>
      <c r="C34" s="32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20">
        <f t="shared" si="4"/>
        <v>0</v>
      </c>
      <c r="Q34" s="21">
        <f t="shared" si="5"/>
        <v>0</v>
      </c>
      <c r="S34" s="70">
        <f t="shared" si="0"/>
        <v>0</v>
      </c>
      <c r="T34" s="70">
        <f t="shared" si="1"/>
        <v>0</v>
      </c>
    </row>
    <row r="35" spans="1:20" ht="15" x14ac:dyDescent="0.2">
      <c r="A35" s="15" t="s">
        <v>27</v>
      </c>
      <c r="B35" s="32">
        <v>0</v>
      </c>
      <c r="C35" s="32">
        <v>0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20">
        <f t="shared" si="4"/>
        <v>0</v>
      </c>
      <c r="Q35" s="21">
        <f t="shared" si="5"/>
        <v>0</v>
      </c>
      <c r="S35" s="70">
        <f t="shared" si="0"/>
        <v>0</v>
      </c>
      <c r="T35" s="70">
        <f t="shared" si="1"/>
        <v>0</v>
      </c>
    </row>
    <row r="36" spans="1:20" ht="15" x14ac:dyDescent="0.2">
      <c r="A36" s="33" t="s">
        <v>28</v>
      </c>
      <c r="B36" s="32">
        <v>-10455.879999999999</v>
      </c>
      <c r="C36" s="32">
        <v>-1026.93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20">
        <f t="shared" si="4"/>
        <v>-11482.81</v>
      </c>
      <c r="Q36" s="21">
        <f t="shared" si="5"/>
        <v>4.515368150332608E-3</v>
      </c>
      <c r="S36" s="70">
        <f t="shared" si="0"/>
        <v>-11482.81</v>
      </c>
      <c r="T36" s="70">
        <f t="shared" si="1"/>
        <v>0</v>
      </c>
    </row>
    <row r="37" spans="1:20" ht="15" x14ac:dyDescent="0.2">
      <c r="A37" s="15" t="s">
        <v>29</v>
      </c>
      <c r="B37" s="32">
        <v>-40145.69</v>
      </c>
      <c r="C37" s="32">
        <v>-28257.03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20">
        <f t="shared" si="4"/>
        <v>-68402.720000000001</v>
      </c>
      <c r="Q37" s="21">
        <f t="shared" si="5"/>
        <v>2.6897898971081063E-2</v>
      </c>
      <c r="S37" s="70">
        <f t="shared" si="0"/>
        <v>-68402.720000000001</v>
      </c>
      <c r="T37" s="70">
        <f t="shared" si="1"/>
        <v>0</v>
      </c>
    </row>
    <row r="38" spans="1:20" ht="15" x14ac:dyDescent="0.2">
      <c r="A38" s="15" t="s">
        <v>30</v>
      </c>
      <c r="B38" s="32">
        <v>-53972.69</v>
      </c>
      <c r="C38" s="32">
        <v>-21548.37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20">
        <f t="shared" si="4"/>
        <v>-75521.06</v>
      </c>
      <c r="Q38" s="21">
        <f t="shared" si="5"/>
        <v>2.9697033130684732E-2</v>
      </c>
      <c r="S38" s="70">
        <f t="shared" si="0"/>
        <v>-75521.06</v>
      </c>
      <c r="T38" s="70">
        <f t="shared" si="1"/>
        <v>0</v>
      </c>
    </row>
    <row r="39" spans="1:20" ht="15" x14ac:dyDescent="0.2">
      <c r="A39" s="15" t="s">
        <v>97</v>
      </c>
      <c r="B39" s="32">
        <v>300</v>
      </c>
      <c r="C39" s="32">
        <v>0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20">
        <f t="shared" si="4"/>
        <v>300</v>
      </c>
      <c r="Q39" s="21">
        <f>P39/$P$12</f>
        <v>1.1796854995421699E-4</v>
      </c>
      <c r="S39" s="70">
        <f t="shared" si="0"/>
        <v>300</v>
      </c>
      <c r="T39" s="70">
        <f t="shared" si="1"/>
        <v>0</v>
      </c>
    </row>
    <row r="40" spans="1:20" ht="15" x14ac:dyDescent="0.2">
      <c r="A40" s="15" t="s">
        <v>114</v>
      </c>
      <c r="B40" s="32">
        <v>0</v>
      </c>
      <c r="C40" s="32">
        <v>0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20">
        <f t="shared" si="4"/>
        <v>0</v>
      </c>
      <c r="Q40" s="21">
        <f>P40/$P$12</f>
        <v>0</v>
      </c>
      <c r="S40" s="70">
        <f t="shared" si="0"/>
        <v>0</v>
      </c>
      <c r="T40" s="70">
        <f t="shared" si="1"/>
        <v>0</v>
      </c>
    </row>
    <row r="41" spans="1:20" ht="15" x14ac:dyDescent="0.2">
      <c r="A41" s="35" t="s">
        <v>31</v>
      </c>
      <c r="B41" s="36">
        <f>SUM(B15:B40)</f>
        <v>-1374216.6799999997</v>
      </c>
      <c r="C41" s="36">
        <f>SUM(C15:C40)</f>
        <v>-546391.94999999995</v>
      </c>
      <c r="D41" s="36">
        <f t="shared" ref="D41:O41" si="6">SUM(D15:D40)</f>
        <v>0</v>
      </c>
      <c r="E41" s="36">
        <f t="shared" si="6"/>
        <v>0</v>
      </c>
      <c r="F41" s="36">
        <f t="shared" si="6"/>
        <v>0</v>
      </c>
      <c r="G41" s="36">
        <f t="shared" si="6"/>
        <v>0</v>
      </c>
      <c r="H41" s="36">
        <f t="shared" si="6"/>
        <v>0</v>
      </c>
      <c r="I41" s="36">
        <f t="shared" si="6"/>
        <v>0</v>
      </c>
      <c r="J41" s="36">
        <f t="shared" si="6"/>
        <v>0</v>
      </c>
      <c r="K41" s="36">
        <f t="shared" si="6"/>
        <v>0</v>
      </c>
      <c r="L41" s="36">
        <f t="shared" si="6"/>
        <v>0</v>
      </c>
      <c r="M41" s="36">
        <f t="shared" si="6"/>
        <v>0</v>
      </c>
      <c r="N41" s="36">
        <f t="shared" si="6"/>
        <v>0</v>
      </c>
      <c r="O41" s="36">
        <f t="shared" si="6"/>
        <v>0</v>
      </c>
      <c r="P41" s="36">
        <f>SUM(P15:P40)</f>
        <v>-1920608.63</v>
      </c>
      <c r="Q41" s="21">
        <f t="shared" si="5"/>
        <v>0.75523805036885083</v>
      </c>
      <c r="S41" s="70">
        <f>SUM(B41:O41)</f>
        <v>-1920608.6299999997</v>
      </c>
      <c r="T41" s="70">
        <f t="shared" si="1"/>
        <v>0</v>
      </c>
    </row>
    <row r="42" spans="1:20" ht="15" x14ac:dyDescent="0.2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18"/>
      <c r="S42" s="70">
        <f t="shared" si="0"/>
        <v>0</v>
      </c>
      <c r="T42" s="70">
        <f t="shared" si="1"/>
        <v>0</v>
      </c>
    </row>
    <row r="43" spans="1:20" ht="15" x14ac:dyDescent="0.2">
      <c r="A43" s="39" t="s">
        <v>32</v>
      </c>
      <c r="B43" s="40">
        <f t="shared" ref="B43:O43" si="7">B12+B41</f>
        <v>391413.34000000032</v>
      </c>
      <c r="C43" s="40">
        <f t="shared" ref="C43" si="8">C12+C41</f>
        <v>231028.70000000007</v>
      </c>
      <c r="D43" s="40">
        <f t="shared" si="7"/>
        <v>0</v>
      </c>
      <c r="E43" s="40">
        <f t="shared" si="7"/>
        <v>0</v>
      </c>
      <c r="F43" s="40">
        <f t="shared" si="7"/>
        <v>0</v>
      </c>
      <c r="G43" s="58">
        <f t="shared" si="7"/>
        <v>0</v>
      </c>
      <c r="H43" s="40">
        <f t="shared" si="7"/>
        <v>0</v>
      </c>
      <c r="I43" s="40">
        <f t="shared" si="7"/>
        <v>0</v>
      </c>
      <c r="J43" s="58">
        <f t="shared" si="7"/>
        <v>0</v>
      </c>
      <c r="K43" s="40">
        <f t="shared" si="7"/>
        <v>0</v>
      </c>
      <c r="L43" s="40">
        <f t="shared" si="7"/>
        <v>0</v>
      </c>
      <c r="M43" s="58">
        <f t="shared" si="7"/>
        <v>0</v>
      </c>
      <c r="N43" s="58">
        <f t="shared" si="7"/>
        <v>0</v>
      </c>
      <c r="O43" s="58">
        <f t="shared" si="7"/>
        <v>0</v>
      </c>
      <c r="P43" s="155">
        <f t="shared" ref="P43" si="9">B43+C43+D43+E43+F43+G43+H43+I43+J43+K43+L43+M43+N43+O43</f>
        <v>622442.04000000039</v>
      </c>
      <c r="Q43" s="21">
        <f>P43/$P$12</f>
        <v>0.24476194963114928</v>
      </c>
      <c r="S43" s="70">
        <f>SUM(B43:O43)</f>
        <v>622442.04000000039</v>
      </c>
      <c r="T43" s="70">
        <f t="shared" si="1"/>
        <v>0</v>
      </c>
    </row>
    <row r="44" spans="1:20" ht="15" x14ac:dyDescent="0.2">
      <c r="A44" s="41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4"/>
      <c r="S44" s="70">
        <f t="shared" si="0"/>
        <v>0</v>
      </c>
      <c r="T44" s="70"/>
    </row>
    <row r="45" spans="1:20" ht="15" x14ac:dyDescent="0.2">
      <c r="A45" s="29" t="s">
        <v>56</v>
      </c>
      <c r="B45" s="45">
        <f t="shared" ref="B45:L45" si="10">-B10*13.15%</f>
        <v>-232180.34763</v>
      </c>
      <c r="C45" s="45">
        <f t="shared" ref="C45" si="11">-C10*13.15%</f>
        <v>-102230.81547500001</v>
      </c>
      <c r="D45" s="45">
        <f t="shared" si="10"/>
        <v>0</v>
      </c>
      <c r="E45" s="45">
        <f t="shared" si="10"/>
        <v>0</v>
      </c>
      <c r="F45" s="45">
        <f t="shared" si="10"/>
        <v>0</v>
      </c>
      <c r="G45" s="45">
        <f t="shared" si="10"/>
        <v>0</v>
      </c>
      <c r="H45" s="45">
        <f t="shared" si="10"/>
        <v>0</v>
      </c>
      <c r="I45" s="45">
        <f t="shared" si="10"/>
        <v>0</v>
      </c>
      <c r="J45" s="45">
        <f t="shared" si="10"/>
        <v>0</v>
      </c>
      <c r="K45" s="45">
        <f t="shared" si="10"/>
        <v>0</v>
      </c>
      <c r="L45" s="45">
        <f t="shared" si="10"/>
        <v>0</v>
      </c>
      <c r="M45" s="45">
        <f>-M10*13.15%</f>
        <v>0</v>
      </c>
      <c r="N45" s="45">
        <f t="shared" ref="N45:O45" si="12">-N10*13.15%</f>
        <v>0</v>
      </c>
      <c r="O45" s="45">
        <f t="shared" si="12"/>
        <v>0</v>
      </c>
      <c r="P45" s="20">
        <f t="shared" ref="P45" si="13">B45+C45+D45+E45+F45+G45+H45+I45+J45+K45+L45+M45+N45+O45</f>
        <v>-334411.16310500004</v>
      </c>
      <c r="Q45" s="21">
        <f t="shared" si="5"/>
        <v>0.13150000000000003</v>
      </c>
      <c r="S45" s="70">
        <f>SUM(B45:O45)</f>
        <v>-334411.16310500004</v>
      </c>
      <c r="T45" s="70">
        <f t="shared" si="1"/>
        <v>0</v>
      </c>
    </row>
    <row r="46" spans="1:20" ht="15" x14ac:dyDescent="0.2">
      <c r="A46" s="41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4"/>
      <c r="S46" s="70">
        <f t="shared" si="0"/>
        <v>0</v>
      </c>
      <c r="T46" s="70">
        <f t="shared" si="1"/>
        <v>0</v>
      </c>
    </row>
    <row r="47" spans="1:20" ht="15" x14ac:dyDescent="0.2">
      <c r="A47" s="29" t="s">
        <v>33</v>
      </c>
      <c r="B47" s="45">
        <f t="shared" ref="B47:O47" si="14">-B10*1.22%</f>
        <v>-21540.686243999997</v>
      </c>
      <c r="C47" s="45">
        <f t="shared" ref="C47" si="15">-C10*1.22%</f>
        <v>-9484.5319299999992</v>
      </c>
      <c r="D47" s="45">
        <f t="shared" si="14"/>
        <v>0</v>
      </c>
      <c r="E47" s="45">
        <f t="shared" si="14"/>
        <v>0</v>
      </c>
      <c r="F47" s="45">
        <f t="shared" si="14"/>
        <v>0</v>
      </c>
      <c r="G47" s="45">
        <f t="shared" si="14"/>
        <v>0</v>
      </c>
      <c r="H47" s="45">
        <f t="shared" si="14"/>
        <v>0</v>
      </c>
      <c r="I47" s="45">
        <f t="shared" si="14"/>
        <v>0</v>
      </c>
      <c r="J47" s="45">
        <f t="shared" si="14"/>
        <v>0</v>
      </c>
      <c r="K47" s="45">
        <f t="shared" si="14"/>
        <v>0</v>
      </c>
      <c r="L47" s="45">
        <f t="shared" si="14"/>
        <v>0</v>
      </c>
      <c r="M47" s="45">
        <f t="shared" si="14"/>
        <v>0</v>
      </c>
      <c r="N47" s="45">
        <f t="shared" si="14"/>
        <v>0</v>
      </c>
      <c r="O47" s="45">
        <f t="shared" si="14"/>
        <v>0</v>
      </c>
      <c r="P47" s="20">
        <f t="shared" ref="P47" si="16">B47+C47+D47+E47+F47+G47+H47+I47+J47+K47+L47+M47+N47+O47</f>
        <v>-31025.218173999994</v>
      </c>
      <c r="Q47" s="21">
        <f t="shared" si="5"/>
        <v>1.2199999999999997E-2</v>
      </c>
      <c r="S47" s="70">
        <f>SUM(B47:O47)</f>
        <v>-31025.218173999994</v>
      </c>
      <c r="T47" s="70">
        <f t="shared" si="1"/>
        <v>0</v>
      </c>
    </row>
    <row r="48" spans="1:20" ht="14.25" x14ac:dyDescent="0.2">
      <c r="A48" s="43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4"/>
      <c r="S48" s="70">
        <f t="shared" si="0"/>
        <v>0</v>
      </c>
      <c r="T48" s="70">
        <f t="shared" si="1"/>
        <v>0</v>
      </c>
    </row>
    <row r="49" spans="1:20" ht="15" x14ac:dyDescent="0.2">
      <c r="A49" s="48" t="s">
        <v>57</v>
      </c>
      <c r="B49" s="49">
        <f t="shared" ref="B49:N49" si="17">B41*5.56%</f>
        <v>-76406.447407999978</v>
      </c>
      <c r="C49" s="49">
        <f t="shared" ref="C49" si="18">C41*5.56%</f>
        <v>-30379.392419999996</v>
      </c>
      <c r="D49" s="49">
        <f t="shared" si="17"/>
        <v>0</v>
      </c>
      <c r="E49" s="49">
        <f t="shared" si="17"/>
        <v>0</v>
      </c>
      <c r="F49" s="49">
        <f t="shared" si="17"/>
        <v>0</v>
      </c>
      <c r="G49" s="49">
        <f t="shared" si="17"/>
        <v>0</v>
      </c>
      <c r="H49" s="49">
        <f>H41*5.56%</f>
        <v>0</v>
      </c>
      <c r="I49" s="49">
        <f t="shared" si="17"/>
        <v>0</v>
      </c>
      <c r="J49" s="49">
        <f t="shared" si="17"/>
        <v>0</v>
      </c>
      <c r="K49" s="49">
        <f t="shared" si="17"/>
        <v>0</v>
      </c>
      <c r="L49" s="49">
        <f t="shared" si="17"/>
        <v>0</v>
      </c>
      <c r="M49" s="49">
        <f t="shared" si="17"/>
        <v>0</v>
      </c>
      <c r="N49" s="49">
        <f t="shared" si="17"/>
        <v>0</v>
      </c>
      <c r="O49" s="49">
        <f>O41*5.56%</f>
        <v>0</v>
      </c>
      <c r="P49" s="20">
        <f t="shared" ref="P49" si="19">B49+C49+D49+E49+F49+G49+H49+I49+J49+K49+L49+M49+N49+O49</f>
        <v>-106785.83982799997</v>
      </c>
      <c r="Q49" s="21">
        <f t="shared" si="5"/>
        <v>4.1991235600508096E-2</v>
      </c>
      <c r="S49" s="70">
        <f>SUM(B49:O49)</f>
        <v>-106785.83982799997</v>
      </c>
      <c r="T49" s="70">
        <f t="shared" si="1"/>
        <v>0</v>
      </c>
    </row>
    <row r="50" spans="1:20" ht="14.25" x14ac:dyDescent="0.2">
      <c r="A50" s="43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4"/>
      <c r="S50" s="70">
        <f t="shared" si="0"/>
        <v>0</v>
      </c>
      <c r="T50" s="70">
        <f t="shared" si="1"/>
        <v>0</v>
      </c>
    </row>
    <row r="51" spans="1:20" ht="15" x14ac:dyDescent="0.2">
      <c r="A51" s="48" t="s">
        <v>58</v>
      </c>
      <c r="B51" s="49">
        <f t="shared" ref="B51:L51" si="20">B41*0.01%</f>
        <v>-137.42166799999998</v>
      </c>
      <c r="C51" s="49">
        <f t="shared" ref="C51" si="21">C41*0.01%</f>
        <v>-54.639195000000001</v>
      </c>
      <c r="D51" s="49">
        <f t="shared" si="20"/>
        <v>0</v>
      </c>
      <c r="E51" s="49">
        <f t="shared" si="20"/>
        <v>0</v>
      </c>
      <c r="F51" s="49">
        <f t="shared" si="20"/>
        <v>0</v>
      </c>
      <c r="G51" s="49">
        <f t="shared" si="20"/>
        <v>0</v>
      </c>
      <c r="H51" s="49">
        <f t="shared" si="20"/>
        <v>0</v>
      </c>
      <c r="I51" s="49">
        <f t="shared" si="20"/>
        <v>0</v>
      </c>
      <c r="J51" s="49">
        <f t="shared" si="20"/>
        <v>0</v>
      </c>
      <c r="K51" s="49">
        <f t="shared" si="20"/>
        <v>0</v>
      </c>
      <c r="L51" s="49">
        <f t="shared" si="20"/>
        <v>0</v>
      </c>
      <c r="M51" s="49">
        <f>M41*0.01%</f>
        <v>0</v>
      </c>
      <c r="N51" s="49">
        <f t="shared" ref="N51" si="22">N41*0.01%</f>
        <v>0</v>
      </c>
      <c r="O51" s="49">
        <f>O41*0.01%</f>
        <v>0</v>
      </c>
      <c r="P51" s="20">
        <f t="shared" ref="P51" si="23">B51+C51+D51+E51+F51+G51+H51+I51+J51+K51+L51+M51+N51+O51</f>
        <v>-192.06086299999998</v>
      </c>
      <c r="Q51" s="21">
        <f t="shared" si="5"/>
        <v>7.5523805036885084E-5</v>
      </c>
      <c r="S51" s="70">
        <f>SUM(B51:O51)</f>
        <v>-192.06086299999998</v>
      </c>
      <c r="T51" s="70">
        <f t="shared" si="1"/>
        <v>0</v>
      </c>
    </row>
    <row r="52" spans="1:20" ht="14.25" x14ac:dyDescent="0.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4"/>
      <c r="S52" s="70">
        <f t="shared" si="0"/>
        <v>0</v>
      </c>
      <c r="T52" s="70">
        <f t="shared" si="1"/>
        <v>0</v>
      </c>
    </row>
    <row r="53" spans="1:20" ht="15" x14ac:dyDescent="0.2">
      <c r="A53" s="39" t="s">
        <v>91</v>
      </c>
      <c r="B53" s="40">
        <f>B43+B49+B51+B45+B47</f>
        <v>61148.437050000313</v>
      </c>
      <c r="C53" s="40">
        <f t="shared" ref="C53" si="24">C43+C49+C51+C45+C47</f>
        <v>88879.320980000077</v>
      </c>
      <c r="D53" s="40">
        <f t="shared" ref="D53:N53" si="25">D43+D49+D51+D45+D47</f>
        <v>0</v>
      </c>
      <c r="E53" s="40">
        <f>E43+E49+E51+E45+E47</f>
        <v>0</v>
      </c>
      <c r="F53" s="40">
        <f t="shared" si="25"/>
        <v>0</v>
      </c>
      <c r="G53" s="58">
        <f t="shared" si="25"/>
        <v>0</v>
      </c>
      <c r="H53" s="40">
        <f t="shared" si="25"/>
        <v>0</v>
      </c>
      <c r="I53" s="58">
        <f t="shared" si="25"/>
        <v>0</v>
      </c>
      <c r="J53" s="58">
        <f t="shared" si="25"/>
        <v>0</v>
      </c>
      <c r="K53" s="40">
        <f t="shared" si="25"/>
        <v>0</v>
      </c>
      <c r="L53" s="58">
        <f t="shared" si="25"/>
        <v>0</v>
      </c>
      <c r="M53" s="58">
        <f t="shared" si="25"/>
        <v>0</v>
      </c>
      <c r="N53" s="58">
        <f t="shared" si="25"/>
        <v>0</v>
      </c>
      <c r="O53" s="58">
        <f>O43+O49+O51+O45+O47</f>
        <v>0</v>
      </c>
      <c r="P53" s="155">
        <f t="shared" ref="P53" si="26">B53+C53+D53+E53+F53+G53+H53+I53+J53+K53+L53+M53+N53+O53</f>
        <v>150027.75803000038</v>
      </c>
      <c r="Q53" s="21">
        <f>P53/$P$12</f>
        <v>5.8995190225604267E-2</v>
      </c>
      <c r="S53" s="70">
        <f>SUM(B53:O53)</f>
        <v>150027.75803000038</v>
      </c>
      <c r="T53" s="70">
        <f t="shared" si="1"/>
        <v>0</v>
      </c>
    </row>
    <row r="54" spans="1:20" x14ac:dyDescent="0.2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</row>
    <row r="55" spans="1:20" ht="15" x14ac:dyDescent="0.2">
      <c r="A55" s="52" t="s">
        <v>35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53"/>
      <c r="Q55" s="50"/>
    </row>
    <row r="56" spans="1:20" ht="15" x14ac:dyDescent="0.2">
      <c r="A56" s="8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51"/>
      <c r="O56" s="213"/>
      <c r="P56" s="213"/>
    </row>
    <row r="57" spans="1:20" ht="15" x14ac:dyDescent="0.25">
      <c r="A57" s="54" t="s">
        <v>36</v>
      </c>
      <c r="B57" s="50"/>
      <c r="C57" s="50"/>
      <c r="Q57" s="89">
        <v>45688</v>
      </c>
    </row>
    <row r="58" spans="1:20" x14ac:dyDescent="0.2">
      <c r="B58" s="70">
        <f>B12+B41+B45+B47+B49+B51</f>
        <v>61148.437050000321</v>
      </c>
      <c r="C58" s="70">
        <f>C12+C41+C45+C47+C49+C51</f>
        <v>88879.320980000077</v>
      </c>
      <c r="D58" s="70">
        <f t="shared" ref="D58:P58" si="27">D12+D41+D45+D47+D49+D51</f>
        <v>0</v>
      </c>
      <c r="E58" s="70">
        <f t="shared" si="27"/>
        <v>0</v>
      </c>
      <c r="F58" s="70">
        <f t="shared" si="27"/>
        <v>0</v>
      </c>
      <c r="G58" s="70">
        <f t="shared" si="27"/>
        <v>0</v>
      </c>
      <c r="H58" s="70">
        <f t="shared" si="27"/>
        <v>0</v>
      </c>
      <c r="I58" s="70">
        <f t="shared" si="27"/>
        <v>0</v>
      </c>
      <c r="J58" s="70">
        <f t="shared" si="27"/>
        <v>0</v>
      </c>
      <c r="K58" s="70">
        <f t="shared" si="27"/>
        <v>0</v>
      </c>
      <c r="L58" s="70">
        <f t="shared" si="27"/>
        <v>0</v>
      </c>
      <c r="M58" s="70">
        <f t="shared" si="27"/>
        <v>0</v>
      </c>
      <c r="N58" s="70">
        <f t="shared" si="27"/>
        <v>0</v>
      </c>
      <c r="O58" s="70">
        <f t="shared" si="27"/>
        <v>0</v>
      </c>
      <c r="P58" s="70">
        <f t="shared" si="27"/>
        <v>150027.75803000006</v>
      </c>
    </row>
    <row r="60" spans="1:20" x14ac:dyDescent="0.2">
      <c r="B60" s="70">
        <f>B53-B58</f>
        <v>0</v>
      </c>
      <c r="C60" s="70">
        <f>C53-C58</f>
        <v>0</v>
      </c>
      <c r="D60" s="70">
        <f t="shared" ref="D60:P60" si="28">D53-D58</f>
        <v>0</v>
      </c>
      <c r="E60" s="70">
        <f t="shared" si="28"/>
        <v>0</v>
      </c>
      <c r="F60" s="70">
        <f t="shared" si="28"/>
        <v>0</v>
      </c>
      <c r="G60" s="70">
        <f t="shared" si="28"/>
        <v>0</v>
      </c>
      <c r="H60" s="70">
        <f t="shared" si="28"/>
        <v>0</v>
      </c>
      <c r="I60" s="70">
        <f t="shared" si="28"/>
        <v>0</v>
      </c>
      <c r="J60" s="70">
        <f t="shared" si="28"/>
        <v>0</v>
      </c>
      <c r="K60" s="70">
        <f t="shared" si="28"/>
        <v>0</v>
      </c>
      <c r="L60" s="70">
        <f t="shared" si="28"/>
        <v>0</v>
      </c>
      <c r="M60" s="70">
        <f t="shared" si="28"/>
        <v>0</v>
      </c>
      <c r="N60" s="70">
        <f t="shared" si="28"/>
        <v>0</v>
      </c>
      <c r="O60" s="70">
        <f t="shared" si="28"/>
        <v>0</v>
      </c>
      <c r="P60" s="70">
        <f t="shared" si="28"/>
        <v>3.2014213502407074E-10</v>
      </c>
    </row>
  </sheetData>
  <mergeCells count="4">
    <mergeCell ref="O56:P56"/>
    <mergeCell ref="A1:D1"/>
    <mergeCell ref="A3:D3"/>
    <mergeCell ref="A5:D5"/>
  </mergeCells>
  <phoneticPr fontId="12" type="noConversion"/>
  <conditionalFormatting sqref="G53">
    <cfRule type="cellIs" dxfId="133" priority="5" operator="lessThan">
      <formula>0</formula>
    </cfRule>
    <cfRule type="cellIs" dxfId="132" priority="6" operator="greaterThan">
      <formula>0</formula>
    </cfRule>
  </conditionalFormatting>
  <conditionalFormatting sqref="I53:J53">
    <cfRule type="cellIs" dxfId="131" priority="3" operator="lessThan">
      <formula>0</formula>
    </cfRule>
    <cfRule type="cellIs" dxfId="130" priority="4" operator="greaterThan">
      <formula>0</formula>
    </cfRule>
  </conditionalFormatting>
  <conditionalFormatting sqref="L53">
    <cfRule type="cellIs" dxfId="129" priority="1" operator="lessThan">
      <formula>0</formula>
    </cfRule>
    <cfRule type="cellIs" dxfId="128" priority="2" operator="greaterThan">
      <formula>0</formula>
    </cfRule>
  </conditionalFormatting>
  <printOptions horizontalCentered="1" verticalCentered="1"/>
  <pageMargins left="0.23622047244094491" right="0.19685039370078741" top="0.39370078740157483" bottom="0" header="0.19685039370078741" footer="0"/>
  <pageSetup paperSize="9" scale="69" orientation="landscape" r:id="rId1"/>
  <headerFooter>
    <oddHeader>&amp;C&amp;"-,Negrito"&amp;14BELA NOVA CONSTRUTORA LTDA</oddHeader>
  </headerFooter>
  <colBreaks count="1" manualBreakCount="1">
    <brk id="17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T59"/>
  <sheetViews>
    <sheetView zoomScale="85" zoomScaleNormal="85" workbookViewId="0">
      <selection activeCell="E8" sqref="E8"/>
    </sheetView>
  </sheetViews>
  <sheetFormatPr defaultRowHeight="15" x14ac:dyDescent="0.25"/>
  <cols>
    <col min="1" max="1" width="52.140625" customWidth="1"/>
    <col min="2" max="2" width="17.28515625" bestFit="1" customWidth="1"/>
    <col min="3" max="3" width="18" bestFit="1" customWidth="1"/>
    <col min="4" max="4" width="16.140625" bestFit="1" customWidth="1"/>
    <col min="5" max="5" width="16.28515625" customWidth="1"/>
    <col min="6" max="6" width="16.140625" hidden="1" customWidth="1"/>
    <col min="7" max="7" width="16.28515625" hidden="1" customWidth="1"/>
    <col min="8" max="8" width="15.85546875" hidden="1" customWidth="1"/>
    <col min="9" max="10" width="16.140625" hidden="1" customWidth="1"/>
    <col min="11" max="11" width="15" hidden="1" customWidth="1"/>
    <col min="12" max="12" width="16.140625" hidden="1" customWidth="1"/>
    <col min="13" max="13" width="14.7109375" hidden="1" customWidth="1"/>
    <col min="14" max="14" width="16.85546875" hidden="1" customWidth="1"/>
    <col min="15" max="15" width="16.7109375" hidden="1" customWidth="1"/>
    <col min="16" max="16" width="18" bestFit="1" customWidth="1"/>
    <col min="17" max="17" width="10.7109375" bestFit="1" customWidth="1"/>
    <col min="19" max="19" width="16" bestFit="1" customWidth="1"/>
    <col min="20" max="20" width="14.28515625" bestFit="1" customWidth="1"/>
  </cols>
  <sheetData>
    <row r="1" spans="1:20" ht="15.75" customHeight="1" x14ac:dyDescent="0.25">
      <c r="A1" s="209" t="s">
        <v>190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</row>
    <row r="2" spans="1:20" ht="9" customHeight="1" x14ac:dyDescent="0.25">
      <c r="A2" s="71"/>
      <c r="B2" s="71"/>
      <c r="C2" s="71"/>
      <c r="D2" s="10"/>
    </row>
    <row r="3" spans="1:20" ht="15.75" customHeight="1" x14ac:dyDescent="0.25">
      <c r="A3" s="209" t="s">
        <v>191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</row>
    <row r="4" spans="1:20" ht="10.5" customHeight="1" x14ac:dyDescent="0.25">
      <c r="A4" s="71"/>
      <c r="B4" s="71"/>
      <c r="C4" s="71"/>
      <c r="D4" s="10"/>
    </row>
    <row r="5" spans="1:20" ht="15.75" customHeight="1" x14ac:dyDescent="0.25">
      <c r="A5" s="209" t="s">
        <v>251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20" x14ac:dyDescent="0.25">
      <c r="A6" s="10"/>
      <c r="B6" s="10"/>
      <c r="C6" s="10"/>
      <c r="D6" s="10"/>
    </row>
    <row r="7" spans="1:20" x14ac:dyDescent="0.25">
      <c r="A7" s="12"/>
      <c r="B7" s="60" t="s">
        <v>134</v>
      </c>
      <c r="C7" s="60" t="s">
        <v>221</v>
      </c>
      <c r="D7" s="60" t="s">
        <v>209</v>
      </c>
      <c r="E7" s="60" t="s">
        <v>210</v>
      </c>
      <c r="F7" s="60" t="s">
        <v>119</v>
      </c>
      <c r="G7" s="60" t="s">
        <v>120</v>
      </c>
      <c r="H7" s="60" t="s">
        <v>121</v>
      </c>
      <c r="I7" s="60" t="s">
        <v>123</v>
      </c>
      <c r="J7" s="60" t="s">
        <v>124</v>
      </c>
      <c r="K7" s="60" t="s">
        <v>125</v>
      </c>
      <c r="L7" s="60" t="s">
        <v>126</v>
      </c>
      <c r="M7" s="60" t="s">
        <v>127</v>
      </c>
      <c r="N7" s="60" t="s">
        <v>128</v>
      </c>
      <c r="O7" s="60" t="s">
        <v>129</v>
      </c>
      <c r="P7" s="13" t="s">
        <v>1</v>
      </c>
      <c r="Q7" s="14" t="s">
        <v>2</v>
      </c>
    </row>
    <row r="8" spans="1:20" x14ac:dyDescent="0.25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7"/>
      <c r="Q8" s="18"/>
    </row>
    <row r="9" spans="1:20" x14ac:dyDescent="0.25">
      <c r="A9" s="78" t="s">
        <v>4</v>
      </c>
      <c r="B9" s="19">
        <v>937178.75</v>
      </c>
      <c r="C9" s="19">
        <v>1034579.13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20">
        <f>B9+C9+D9+E9+F9+G9+H9+I9+J9+K9+L9+M9+N9+O9</f>
        <v>1971757.88</v>
      </c>
      <c r="Q9" s="21">
        <v>1</v>
      </c>
      <c r="S9" s="98">
        <f>SUM(B9:O9)</f>
        <v>1971757.88</v>
      </c>
      <c r="T9" s="98">
        <f>P9-S9</f>
        <v>0</v>
      </c>
    </row>
    <row r="10" spans="1:20" x14ac:dyDescent="0.25">
      <c r="A10" s="15" t="s">
        <v>5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B10+C10+D10+E10+F10+G10+H10+I10+J10+K10+L10+M10+N10+O10</f>
        <v>0</v>
      </c>
      <c r="Q10" s="21"/>
      <c r="S10" s="98">
        <f t="shared" ref="S10:S51" si="0">SUM(B10:O10)</f>
        <v>0</v>
      </c>
      <c r="T10" s="98">
        <f t="shared" ref="T10:T52" si="1">P10-S10</f>
        <v>0</v>
      </c>
    </row>
    <row r="11" spans="1:20" x14ac:dyDescent="0.25">
      <c r="A11" s="23" t="s">
        <v>6</v>
      </c>
      <c r="B11" s="24">
        <f t="shared" ref="B11:F11" si="2">SUM(B9:B10)</f>
        <v>937178.75</v>
      </c>
      <c r="C11" s="24">
        <f t="shared" si="2"/>
        <v>1034579.13</v>
      </c>
      <c r="D11" s="24">
        <f t="shared" si="2"/>
        <v>0</v>
      </c>
      <c r="E11" s="24">
        <f t="shared" si="2"/>
        <v>0</v>
      </c>
      <c r="F11" s="24">
        <f t="shared" si="2"/>
        <v>0</v>
      </c>
      <c r="G11" s="24">
        <f t="shared" ref="G11:O11" si="3">SUM(G9:G10)</f>
        <v>0</v>
      </c>
      <c r="H11" s="24">
        <f t="shared" si="3"/>
        <v>0</v>
      </c>
      <c r="I11" s="24">
        <f t="shared" si="3"/>
        <v>0</v>
      </c>
      <c r="J11" s="24">
        <f t="shared" si="3"/>
        <v>0</v>
      </c>
      <c r="K11" s="24">
        <f t="shared" si="3"/>
        <v>0</v>
      </c>
      <c r="L11" s="24">
        <f t="shared" si="3"/>
        <v>0</v>
      </c>
      <c r="M11" s="24">
        <f t="shared" si="3"/>
        <v>0</v>
      </c>
      <c r="N11" s="24">
        <f t="shared" si="3"/>
        <v>0</v>
      </c>
      <c r="O11" s="24">
        <f t="shared" si="3"/>
        <v>0</v>
      </c>
      <c r="P11" s="24">
        <f>SUM(P9:P10)</f>
        <v>1971757.88</v>
      </c>
      <c r="Q11" s="21">
        <v>1</v>
      </c>
      <c r="S11" s="98">
        <f>SUM(B11:O11)</f>
        <v>1971757.88</v>
      </c>
      <c r="T11" s="98">
        <f t="shared" si="1"/>
        <v>0</v>
      </c>
    </row>
    <row r="12" spans="1:20" x14ac:dyDescent="0.25">
      <c r="A12" s="25"/>
      <c r="B12" s="26"/>
      <c r="C12" s="26"/>
      <c r="D12" s="61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8"/>
      <c r="S12" s="98">
        <f t="shared" si="0"/>
        <v>0</v>
      </c>
      <c r="T12" s="98"/>
    </row>
    <row r="13" spans="1:20" x14ac:dyDescent="0.25">
      <c r="A13" s="29" t="s">
        <v>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31"/>
      <c r="S13" s="98">
        <f t="shared" si="0"/>
        <v>0</v>
      </c>
      <c r="T13" s="98"/>
    </row>
    <row r="14" spans="1:20" x14ac:dyDescent="0.25">
      <c r="A14" s="15" t="s">
        <v>8</v>
      </c>
      <c r="B14" s="32">
        <v>-55614.57</v>
      </c>
      <c r="C14" s="32">
        <v>-76745.87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20">
        <f>B14+C14+D14+E14+F14+G14+H14+I14+J14+K14+L14+M14+N14+O14</f>
        <v>-132360.44</v>
      </c>
      <c r="Q14" s="21">
        <f>-P14/$P$11</f>
        <v>6.7128140499684477E-2</v>
      </c>
      <c r="S14" s="98">
        <f>SUM(B14:O14)</f>
        <v>-132360.44</v>
      </c>
      <c r="T14" s="98">
        <f t="shared" si="1"/>
        <v>0</v>
      </c>
    </row>
    <row r="15" spans="1:20" x14ac:dyDescent="0.25">
      <c r="A15" s="33" t="s">
        <v>9</v>
      </c>
      <c r="B15" s="32">
        <v>0</v>
      </c>
      <c r="C15" s="32">
        <v>0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20">
        <f t="shared" ref="P15:P39" si="4">B15+C15+D15+E15+F15+G15+H15+I15+J15+K15+L15+M15+N15+O15</f>
        <v>0</v>
      </c>
      <c r="Q15" s="21">
        <f t="shared" ref="Q15:Q50" si="5">-P15/$P$11</f>
        <v>0</v>
      </c>
      <c r="S15" s="98">
        <f t="shared" si="0"/>
        <v>0</v>
      </c>
      <c r="T15" s="98">
        <f t="shared" si="1"/>
        <v>0</v>
      </c>
    </row>
    <row r="16" spans="1:20" x14ac:dyDescent="0.25">
      <c r="A16" s="15" t="s">
        <v>10</v>
      </c>
      <c r="B16" s="32">
        <v>-1708.5</v>
      </c>
      <c r="C16" s="32">
        <v>-6408.72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20">
        <f t="shared" si="4"/>
        <v>-8117.22</v>
      </c>
      <c r="Q16" s="21">
        <f t="shared" si="5"/>
        <v>4.1167427716835093E-3</v>
      </c>
      <c r="S16" s="98">
        <f t="shared" si="0"/>
        <v>-8117.22</v>
      </c>
      <c r="T16" s="98">
        <f t="shared" si="1"/>
        <v>0</v>
      </c>
    </row>
    <row r="17" spans="1:20" x14ac:dyDescent="0.25">
      <c r="A17" s="33" t="s">
        <v>11</v>
      </c>
      <c r="B17" s="32">
        <v>-3776.66</v>
      </c>
      <c r="C17" s="32">
        <v>-3948.9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20">
        <f t="shared" si="4"/>
        <v>-7725.5599999999995</v>
      </c>
      <c r="Q17" s="21">
        <f t="shared" si="5"/>
        <v>3.9181078358363148E-3</v>
      </c>
      <c r="S17" s="98">
        <f t="shared" si="0"/>
        <v>-7725.5599999999995</v>
      </c>
      <c r="T17" s="98">
        <f t="shared" si="1"/>
        <v>0</v>
      </c>
    </row>
    <row r="18" spans="1:20" x14ac:dyDescent="0.25">
      <c r="A18" s="15" t="s">
        <v>12</v>
      </c>
      <c r="B18" s="32">
        <v>-30409.3</v>
      </c>
      <c r="C18" s="32">
        <v>-33134.99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20">
        <f t="shared" si="4"/>
        <v>-63544.289999999994</v>
      </c>
      <c r="Q18" s="21">
        <f t="shared" si="5"/>
        <v>3.2227227614781993E-2</v>
      </c>
      <c r="S18" s="98">
        <f t="shared" si="0"/>
        <v>-63544.289999999994</v>
      </c>
      <c r="T18" s="98">
        <f t="shared" si="1"/>
        <v>0</v>
      </c>
    </row>
    <row r="19" spans="1:20" x14ac:dyDescent="0.25">
      <c r="A19" s="15" t="s">
        <v>13</v>
      </c>
      <c r="B19" s="32">
        <v>-17939.38</v>
      </c>
      <c r="C19" s="32">
        <v>-21241.24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20">
        <f t="shared" si="4"/>
        <v>-39180.620000000003</v>
      </c>
      <c r="Q19" s="21">
        <f t="shared" si="5"/>
        <v>1.987090828819206E-2</v>
      </c>
      <c r="S19" s="98">
        <f t="shared" si="0"/>
        <v>-39180.620000000003</v>
      </c>
      <c r="T19" s="98">
        <f t="shared" si="1"/>
        <v>0</v>
      </c>
    </row>
    <row r="20" spans="1:20" x14ac:dyDescent="0.25">
      <c r="A20" s="15" t="s">
        <v>14</v>
      </c>
      <c r="B20" s="32">
        <v>-10693.92</v>
      </c>
      <c r="C20" s="32">
        <v>-19868.86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20">
        <f t="shared" si="4"/>
        <v>-30562.78</v>
      </c>
      <c r="Q20" s="21">
        <f t="shared" si="5"/>
        <v>1.5500270246162273E-2</v>
      </c>
      <c r="S20" s="98">
        <f t="shared" si="0"/>
        <v>-30562.78</v>
      </c>
      <c r="T20" s="98">
        <f t="shared" si="1"/>
        <v>0</v>
      </c>
    </row>
    <row r="21" spans="1:20" x14ac:dyDescent="0.25">
      <c r="A21" s="15" t="s">
        <v>15</v>
      </c>
      <c r="B21" s="32">
        <v>0</v>
      </c>
      <c r="C21" s="32">
        <v>0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20">
        <f t="shared" si="4"/>
        <v>0</v>
      </c>
      <c r="Q21" s="21">
        <f t="shared" si="5"/>
        <v>0</v>
      </c>
      <c r="S21" s="98">
        <f t="shared" si="0"/>
        <v>0</v>
      </c>
      <c r="T21" s="98">
        <f t="shared" si="1"/>
        <v>0</v>
      </c>
    </row>
    <row r="22" spans="1:20" x14ac:dyDescent="0.25">
      <c r="A22" s="15" t="s">
        <v>16</v>
      </c>
      <c r="B22" s="32">
        <v>0</v>
      </c>
      <c r="C22" s="32">
        <v>-300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20">
        <f t="shared" si="4"/>
        <v>-300</v>
      </c>
      <c r="Q22" s="21">
        <f t="shared" si="5"/>
        <v>1.5214849807015861E-4</v>
      </c>
      <c r="S22" s="98">
        <f t="shared" si="0"/>
        <v>-300</v>
      </c>
      <c r="T22" s="98">
        <f t="shared" si="1"/>
        <v>0</v>
      </c>
    </row>
    <row r="23" spans="1:20" x14ac:dyDescent="0.25">
      <c r="A23" s="15" t="s">
        <v>17</v>
      </c>
      <c r="B23" s="32">
        <v>-20168.740000000002</v>
      </c>
      <c r="C23" s="32">
        <v>-24439.279999999999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20">
        <f t="shared" si="4"/>
        <v>-44608.020000000004</v>
      </c>
      <c r="Q23" s="21">
        <f t="shared" si="5"/>
        <v>2.2623477482945322E-2</v>
      </c>
      <c r="S23" s="98">
        <f t="shared" si="0"/>
        <v>-44608.020000000004</v>
      </c>
      <c r="T23" s="98">
        <f t="shared" si="1"/>
        <v>0</v>
      </c>
    </row>
    <row r="24" spans="1:20" x14ac:dyDescent="0.25">
      <c r="A24" s="15" t="s">
        <v>18</v>
      </c>
      <c r="B24" s="32">
        <v>-3819.02</v>
      </c>
      <c r="C24" s="32">
        <v>-8902.5499999999993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20">
        <f t="shared" si="4"/>
        <v>-12721.57</v>
      </c>
      <c r="Q24" s="21">
        <f t="shared" si="5"/>
        <v>6.4518925619812921E-3</v>
      </c>
      <c r="S24" s="98">
        <f t="shared" si="0"/>
        <v>-12721.57</v>
      </c>
      <c r="T24" s="98">
        <f t="shared" si="1"/>
        <v>0</v>
      </c>
    </row>
    <row r="25" spans="1:20" x14ac:dyDescent="0.25">
      <c r="A25" s="15" t="s">
        <v>19</v>
      </c>
      <c r="B25" s="32">
        <v>-14360.53</v>
      </c>
      <c r="C25" s="32">
        <v>-31743.42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20">
        <f t="shared" si="4"/>
        <v>-46103.95</v>
      </c>
      <c r="Q25" s="21">
        <f t="shared" si="5"/>
        <v>2.3382155825338962E-2</v>
      </c>
      <c r="S25" s="98">
        <f t="shared" si="0"/>
        <v>-46103.95</v>
      </c>
      <c r="T25" s="98">
        <f t="shared" si="1"/>
        <v>0</v>
      </c>
    </row>
    <row r="26" spans="1:20" x14ac:dyDescent="0.25">
      <c r="A26" s="15" t="s">
        <v>20</v>
      </c>
      <c r="B26" s="32">
        <v>0</v>
      </c>
      <c r="C26" s="32">
        <v>0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20">
        <f t="shared" si="4"/>
        <v>0</v>
      </c>
      <c r="Q26" s="21">
        <f t="shared" si="5"/>
        <v>0</v>
      </c>
      <c r="S26" s="98">
        <f t="shared" si="0"/>
        <v>0</v>
      </c>
      <c r="T26" s="98">
        <f t="shared" si="1"/>
        <v>0</v>
      </c>
    </row>
    <row r="27" spans="1:20" x14ac:dyDescent="0.25">
      <c r="A27" s="15" t="s">
        <v>59</v>
      </c>
      <c r="B27" s="32">
        <v>0</v>
      </c>
      <c r="C27" s="32">
        <v>0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20">
        <f t="shared" si="4"/>
        <v>0</v>
      </c>
      <c r="Q27" s="21">
        <f t="shared" si="5"/>
        <v>0</v>
      </c>
      <c r="S27" s="98">
        <f t="shared" si="0"/>
        <v>0</v>
      </c>
      <c r="T27" s="98">
        <f t="shared" si="1"/>
        <v>0</v>
      </c>
    </row>
    <row r="28" spans="1:20" x14ac:dyDescent="0.25">
      <c r="A28" s="15" t="s">
        <v>21</v>
      </c>
      <c r="B28" s="32">
        <v>-3095.63</v>
      </c>
      <c r="C28" s="32">
        <v>-1890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20">
        <f t="shared" si="4"/>
        <v>-4985.63</v>
      </c>
      <c r="Q28" s="21">
        <f t="shared" si="5"/>
        <v>2.5285203881117496E-3</v>
      </c>
      <c r="S28" s="98">
        <f t="shared" si="0"/>
        <v>-4985.63</v>
      </c>
      <c r="T28" s="98">
        <f t="shared" si="1"/>
        <v>0</v>
      </c>
    </row>
    <row r="29" spans="1:20" x14ac:dyDescent="0.25">
      <c r="A29" s="15" t="s">
        <v>22</v>
      </c>
      <c r="B29" s="32">
        <v>0</v>
      </c>
      <c r="C29" s="32">
        <v>0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20">
        <f t="shared" si="4"/>
        <v>0</v>
      </c>
      <c r="Q29" s="21">
        <f t="shared" si="5"/>
        <v>0</v>
      </c>
      <c r="S29" s="98">
        <f t="shared" si="0"/>
        <v>0</v>
      </c>
      <c r="T29" s="98">
        <f t="shared" si="1"/>
        <v>0</v>
      </c>
    </row>
    <row r="30" spans="1:20" x14ac:dyDescent="0.25">
      <c r="A30" s="33" t="s">
        <v>23</v>
      </c>
      <c r="B30" s="32">
        <v>-2640.12</v>
      </c>
      <c r="C30" s="32">
        <v>-1597.75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20">
        <f t="shared" si="4"/>
        <v>-4237.87</v>
      </c>
      <c r="Q30" s="21">
        <f t="shared" si="5"/>
        <v>2.1492851850552766E-3</v>
      </c>
      <c r="S30" s="98">
        <f t="shared" si="0"/>
        <v>-4237.87</v>
      </c>
      <c r="T30" s="98">
        <f t="shared" si="1"/>
        <v>0</v>
      </c>
    </row>
    <row r="31" spans="1:20" x14ac:dyDescent="0.25">
      <c r="A31" s="15" t="s">
        <v>24</v>
      </c>
      <c r="B31" s="32">
        <v>-104057</v>
      </c>
      <c r="C31" s="32">
        <v>-124151.53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20">
        <f t="shared" si="4"/>
        <v>-228208.53</v>
      </c>
      <c r="Q31" s="21">
        <f t="shared" si="5"/>
        <v>0.1157386169543291</v>
      </c>
      <c r="S31" s="98">
        <f t="shared" si="0"/>
        <v>-228208.53</v>
      </c>
      <c r="T31" s="98">
        <f t="shared" si="1"/>
        <v>0</v>
      </c>
    </row>
    <row r="32" spans="1:20" x14ac:dyDescent="0.25">
      <c r="A32" s="34" t="s">
        <v>25</v>
      </c>
      <c r="B32" s="32">
        <v>-212099.89</v>
      </c>
      <c r="C32" s="32">
        <v>-241484.12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20">
        <f t="shared" si="4"/>
        <v>-453584.01</v>
      </c>
      <c r="Q32" s="21">
        <f t="shared" si="5"/>
        <v>0.23004041956713267</v>
      </c>
      <c r="S32" s="98">
        <f t="shared" si="0"/>
        <v>-453584.01</v>
      </c>
      <c r="T32" s="98">
        <f t="shared" si="1"/>
        <v>0</v>
      </c>
    </row>
    <row r="33" spans="1:20" x14ac:dyDescent="0.25">
      <c r="A33" s="15" t="s">
        <v>26</v>
      </c>
      <c r="B33" s="32">
        <v>0</v>
      </c>
      <c r="C33" s="32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20">
        <f t="shared" si="4"/>
        <v>0</v>
      </c>
      <c r="Q33" s="21">
        <f t="shared" si="5"/>
        <v>0</v>
      </c>
      <c r="S33" s="98">
        <f t="shared" si="0"/>
        <v>0</v>
      </c>
      <c r="T33" s="98">
        <f t="shared" si="1"/>
        <v>0</v>
      </c>
    </row>
    <row r="34" spans="1:20" x14ac:dyDescent="0.25">
      <c r="A34" s="15" t="s">
        <v>27</v>
      </c>
      <c r="B34" s="32">
        <v>0</v>
      </c>
      <c r="C34" s="32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20">
        <f t="shared" si="4"/>
        <v>0</v>
      </c>
      <c r="Q34" s="21">
        <f t="shared" si="5"/>
        <v>0</v>
      </c>
      <c r="S34" s="98">
        <f t="shared" si="0"/>
        <v>0</v>
      </c>
      <c r="T34" s="98">
        <f t="shared" si="1"/>
        <v>0</v>
      </c>
    </row>
    <row r="35" spans="1:20" x14ac:dyDescent="0.25">
      <c r="A35" s="33" t="s">
        <v>28</v>
      </c>
      <c r="B35" s="32">
        <v>-2246.38</v>
      </c>
      <c r="C35" s="32">
        <v>-2499.64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20">
        <f t="shared" si="4"/>
        <v>-4746.0200000000004</v>
      </c>
      <c r="Q35" s="21">
        <f t="shared" si="5"/>
        <v>2.4069993827031139E-3</v>
      </c>
      <c r="S35" s="98">
        <f t="shared" si="0"/>
        <v>-4746.0200000000004</v>
      </c>
      <c r="T35" s="98">
        <f t="shared" si="1"/>
        <v>0</v>
      </c>
    </row>
    <row r="36" spans="1:20" x14ac:dyDescent="0.25">
      <c r="A36" s="15" t="s">
        <v>29</v>
      </c>
      <c r="B36" s="32">
        <v>-13862.42</v>
      </c>
      <c r="C36" s="32">
        <v>-26460.51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20">
        <f t="shared" si="4"/>
        <v>-40322.93</v>
      </c>
      <c r="Q36" s="21">
        <f t="shared" si="5"/>
        <v>2.04502441242938E-2</v>
      </c>
      <c r="S36" s="98">
        <f t="shared" si="0"/>
        <v>-40322.93</v>
      </c>
      <c r="T36" s="98">
        <f t="shared" si="1"/>
        <v>0</v>
      </c>
    </row>
    <row r="37" spans="1:20" x14ac:dyDescent="0.25">
      <c r="A37" s="15" t="s">
        <v>30</v>
      </c>
      <c r="B37" s="32">
        <v>-22530.85</v>
      </c>
      <c r="C37" s="32">
        <v>-24030.49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20">
        <f t="shared" si="4"/>
        <v>-46561.34</v>
      </c>
      <c r="Q37" s="21">
        <f t="shared" si="5"/>
        <v>2.3614126497113325E-2</v>
      </c>
      <c r="S37" s="98">
        <f t="shared" si="0"/>
        <v>-46561.34</v>
      </c>
      <c r="T37" s="98">
        <f t="shared" si="1"/>
        <v>0</v>
      </c>
    </row>
    <row r="38" spans="1:20" x14ac:dyDescent="0.25">
      <c r="A38" s="15" t="s">
        <v>97</v>
      </c>
      <c r="B38" s="32">
        <v>100</v>
      </c>
      <c r="C38" s="32">
        <v>0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20">
        <f t="shared" si="4"/>
        <v>100</v>
      </c>
      <c r="Q38" s="21">
        <f>P38/$P$11</f>
        <v>5.0716166023386201E-5</v>
      </c>
      <c r="S38" s="98">
        <f t="shared" si="0"/>
        <v>100</v>
      </c>
      <c r="T38" s="98">
        <f t="shared" si="1"/>
        <v>0</v>
      </c>
    </row>
    <row r="39" spans="1:20" x14ac:dyDescent="0.25">
      <c r="A39" s="15" t="s">
        <v>114</v>
      </c>
      <c r="B39" s="32">
        <v>0</v>
      </c>
      <c r="C39" s="32">
        <v>0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20">
        <f t="shared" si="4"/>
        <v>0</v>
      </c>
      <c r="Q39" s="21">
        <f>P39/$P$11</f>
        <v>0</v>
      </c>
      <c r="S39" s="98">
        <f t="shared" si="0"/>
        <v>0</v>
      </c>
      <c r="T39" s="98">
        <f t="shared" si="1"/>
        <v>0</v>
      </c>
    </row>
    <row r="40" spans="1:20" x14ac:dyDescent="0.25">
      <c r="A40" s="35" t="s">
        <v>31</v>
      </c>
      <c r="B40" s="36">
        <f>SUM(B14:B39)</f>
        <v>-518922.91</v>
      </c>
      <c r="C40" s="36">
        <f>SUM(C14:C39)</f>
        <v>-648847.87</v>
      </c>
      <c r="D40" s="36">
        <f>SUM(D14:D39)</f>
        <v>0</v>
      </c>
      <c r="E40" s="36">
        <f t="shared" ref="E40:O40" si="6">SUM(E14:E39)</f>
        <v>0</v>
      </c>
      <c r="F40" s="36">
        <f t="shared" si="6"/>
        <v>0</v>
      </c>
      <c r="G40" s="36">
        <f t="shared" si="6"/>
        <v>0</v>
      </c>
      <c r="H40" s="36">
        <f t="shared" si="6"/>
        <v>0</v>
      </c>
      <c r="I40" s="36">
        <f t="shared" si="6"/>
        <v>0</v>
      </c>
      <c r="J40" s="36">
        <f t="shared" si="6"/>
        <v>0</v>
      </c>
      <c r="K40" s="36">
        <f t="shared" si="6"/>
        <v>0</v>
      </c>
      <c r="L40" s="36">
        <f t="shared" si="6"/>
        <v>0</v>
      </c>
      <c r="M40" s="36">
        <f t="shared" si="6"/>
        <v>0</v>
      </c>
      <c r="N40" s="36">
        <f t="shared" si="6"/>
        <v>0</v>
      </c>
      <c r="O40" s="36">
        <f t="shared" si="6"/>
        <v>0</v>
      </c>
      <c r="P40" s="36">
        <f>SUM(P14:P39)</f>
        <v>-1167770.7800000003</v>
      </c>
      <c r="Q40" s="21">
        <f t="shared" si="5"/>
        <v>0.59224856755739219</v>
      </c>
      <c r="S40" s="98">
        <f>SUM(B40:O40)</f>
        <v>-1167770.78</v>
      </c>
      <c r="T40" s="98">
        <f t="shared" si="1"/>
        <v>0</v>
      </c>
    </row>
    <row r="41" spans="1:20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S41" s="98">
        <f t="shared" si="0"/>
        <v>0</v>
      </c>
      <c r="T41" s="98">
        <f t="shared" si="1"/>
        <v>0</v>
      </c>
    </row>
    <row r="42" spans="1:20" x14ac:dyDescent="0.25">
      <c r="A42" s="39" t="s">
        <v>32</v>
      </c>
      <c r="B42" s="40">
        <f t="shared" ref="B42:O42" si="7">B11+B40</f>
        <v>418255.84</v>
      </c>
      <c r="C42" s="40">
        <f t="shared" si="7"/>
        <v>385731.26</v>
      </c>
      <c r="D42" s="40">
        <f t="shared" si="7"/>
        <v>0</v>
      </c>
      <c r="E42" s="40">
        <f t="shared" si="7"/>
        <v>0</v>
      </c>
      <c r="F42" s="40">
        <f t="shared" si="7"/>
        <v>0</v>
      </c>
      <c r="G42" s="58">
        <f t="shared" si="7"/>
        <v>0</v>
      </c>
      <c r="H42" s="40">
        <f t="shared" si="7"/>
        <v>0</v>
      </c>
      <c r="I42" s="40">
        <f t="shared" si="7"/>
        <v>0</v>
      </c>
      <c r="J42" s="40">
        <f t="shared" si="7"/>
        <v>0</v>
      </c>
      <c r="K42" s="40">
        <f t="shared" si="7"/>
        <v>0</v>
      </c>
      <c r="L42" s="40">
        <f t="shared" si="7"/>
        <v>0</v>
      </c>
      <c r="M42" s="58">
        <f t="shared" si="7"/>
        <v>0</v>
      </c>
      <c r="N42" s="58">
        <f t="shared" si="7"/>
        <v>0</v>
      </c>
      <c r="O42" s="58">
        <f t="shared" si="7"/>
        <v>0</v>
      </c>
      <c r="P42" s="155">
        <f t="shared" ref="P42" si="8">B42+C42+D42+E42+F42+G42+H42+I42+J42+K42+L42+M42+N42+O42</f>
        <v>803987.10000000009</v>
      </c>
      <c r="Q42" s="21">
        <f>P42/$P$11</f>
        <v>0.40775143244260809</v>
      </c>
      <c r="S42" s="98">
        <f>SUM(B42:O42)</f>
        <v>803987.10000000009</v>
      </c>
      <c r="T42" s="98">
        <f t="shared" si="1"/>
        <v>0</v>
      </c>
    </row>
    <row r="43" spans="1:20" x14ac:dyDescent="0.25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4"/>
      <c r="S43" s="98">
        <f t="shared" si="0"/>
        <v>0</v>
      </c>
      <c r="T43" s="98">
        <f t="shared" si="1"/>
        <v>0</v>
      </c>
    </row>
    <row r="44" spans="1:20" x14ac:dyDescent="0.25">
      <c r="A44" s="29" t="s">
        <v>56</v>
      </c>
      <c r="B44" s="45">
        <f t="shared" ref="B44:L44" si="9">-B9*13.15%</f>
        <v>-123239.00562500001</v>
      </c>
      <c r="C44" s="45">
        <f t="shared" ref="C44" si="10">-C9*13.15%</f>
        <v>-136047.15559500002</v>
      </c>
      <c r="D44" s="45">
        <f t="shared" si="9"/>
        <v>0</v>
      </c>
      <c r="E44" s="45">
        <f t="shared" si="9"/>
        <v>0</v>
      </c>
      <c r="F44" s="45">
        <f t="shared" si="9"/>
        <v>0</v>
      </c>
      <c r="G44" s="45">
        <f t="shared" si="9"/>
        <v>0</v>
      </c>
      <c r="H44" s="45">
        <f t="shared" si="9"/>
        <v>0</v>
      </c>
      <c r="I44" s="45">
        <f t="shared" si="9"/>
        <v>0</v>
      </c>
      <c r="J44" s="45">
        <f t="shared" si="9"/>
        <v>0</v>
      </c>
      <c r="K44" s="45">
        <f t="shared" si="9"/>
        <v>0</v>
      </c>
      <c r="L44" s="45">
        <f t="shared" si="9"/>
        <v>0</v>
      </c>
      <c r="M44" s="45">
        <f>-M9*13.15%</f>
        <v>0</v>
      </c>
      <c r="N44" s="45">
        <f t="shared" ref="N44:O44" si="11">-N9*13.15%</f>
        <v>0</v>
      </c>
      <c r="O44" s="45">
        <f t="shared" si="11"/>
        <v>0</v>
      </c>
      <c r="P44" s="20">
        <f t="shared" ref="P44" si="12">B44+C44+D44+E44+F44+G44+H44+I44+J44+K44+L44+M44+N44+O44</f>
        <v>-259286.16122000001</v>
      </c>
      <c r="Q44" s="21">
        <f t="shared" si="5"/>
        <v>0.13150000000000001</v>
      </c>
      <c r="S44" s="98">
        <f>SUM(B44:O44)</f>
        <v>-259286.16122000001</v>
      </c>
      <c r="T44" s="98">
        <f t="shared" si="1"/>
        <v>0</v>
      </c>
    </row>
    <row r="45" spans="1:20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4"/>
      <c r="S45" s="98">
        <f t="shared" si="0"/>
        <v>0</v>
      </c>
      <c r="T45" s="98">
        <f t="shared" si="1"/>
        <v>0</v>
      </c>
    </row>
    <row r="46" spans="1:20" x14ac:dyDescent="0.25">
      <c r="A46" s="29" t="s">
        <v>33</v>
      </c>
      <c r="B46" s="45">
        <f t="shared" ref="B46:O46" si="13">-B9*1.22%</f>
        <v>-11433.580749999999</v>
      </c>
      <c r="C46" s="45">
        <f t="shared" ref="C46" si="14">-C9*1.22%</f>
        <v>-12621.865385999999</v>
      </c>
      <c r="D46" s="45">
        <f t="shared" si="13"/>
        <v>0</v>
      </c>
      <c r="E46" s="45">
        <f t="shared" si="13"/>
        <v>0</v>
      </c>
      <c r="F46" s="45">
        <f t="shared" si="13"/>
        <v>0</v>
      </c>
      <c r="G46" s="45">
        <f t="shared" si="13"/>
        <v>0</v>
      </c>
      <c r="H46" s="45">
        <f t="shared" si="13"/>
        <v>0</v>
      </c>
      <c r="I46" s="45">
        <f t="shared" si="13"/>
        <v>0</v>
      </c>
      <c r="J46" s="45">
        <f t="shared" si="13"/>
        <v>0</v>
      </c>
      <c r="K46" s="45">
        <f t="shared" si="13"/>
        <v>0</v>
      </c>
      <c r="L46" s="45">
        <f t="shared" si="13"/>
        <v>0</v>
      </c>
      <c r="M46" s="45">
        <f t="shared" si="13"/>
        <v>0</v>
      </c>
      <c r="N46" s="45">
        <f t="shared" si="13"/>
        <v>0</v>
      </c>
      <c r="O46" s="45">
        <f t="shared" si="13"/>
        <v>0</v>
      </c>
      <c r="P46" s="20">
        <f t="shared" ref="P46" si="15">B46+C46+D46+E46+F46+G46+H46+I46+J46+K46+L46+M46+N46+O46</f>
        <v>-24055.446135999999</v>
      </c>
      <c r="Q46" s="21">
        <f t="shared" si="5"/>
        <v>1.2200000000000001E-2</v>
      </c>
      <c r="S46" s="98">
        <f t="shared" si="0"/>
        <v>-24055.446135999999</v>
      </c>
      <c r="T46" s="98">
        <f t="shared" si="1"/>
        <v>0</v>
      </c>
    </row>
    <row r="47" spans="1:20" x14ac:dyDescent="0.2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4"/>
      <c r="S47" s="98">
        <f t="shared" si="0"/>
        <v>0</v>
      </c>
      <c r="T47" s="98">
        <f t="shared" si="1"/>
        <v>0</v>
      </c>
    </row>
    <row r="48" spans="1:20" x14ac:dyDescent="0.25">
      <c r="A48" s="48" t="s">
        <v>57</v>
      </c>
      <c r="B48" s="49">
        <f t="shared" ref="B48:N48" si="16">B40*5.56%</f>
        <v>-28852.113795999998</v>
      </c>
      <c r="C48" s="49">
        <f t="shared" ref="C48" si="17">C40*5.56%</f>
        <v>-36075.941571999996</v>
      </c>
      <c r="D48" s="49">
        <f t="shared" si="16"/>
        <v>0</v>
      </c>
      <c r="E48" s="49">
        <f t="shared" si="16"/>
        <v>0</v>
      </c>
      <c r="F48" s="49">
        <f t="shared" si="16"/>
        <v>0</v>
      </c>
      <c r="G48" s="49">
        <f t="shared" si="16"/>
        <v>0</v>
      </c>
      <c r="H48" s="49">
        <f>H40*5.56%</f>
        <v>0</v>
      </c>
      <c r="I48" s="49">
        <f t="shared" si="16"/>
        <v>0</v>
      </c>
      <c r="J48" s="49">
        <f t="shared" si="16"/>
        <v>0</v>
      </c>
      <c r="K48" s="49">
        <f t="shared" si="16"/>
        <v>0</v>
      </c>
      <c r="L48" s="49">
        <f t="shared" si="16"/>
        <v>0</v>
      </c>
      <c r="M48" s="49">
        <f t="shared" si="16"/>
        <v>0</v>
      </c>
      <c r="N48" s="49">
        <f t="shared" si="16"/>
        <v>0</v>
      </c>
      <c r="O48" s="49">
        <f>O40*5.56%</f>
        <v>0</v>
      </c>
      <c r="P48" s="20">
        <f t="shared" ref="P48" si="18">B48+C48+D48+E48+F48+G48+H48+I48+J48+K48+L48+M48+N48+O48</f>
        <v>-64928.055367999994</v>
      </c>
      <c r="Q48" s="21">
        <f t="shared" si="5"/>
        <v>3.292902035619099E-2</v>
      </c>
      <c r="S48" s="98">
        <f t="shared" si="0"/>
        <v>-64928.055367999994</v>
      </c>
      <c r="T48" s="98">
        <f t="shared" si="1"/>
        <v>0</v>
      </c>
    </row>
    <row r="49" spans="1:20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4"/>
      <c r="S49" s="98">
        <f t="shared" si="0"/>
        <v>0</v>
      </c>
      <c r="T49" s="98">
        <f t="shared" si="1"/>
        <v>0</v>
      </c>
    </row>
    <row r="50" spans="1:20" x14ac:dyDescent="0.25">
      <c r="A50" s="48" t="s">
        <v>58</v>
      </c>
      <c r="B50" s="49">
        <f t="shared" ref="B50:L50" si="19">B40*0.01%</f>
        <v>-51.892291</v>
      </c>
      <c r="C50" s="49">
        <f t="shared" ref="C50" si="20">C40*0.01%</f>
        <v>-64.884787000000003</v>
      </c>
      <c r="D50" s="49">
        <f t="shared" si="19"/>
        <v>0</v>
      </c>
      <c r="E50" s="49">
        <f t="shared" si="19"/>
        <v>0</v>
      </c>
      <c r="F50" s="49">
        <f t="shared" si="19"/>
        <v>0</v>
      </c>
      <c r="G50" s="49">
        <f t="shared" si="19"/>
        <v>0</v>
      </c>
      <c r="H50" s="49">
        <f t="shared" si="19"/>
        <v>0</v>
      </c>
      <c r="I50" s="49">
        <f t="shared" si="19"/>
        <v>0</v>
      </c>
      <c r="J50" s="49">
        <f t="shared" si="19"/>
        <v>0</v>
      </c>
      <c r="K50" s="49">
        <f t="shared" si="19"/>
        <v>0</v>
      </c>
      <c r="L50" s="49">
        <f t="shared" si="19"/>
        <v>0</v>
      </c>
      <c r="M50" s="49">
        <f>M40*0.01%</f>
        <v>0</v>
      </c>
      <c r="N50" s="49">
        <f t="shared" ref="N50" si="21">N40*0.01%</f>
        <v>0</v>
      </c>
      <c r="O50" s="49">
        <f>O40*0.01%</f>
        <v>0</v>
      </c>
      <c r="P50" s="20">
        <f t="shared" ref="P50" si="22">B50+C50+D50+E50+F50+G50+H50+I50+J50+K50+L50+M50+N50+O50</f>
        <v>-116.777078</v>
      </c>
      <c r="Q50" s="21">
        <f t="shared" si="5"/>
        <v>5.9224856755739203E-5</v>
      </c>
      <c r="S50" s="98">
        <f t="shared" si="0"/>
        <v>-116.777078</v>
      </c>
      <c r="T50" s="98">
        <f t="shared" si="1"/>
        <v>0</v>
      </c>
    </row>
    <row r="51" spans="1:20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4"/>
      <c r="S51" s="98">
        <f t="shared" si="0"/>
        <v>0</v>
      </c>
      <c r="T51" s="98">
        <f t="shared" si="1"/>
        <v>0</v>
      </c>
    </row>
    <row r="52" spans="1:20" x14ac:dyDescent="0.25">
      <c r="A52" s="39" t="s">
        <v>94</v>
      </c>
      <c r="B52" s="58">
        <f t="shared" ref="B52:N52" si="23">B42+B48+B50+B44+B46</f>
        <v>254679.24753800003</v>
      </c>
      <c r="C52" s="58">
        <f t="shared" ref="C52" si="24">C42+C48+C50+C44+C46</f>
        <v>200921.41266</v>
      </c>
      <c r="D52" s="40">
        <f t="shared" si="23"/>
        <v>0</v>
      </c>
      <c r="E52" s="40">
        <f>E42+E48+E50+E44+E46</f>
        <v>0</v>
      </c>
      <c r="F52" s="40">
        <f t="shared" si="23"/>
        <v>0</v>
      </c>
      <c r="G52" s="58">
        <f t="shared" si="23"/>
        <v>0</v>
      </c>
      <c r="H52" s="40">
        <f t="shared" si="23"/>
        <v>0</v>
      </c>
      <c r="I52" s="58">
        <f t="shared" si="23"/>
        <v>0</v>
      </c>
      <c r="J52" s="58">
        <f t="shared" si="23"/>
        <v>0</v>
      </c>
      <c r="K52" s="40">
        <f t="shared" si="23"/>
        <v>0</v>
      </c>
      <c r="L52" s="58">
        <f t="shared" si="23"/>
        <v>0</v>
      </c>
      <c r="M52" s="58">
        <f t="shared" si="23"/>
        <v>0</v>
      </c>
      <c r="N52" s="58">
        <f t="shared" si="23"/>
        <v>0</v>
      </c>
      <c r="O52" s="58">
        <f>O42+O48+O50+O44+O46</f>
        <v>0</v>
      </c>
      <c r="P52" s="155">
        <f t="shared" ref="P52" si="25">B52+C52+D52+E52+F52+G52+H52+I52+J52+K52+L52+M52+N52+O52</f>
        <v>455600.66019800003</v>
      </c>
      <c r="Q52" s="21">
        <f>P52/$P$11</f>
        <v>0.23106318722966132</v>
      </c>
      <c r="S52" s="98">
        <f>SUM(B52:O52)</f>
        <v>455600.66019800003</v>
      </c>
      <c r="T52" s="98">
        <f t="shared" si="1"/>
        <v>0</v>
      </c>
    </row>
    <row r="53" spans="1:20" x14ac:dyDescent="0.2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</row>
    <row r="54" spans="1:20" x14ac:dyDescent="0.25">
      <c r="A54" s="52" t="s">
        <v>35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53"/>
      <c r="Q54" s="50"/>
    </row>
    <row r="55" spans="1:20" x14ac:dyDescent="0.25"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  <row r="56" spans="1:20" x14ac:dyDescent="0.25">
      <c r="A56" s="54" t="s">
        <v>36</v>
      </c>
      <c r="B56" s="50"/>
      <c r="C56" s="50"/>
      <c r="D56" s="10"/>
      <c r="Q56" s="89">
        <v>45688</v>
      </c>
    </row>
    <row r="57" spans="1:20" x14ac:dyDescent="0.25">
      <c r="B57" s="98">
        <f>B11+B40+B44+B46+B48+B50</f>
        <v>254679.24753800003</v>
      </c>
      <c r="C57" s="98">
        <f>C11+C40+C44+C46+C48+C50</f>
        <v>200921.41266</v>
      </c>
      <c r="D57" s="98">
        <f t="shared" ref="D57:O57" si="26">D11+D40+D44+D46+D48+D50</f>
        <v>0</v>
      </c>
      <c r="E57" s="98">
        <f t="shared" si="26"/>
        <v>0</v>
      </c>
      <c r="F57" s="98">
        <f t="shared" si="26"/>
        <v>0</v>
      </c>
      <c r="G57" s="98">
        <f t="shared" si="26"/>
        <v>0</v>
      </c>
      <c r="H57" s="98">
        <f t="shared" si="26"/>
        <v>0</v>
      </c>
      <c r="I57" s="98">
        <f t="shared" si="26"/>
        <v>0</v>
      </c>
      <c r="J57" s="98">
        <f t="shared" si="26"/>
        <v>0</v>
      </c>
      <c r="K57" s="98">
        <f t="shared" si="26"/>
        <v>0</v>
      </c>
      <c r="L57" s="98">
        <f t="shared" si="26"/>
        <v>0</v>
      </c>
      <c r="M57" s="98">
        <f t="shared" si="26"/>
        <v>0</v>
      </c>
      <c r="N57" s="98">
        <f t="shared" si="26"/>
        <v>0</v>
      </c>
      <c r="O57" s="98">
        <f t="shared" si="26"/>
        <v>0</v>
      </c>
      <c r="P57" s="98">
        <f>P11+P40+P44+P46+P48+P50</f>
        <v>455600.66019799962</v>
      </c>
    </row>
    <row r="59" spans="1:20" x14ac:dyDescent="0.25">
      <c r="B59" s="98">
        <f>B52-B57</f>
        <v>0</v>
      </c>
      <c r="C59" s="98">
        <f>C52-C57</f>
        <v>0</v>
      </c>
      <c r="D59" s="98">
        <f t="shared" ref="D59:P59" si="27">D52-D57</f>
        <v>0</v>
      </c>
      <c r="E59" s="98">
        <f t="shared" si="27"/>
        <v>0</v>
      </c>
      <c r="F59" s="98">
        <f t="shared" si="27"/>
        <v>0</v>
      </c>
      <c r="G59" s="98">
        <f t="shared" si="27"/>
        <v>0</v>
      </c>
      <c r="H59" s="98">
        <f t="shared" si="27"/>
        <v>0</v>
      </c>
      <c r="I59" s="98">
        <f t="shared" si="27"/>
        <v>0</v>
      </c>
      <c r="J59" s="98">
        <f t="shared" si="27"/>
        <v>0</v>
      </c>
      <c r="K59" s="98">
        <f t="shared" si="27"/>
        <v>0</v>
      </c>
      <c r="L59" s="98">
        <f t="shared" si="27"/>
        <v>0</v>
      </c>
      <c r="M59" s="98">
        <f t="shared" si="27"/>
        <v>0</v>
      </c>
      <c r="N59" s="98">
        <f t="shared" si="27"/>
        <v>0</v>
      </c>
      <c r="O59" s="98">
        <f t="shared" si="27"/>
        <v>0</v>
      </c>
      <c r="P59" s="98">
        <f t="shared" si="27"/>
        <v>0</v>
      </c>
    </row>
  </sheetData>
  <mergeCells count="3">
    <mergeCell ref="A1:P1"/>
    <mergeCell ref="A3:P3"/>
    <mergeCell ref="A5:P5"/>
  </mergeCells>
  <phoneticPr fontId="12" type="noConversion"/>
  <conditionalFormatting sqref="B52:C52">
    <cfRule type="cellIs" dxfId="127" priority="11" operator="lessThan">
      <formula>0</formula>
    </cfRule>
    <cfRule type="cellIs" dxfId="126" priority="12" operator="greaterThan">
      <formula>0</formula>
    </cfRule>
  </conditionalFormatting>
  <conditionalFormatting sqref="G52">
    <cfRule type="cellIs" dxfId="125" priority="5" operator="lessThan">
      <formula>0</formula>
    </cfRule>
    <cfRule type="cellIs" dxfId="124" priority="6" operator="greaterThan">
      <formula>0</formula>
    </cfRule>
  </conditionalFormatting>
  <conditionalFormatting sqref="I52:J52">
    <cfRule type="cellIs" dxfId="123" priority="3" operator="lessThan">
      <formula>0</formula>
    </cfRule>
    <cfRule type="cellIs" dxfId="122" priority="4" operator="greaterThan">
      <formula>0</formula>
    </cfRule>
  </conditionalFormatting>
  <conditionalFormatting sqref="L52">
    <cfRule type="cellIs" dxfId="121" priority="1" operator="lessThan">
      <formula>0</formula>
    </cfRule>
    <cfRule type="cellIs" dxfId="120" priority="2" operator="greaterThan">
      <formula>0</formula>
    </cfRule>
  </conditionalFormatting>
  <printOptions horizontalCentered="1" verticalCentered="1"/>
  <pageMargins left="0.19685039370078741" right="0" top="0" bottom="0" header="0.31496062992125984" footer="0"/>
  <pageSetup paperSize="9" scale="64" orientation="landscape" r:id="rId1"/>
  <headerFooter>
    <oddHeader>&amp;C&amp;"-,Negrito"&amp;14                                                             BELA NOVA CONSTRUTORA LTDA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V60"/>
  <sheetViews>
    <sheetView zoomScale="85" zoomScaleNormal="85" workbookViewId="0">
      <pane xSplit="1" topLeftCell="B1" activePane="topRight" state="frozen"/>
      <selection pane="topRight" activeCell="A6" sqref="A6"/>
    </sheetView>
  </sheetViews>
  <sheetFormatPr defaultRowHeight="15" x14ac:dyDescent="0.25"/>
  <cols>
    <col min="1" max="1" width="49.140625" customWidth="1"/>
    <col min="2" max="2" width="18.28515625" bestFit="1" customWidth="1"/>
    <col min="3" max="4" width="18.28515625" customWidth="1"/>
    <col min="5" max="5" width="15.140625" customWidth="1"/>
    <col min="6" max="6" width="16.28515625" hidden="1" customWidth="1"/>
    <col min="7" max="8" width="15" hidden="1" customWidth="1"/>
    <col min="9" max="9" width="17.5703125" hidden="1" customWidth="1"/>
    <col min="10" max="10" width="17.140625" hidden="1" customWidth="1"/>
    <col min="11" max="11" width="16.5703125" hidden="1" customWidth="1"/>
    <col min="12" max="12" width="16" hidden="1" customWidth="1"/>
    <col min="13" max="13" width="16.140625" hidden="1" customWidth="1"/>
    <col min="14" max="14" width="14.7109375" hidden="1" customWidth="1"/>
    <col min="15" max="15" width="16.85546875" hidden="1" customWidth="1"/>
    <col min="16" max="16" width="16.7109375" hidden="1" customWidth="1"/>
    <col min="17" max="17" width="18" bestFit="1" customWidth="1"/>
    <col min="18" max="18" width="11.7109375" customWidth="1"/>
    <col min="19" max="19" width="2.7109375" customWidth="1"/>
    <col min="20" max="20" width="15.85546875" bestFit="1" customWidth="1"/>
    <col min="21" max="21" width="14.28515625" bestFit="1" customWidth="1"/>
    <col min="22" max="22" width="14.42578125" bestFit="1" customWidth="1"/>
  </cols>
  <sheetData>
    <row r="1" spans="1:22" ht="15.75" customHeight="1" x14ac:dyDescent="0.25">
      <c r="A1" s="209" t="s">
        <v>193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</row>
    <row r="2" spans="1:22" ht="15.75" x14ac:dyDescent="0.25">
      <c r="A2" s="71"/>
      <c r="B2" s="71"/>
      <c r="C2" s="71"/>
      <c r="D2" s="71"/>
      <c r="E2" s="10"/>
    </row>
    <row r="3" spans="1:22" ht="15.75" customHeight="1" x14ac:dyDescent="0.25">
      <c r="A3" s="209" t="s">
        <v>194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</row>
    <row r="4" spans="1:22" ht="15.75" x14ac:dyDescent="0.25">
      <c r="A4" s="71"/>
      <c r="B4" s="71"/>
      <c r="C4" s="71"/>
      <c r="D4" s="71"/>
      <c r="E4" s="10"/>
    </row>
    <row r="5" spans="1:22" ht="15.75" customHeight="1" x14ac:dyDescent="0.25">
      <c r="A5" s="209" t="s">
        <v>339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</row>
    <row r="6" spans="1:22" x14ac:dyDescent="0.25">
      <c r="A6" s="10"/>
      <c r="B6" s="10"/>
      <c r="C6" s="10"/>
      <c r="D6" s="10"/>
      <c r="E6" s="10"/>
    </row>
    <row r="7" spans="1:22" x14ac:dyDescent="0.25">
      <c r="A7" s="12"/>
      <c r="B7" s="60" t="s">
        <v>135</v>
      </c>
      <c r="C7" s="60" t="s">
        <v>221</v>
      </c>
      <c r="D7" s="60" t="s">
        <v>303</v>
      </c>
      <c r="E7" s="60" t="s">
        <v>304</v>
      </c>
      <c r="F7" s="60" t="s">
        <v>305</v>
      </c>
      <c r="G7" s="60" t="s">
        <v>306</v>
      </c>
      <c r="H7" s="60" t="s">
        <v>307</v>
      </c>
      <c r="I7" s="60" t="s">
        <v>308</v>
      </c>
      <c r="J7" s="60" t="s">
        <v>309</v>
      </c>
      <c r="K7" s="60" t="s">
        <v>310</v>
      </c>
      <c r="L7" s="60" t="s">
        <v>311</v>
      </c>
      <c r="M7" s="60" t="s">
        <v>312</v>
      </c>
      <c r="N7" s="60" t="s">
        <v>313</v>
      </c>
      <c r="O7" s="60" t="s">
        <v>314</v>
      </c>
      <c r="P7" s="60" t="s">
        <v>225</v>
      </c>
      <c r="Q7" s="13" t="s">
        <v>1</v>
      </c>
      <c r="R7" s="14" t="s">
        <v>2</v>
      </c>
      <c r="V7" s="175">
        <v>2025</v>
      </c>
    </row>
    <row r="8" spans="1:22" x14ac:dyDescent="0.25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7"/>
      <c r="R8" s="18"/>
    </row>
    <row r="9" spans="1:22" x14ac:dyDescent="0.25">
      <c r="A9" s="78" t="s">
        <v>4</v>
      </c>
      <c r="B9" s="19">
        <v>552589.4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20">
        <f>SUM(B9:P9)</f>
        <v>552589.4</v>
      </c>
      <c r="R9" s="21">
        <v>1</v>
      </c>
      <c r="T9" s="98">
        <f>SUM(B9:P9)</f>
        <v>552589.4</v>
      </c>
      <c r="U9" s="98">
        <f>Q9-T9</f>
        <v>0</v>
      </c>
      <c r="V9" s="98">
        <f>Q9-B9-C9</f>
        <v>0</v>
      </c>
    </row>
    <row r="10" spans="1:22" x14ac:dyDescent="0.25">
      <c r="A10" s="15" t="s">
        <v>5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20">
        <f>SUM(B10:P10)</f>
        <v>0</v>
      </c>
      <c r="R10" s="21"/>
      <c r="T10" s="98">
        <f t="shared" ref="T10:T51" si="0">SUM(B10:P10)</f>
        <v>0</v>
      </c>
      <c r="U10" s="98">
        <f t="shared" ref="U10:U52" si="1">Q10-T10</f>
        <v>0</v>
      </c>
      <c r="V10" s="98">
        <f t="shared" ref="V10:V52" si="2">Q10-B10-C10</f>
        <v>0</v>
      </c>
    </row>
    <row r="11" spans="1:22" x14ac:dyDescent="0.25">
      <c r="A11" s="23" t="s">
        <v>6</v>
      </c>
      <c r="B11" s="24">
        <f t="shared" ref="B11:G11" si="3">SUM(B9:B10)</f>
        <v>552589.4</v>
      </c>
      <c r="C11" s="24">
        <f t="shared" si="3"/>
        <v>0</v>
      </c>
      <c r="D11" s="24">
        <f t="shared" si="3"/>
        <v>0</v>
      </c>
      <c r="E11" s="24">
        <f t="shared" si="3"/>
        <v>0</v>
      </c>
      <c r="F11" s="24">
        <f t="shared" si="3"/>
        <v>0</v>
      </c>
      <c r="G11" s="24">
        <f t="shared" si="3"/>
        <v>0</v>
      </c>
      <c r="H11" s="24">
        <f t="shared" ref="H11:P11" si="4">SUM(H9:H10)</f>
        <v>0</v>
      </c>
      <c r="I11" s="24">
        <f t="shared" si="4"/>
        <v>0</v>
      </c>
      <c r="J11" s="24">
        <f t="shared" si="4"/>
        <v>0</v>
      </c>
      <c r="K11" s="24">
        <f t="shared" si="4"/>
        <v>0</v>
      </c>
      <c r="L11" s="24">
        <f t="shared" si="4"/>
        <v>0</v>
      </c>
      <c r="M11" s="24">
        <f t="shared" si="4"/>
        <v>0</v>
      </c>
      <c r="N11" s="24">
        <f t="shared" si="4"/>
        <v>0</v>
      </c>
      <c r="O11" s="24">
        <f t="shared" si="4"/>
        <v>0</v>
      </c>
      <c r="P11" s="24">
        <f t="shared" si="4"/>
        <v>0</v>
      </c>
      <c r="Q11" s="24">
        <f>SUM(Q9:Q10)</f>
        <v>552589.4</v>
      </c>
      <c r="R11" s="21">
        <v>1</v>
      </c>
      <c r="T11" s="98">
        <f>SUM(B11:P11)</f>
        <v>552589.4</v>
      </c>
      <c r="U11" s="98">
        <f t="shared" si="1"/>
        <v>0</v>
      </c>
      <c r="V11" s="98">
        <f t="shared" si="2"/>
        <v>0</v>
      </c>
    </row>
    <row r="12" spans="1:22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28"/>
      <c r="T12" s="98">
        <f t="shared" si="0"/>
        <v>0</v>
      </c>
      <c r="U12" s="98"/>
      <c r="V12" s="98">
        <f t="shared" si="2"/>
        <v>0</v>
      </c>
    </row>
    <row r="13" spans="1:22" x14ac:dyDescent="0.25">
      <c r="A13" s="29" t="s">
        <v>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30"/>
      <c r="R13" s="31"/>
      <c r="T13" s="98">
        <f t="shared" si="0"/>
        <v>0</v>
      </c>
      <c r="U13" s="98"/>
      <c r="V13" s="98">
        <f t="shared" si="2"/>
        <v>0</v>
      </c>
    </row>
    <row r="14" spans="1:22" x14ac:dyDescent="0.25">
      <c r="A14" s="15" t="s">
        <v>8</v>
      </c>
      <c r="B14" s="32">
        <v>-25268.87</v>
      </c>
      <c r="C14" s="32">
        <v>-71280.52</v>
      </c>
      <c r="D14" s="32">
        <v>-21726.86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20">
        <f t="shared" ref="Q14:Q39" si="5">SUM(B14:P14)</f>
        <v>-118276.25</v>
      </c>
      <c r="R14" s="21">
        <f>-Q14/$Q$11</f>
        <v>0.21404002682642845</v>
      </c>
      <c r="T14" s="98">
        <f t="shared" si="0"/>
        <v>-118276.25</v>
      </c>
      <c r="U14" s="98">
        <f t="shared" si="1"/>
        <v>0</v>
      </c>
      <c r="V14" s="98">
        <f t="shared" si="2"/>
        <v>-21726.86</v>
      </c>
    </row>
    <row r="15" spans="1:22" x14ac:dyDescent="0.25">
      <c r="A15" s="33" t="s">
        <v>9</v>
      </c>
      <c r="B15" s="32">
        <v>0</v>
      </c>
      <c r="C15" s="32">
        <v>0</v>
      </c>
      <c r="D15" s="32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20">
        <f t="shared" si="5"/>
        <v>0</v>
      </c>
      <c r="R15" s="21">
        <f t="shared" ref="R15:R50" si="6">-Q15/$Q$11</f>
        <v>0</v>
      </c>
      <c r="T15" s="98">
        <f t="shared" si="0"/>
        <v>0</v>
      </c>
      <c r="U15" s="98">
        <f t="shared" si="1"/>
        <v>0</v>
      </c>
      <c r="V15" s="98">
        <f t="shared" si="2"/>
        <v>0</v>
      </c>
    </row>
    <row r="16" spans="1:22" x14ac:dyDescent="0.25">
      <c r="A16" s="15" t="s">
        <v>10</v>
      </c>
      <c r="B16" s="32">
        <v>0</v>
      </c>
      <c r="C16" s="32">
        <v>0</v>
      </c>
      <c r="D16" s="32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20">
        <f t="shared" si="5"/>
        <v>0</v>
      </c>
      <c r="R16" s="21">
        <f t="shared" si="6"/>
        <v>0</v>
      </c>
      <c r="T16" s="98">
        <f t="shared" si="0"/>
        <v>0</v>
      </c>
      <c r="U16" s="98">
        <f t="shared" si="1"/>
        <v>0</v>
      </c>
      <c r="V16" s="98">
        <f t="shared" si="2"/>
        <v>0</v>
      </c>
    </row>
    <row r="17" spans="1:22" x14ac:dyDescent="0.25">
      <c r="A17" s="33" t="s">
        <v>11</v>
      </c>
      <c r="B17" s="32">
        <v>-1474.06</v>
      </c>
      <c r="C17" s="32">
        <v>-632.44000000000005</v>
      </c>
      <c r="D17" s="32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20">
        <f t="shared" si="5"/>
        <v>-2106.5</v>
      </c>
      <c r="R17" s="21">
        <f t="shared" si="6"/>
        <v>3.8120528551579165E-3</v>
      </c>
      <c r="T17" s="98">
        <f t="shared" si="0"/>
        <v>-2106.5</v>
      </c>
      <c r="U17" s="98">
        <f t="shared" si="1"/>
        <v>0</v>
      </c>
      <c r="V17" s="98">
        <f t="shared" si="2"/>
        <v>0</v>
      </c>
    </row>
    <row r="18" spans="1:22" x14ac:dyDescent="0.25">
      <c r="A18" s="15" t="s">
        <v>12</v>
      </c>
      <c r="B18" s="32">
        <v>-20520.77</v>
      </c>
      <c r="C18" s="32">
        <v>-55066.43</v>
      </c>
      <c r="D18" s="32">
        <v>-13635.72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20">
        <f t="shared" si="5"/>
        <v>-89222.92</v>
      </c>
      <c r="R18" s="21">
        <f t="shared" si="6"/>
        <v>0.16146332159104029</v>
      </c>
      <c r="T18" s="98">
        <f t="shared" si="0"/>
        <v>-89222.92</v>
      </c>
      <c r="U18" s="98">
        <f t="shared" si="1"/>
        <v>0</v>
      </c>
      <c r="V18" s="98">
        <f t="shared" si="2"/>
        <v>-13635.719999999994</v>
      </c>
    </row>
    <row r="19" spans="1:22" x14ac:dyDescent="0.25">
      <c r="A19" s="15" t="s">
        <v>13</v>
      </c>
      <c r="B19" s="32">
        <v>-12181.97</v>
      </c>
      <c r="C19" s="32">
        <v>-39106.239999999998</v>
      </c>
      <c r="D19" s="32">
        <v>-9845.7800000000007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20">
        <f t="shared" si="5"/>
        <v>-61133.99</v>
      </c>
      <c r="R19" s="21">
        <f t="shared" si="6"/>
        <v>0.11063185432076691</v>
      </c>
      <c r="T19" s="98">
        <f t="shared" si="0"/>
        <v>-61133.99</v>
      </c>
      <c r="U19" s="98">
        <f t="shared" si="1"/>
        <v>0</v>
      </c>
      <c r="V19" s="98">
        <f t="shared" si="2"/>
        <v>-9845.7799999999988</v>
      </c>
    </row>
    <row r="20" spans="1:22" x14ac:dyDescent="0.25">
      <c r="A20" s="15" t="s">
        <v>14</v>
      </c>
      <c r="B20" s="32">
        <v>-18695.849999999999</v>
      </c>
      <c r="C20" s="32">
        <v>-38384.870000000003</v>
      </c>
      <c r="D20" s="32">
        <v>-4033.32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20">
        <f t="shared" si="5"/>
        <v>-61114.04</v>
      </c>
      <c r="R20" s="21">
        <f t="shared" si="6"/>
        <v>0.11059575156526709</v>
      </c>
      <c r="T20" s="98">
        <f t="shared" si="0"/>
        <v>-61114.04</v>
      </c>
      <c r="U20" s="98">
        <f t="shared" si="1"/>
        <v>0</v>
      </c>
      <c r="V20" s="98">
        <f t="shared" si="2"/>
        <v>-4033.3199999999997</v>
      </c>
    </row>
    <row r="21" spans="1:22" x14ac:dyDescent="0.25">
      <c r="A21" s="15" t="s">
        <v>15</v>
      </c>
      <c r="B21" s="32">
        <v>-329.5</v>
      </c>
      <c r="C21" s="32">
        <v>-2206.44</v>
      </c>
      <c r="D21" s="32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20">
        <f t="shared" si="5"/>
        <v>-2535.94</v>
      </c>
      <c r="R21" s="21">
        <f t="shared" si="6"/>
        <v>4.5891940742982043E-3</v>
      </c>
      <c r="T21" s="98">
        <f t="shared" si="0"/>
        <v>-2535.94</v>
      </c>
      <c r="U21" s="98">
        <f t="shared" si="1"/>
        <v>0</v>
      </c>
      <c r="V21" s="98">
        <f t="shared" si="2"/>
        <v>0</v>
      </c>
    </row>
    <row r="22" spans="1:22" x14ac:dyDescent="0.25">
      <c r="A22" s="15" t="s">
        <v>16</v>
      </c>
      <c r="B22" s="32">
        <v>0</v>
      </c>
      <c r="C22" s="32">
        <v>-2200</v>
      </c>
      <c r="D22" s="32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20">
        <f t="shared" si="5"/>
        <v>-2200</v>
      </c>
      <c r="R22" s="21">
        <f t="shared" si="6"/>
        <v>3.9812562455957354E-3</v>
      </c>
      <c r="T22" s="98">
        <f t="shared" si="0"/>
        <v>-2200</v>
      </c>
      <c r="U22" s="98">
        <f t="shared" si="1"/>
        <v>0</v>
      </c>
      <c r="V22" s="98">
        <f t="shared" si="2"/>
        <v>0</v>
      </c>
    </row>
    <row r="23" spans="1:22" x14ac:dyDescent="0.25">
      <c r="A23" s="15" t="s">
        <v>17</v>
      </c>
      <c r="B23" s="32">
        <v>-14623.16</v>
      </c>
      <c r="C23" s="32">
        <v>-41635.24</v>
      </c>
      <c r="D23" s="32">
        <v>-17012.38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20">
        <f t="shared" si="5"/>
        <v>-73270.78</v>
      </c>
      <c r="R23" s="21">
        <f t="shared" si="6"/>
        <v>0.13259534113394139</v>
      </c>
      <c r="T23" s="98">
        <f t="shared" si="0"/>
        <v>-73270.78</v>
      </c>
      <c r="U23" s="98">
        <f t="shared" si="1"/>
        <v>0</v>
      </c>
      <c r="V23" s="98">
        <f t="shared" si="2"/>
        <v>-17012.379999999997</v>
      </c>
    </row>
    <row r="24" spans="1:22" x14ac:dyDescent="0.25">
      <c r="A24" s="15" t="s">
        <v>18</v>
      </c>
      <c r="B24" s="32">
        <v>0</v>
      </c>
      <c r="C24" s="32">
        <v>0</v>
      </c>
      <c r="D24" s="32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20">
        <f t="shared" si="5"/>
        <v>0</v>
      </c>
      <c r="R24" s="21">
        <f t="shared" si="6"/>
        <v>0</v>
      </c>
      <c r="T24" s="98">
        <f t="shared" si="0"/>
        <v>0</v>
      </c>
      <c r="U24" s="98">
        <f t="shared" si="1"/>
        <v>0</v>
      </c>
      <c r="V24" s="98">
        <f t="shared" si="2"/>
        <v>0</v>
      </c>
    </row>
    <row r="25" spans="1:22" x14ac:dyDescent="0.25">
      <c r="A25" s="15" t="s">
        <v>19</v>
      </c>
      <c r="B25" s="32">
        <v>0</v>
      </c>
      <c r="C25" s="32">
        <v>0</v>
      </c>
      <c r="D25" s="32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20">
        <f t="shared" si="5"/>
        <v>0</v>
      </c>
      <c r="R25" s="21">
        <f t="shared" si="6"/>
        <v>0</v>
      </c>
      <c r="T25" s="98">
        <f t="shared" si="0"/>
        <v>0</v>
      </c>
      <c r="U25" s="98">
        <f t="shared" si="1"/>
        <v>0</v>
      </c>
      <c r="V25" s="98">
        <f t="shared" si="2"/>
        <v>0</v>
      </c>
    </row>
    <row r="26" spans="1:22" x14ac:dyDescent="0.25">
      <c r="A26" s="15" t="s">
        <v>20</v>
      </c>
      <c r="B26" s="32">
        <v>0</v>
      </c>
      <c r="C26" s="32">
        <v>0</v>
      </c>
      <c r="D26" s="32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20">
        <f t="shared" si="5"/>
        <v>0</v>
      </c>
      <c r="R26" s="21">
        <f t="shared" si="6"/>
        <v>0</v>
      </c>
      <c r="T26" s="98">
        <f t="shared" si="0"/>
        <v>0</v>
      </c>
      <c r="U26" s="98">
        <f t="shared" si="1"/>
        <v>0</v>
      </c>
      <c r="V26" s="98">
        <f t="shared" si="2"/>
        <v>0</v>
      </c>
    </row>
    <row r="27" spans="1:22" x14ac:dyDescent="0.25">
      <c r="A27" s="15" t="s">
        <v>59</v>
      </c>
      <c r="B27" s="32">
        <v>0</v>
      </c>
      <c r="C27" s="32">
        <v>0</v>
      </c>
      <c r="D27" s="32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20">
        <f t="shared" si="5"/>
        <v>0</v>
      </c>
      <c r="R27" s="21">
        <f t="shared" si="6"/>
        <v>0</v>
      </c>
      <c r="T27" s="98">
        <f t="shared" si="0"/>
        <v>0</v>
      </c>
      <c r="U27" s="98">
        <f t="shared" si="1"/>
        <v>0</v>
      </c>
      <c r="V27" s="98">
        <f t="shared" si="2"/>
        <v>0</v>
      </c>
    </row>
    <row r="28" spans="1:22" x14ac:dyDescent="0.25">
      <c r="A28" s="15" t="s">
        <v>21</v>
      </c>
      <c r="B28" s="32">
        <v>-3015</v>
      </c>
      <c r="C28" s="32">
        <v>-3645</v>
      </c>
      <c r="D28" s="32">
        <v>-3335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20">
        <f t="shared" si="5"/>
        <v>-9995</v>
      </c>
      <c r="R28" s="21">
        <f t="shared" si="6"/>
        <v>1.8087570988513352E-2</v>
      </c>
      <c r="T28" s="98">
        <f t="shared" si="0"/>
        <v>-9995</v>
      </c>
      <c r="U28" s="98">
        <f t="shared" si="1"/>
        <v>0</v>
      </c>
      <c r="V28" s="98">
        <f t="shared" si="2"/>
        <v>-3335</v>
      </c>
    </row>
    <row r="29" spans="1:22" x14ac:dyDescent="0.25">
      <c r="A29" s="15" t="s">
        <v>22</v>
      </c>
      <c r="B29" s="32">
        <v>0</v>
      </c>
      <c r="C29" s="32">
        <v>0</v>
      </c>
      <c r="D29" s="32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20">
        <f t="shared" si="5"/>
        <v>0</v>
      </c>
      <c r="R29" s="21">
        <f t="shared" si="6"/>
        <v>0</v>
      </c>
      <c r="T29" s="98">
        <f t="shared" si="0"/>
        <v>0</v>
      </c>
      <c r="U29" s="98">
        <f t="shared" si="1"/>
        <v>0</v>
      </c>
      <c r="V29" s="98">
        <f t="shared" si="2"/>
        <v>0</v>
      </c>
    </row>
    <row r="30" spans="1:22" x14ac:dyDescent="0.25">
      <c r="A30" s="33" t="s">
        <v>23</v>
      </c>
      <c r="B30" s="32">
        <v>-378.54</v>
      </c>
      <c r="C30" s="32">
        <v>-167.84</v>
      </c>
      <c r="D30" s="32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20">
        <f t="shared" si="5"/>
        <v>-546.38</v>
      </c>
      <c r="R30" s="21">
        <f t="shared" si="6"/>
        <v>9.8876308521299891E-4</v>
      </c>
      <c r="T30" s="98">
        <f t="shared" si="0"/>
        <v>-546.38</v>
      </c>
      <c r="U30" s="98">
        <f t="shared" si="1"/>
        <v>0</v>
      </c>
      <c r="V30" s="98">
        <f t="shared" si="2"/>
        <v>0</v>
      </c>
    </row>
    <row r="31" spans="1:22" x14ac:dyDescent="0.25">
      <c r="A31" s="15" t="s">
        <v>24</v>
      </c>
      <c r="B31" s="32">
        <v>-23053.74</v>
      </c>
      <c r="C31" s="32">
        <v>-192677.51</v>
      </c>
      <c r="D31" s="32">
        <v>-73055.22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20">
        <f t="shared" si="5"/>
        <v>-288786.46999999997</v>
      </c>
      <c r="R31" s="21">
        <f t="shared" si="6"/>
        <v>0.52260588060502056</v>
      </c>
      <c r="T31" s="98">
        <f t="shared" si="0"/>
        <v>-288786.46999999997</v>
      </c>
      <c r="U31" s="98">
        <f t="shared" si="1"/>
        <v>0</v>
      </c>
      <c r="V31" s="98">
        <f t="shared" si="2"/>
        <v>-73055.219999999972</v>
      </c>
    </row>
    <row r="32" spans="1:22" x14ac:dyDescent="0.25">
      <c r="A32" s="34" t="s">
        <v>25</v>
      </c>
      <c r="B32" s="32">
        <v>-137363.23000000001</v>
      </c>
      <c r="C32" s="32">
        <v>-369491.8</v>
      </c>
      <c r="D32" s="32">
        <v>-90953.43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20">
        <f t="shared" si="5"/>
        <v>-597808.46</v>
      </c>
      <c r="R32" s="21">
        <f t="shared" si="6"/>
        <v>1.0818312113840765</v>
      </c>
      <c r="T32" s="98">
        <f t="shared" si="0"/>
        <v>-597808.46</v>
      </c>
      <c r="U32" s="98">
        <f t="shared" si="1"/>
        <v>0</v>
      </c>
      <c r="V32" s="98">
        <f t="shared" si="2"/>
        <v>-90953.43</v>
      </c>
    </row>
    <row r="33" spans="1:22" x14ac:dyDescent="0.25">
      <c r="A33" s="15" t="s">
        <v>26</v>
      </c>
      <c r="B33" s="32">
        <v>0</v>
      </c>
      <c r="C33" s="32">
        <v>-300</v>
      </c>
      <c r="D33" s="32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20">
        <f t="shared" si="5"/>
        <v>-300</v>
      </c>
      <c r="R33" s="21">
        <f t="shared" si="6"/>
        <v>5.4289857894487294E-4</v>
      </c>
      <c r="T33" s="98">
        <f t="shared" si="0"/>
        <v>-300</v>
      </c>
      <c r="U33" s="98">
        <f t="shared" si="1"/>
        <v>0</v>
      </c>
      <c r="V33" s="98">
        <f t="shared" si="2"/>
        <v>0</v>
      </c>
    </row>
    <row r="34" spans="1:22" x14ac:dyDescent="0.25">
      <c r="A34" s="15" t="s">
        <v>27</v>
      </c>
      <c r="B34" s="32">
        <v>0</v>
      </c>
      <c r="C34" s="32">
        <v>0</v>
      </c>
      <c r="D34" s="32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20">
        <f t="shared" si="5"/>
        <v>0</v>
      </c>
      <c r="R34" s="21">
        <f t="shared" si="6"/>
        <v>0</v>
      </c>
      <c r="T34" s="98">
        <f t="shared" si="0"/>
        <v>0</v>
      </c>
      <c r="U34" s="98">
        <f t="shared" si="1"/>
        <v>0</v>
      </c>
      <c r="V34" s="98">
        <f t="shared" si="2"/>
        <v>0</v>
      </c>
    </row>
    <row r="35" spans="1:22" x14ac:dyDescent="0.25">
      <c r="A35" s="33" t="s">
        <v>28</v>
      </c>
      <c r="B35" s="32">
        <v>-4008.7</v>
      </c>
      <c r="C35" s="32">
        <v>-4254.07</v>
      </c>
      <c r="D35" s="32">
        <v>-250.19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20">
        <f t="shared" si="5"/>
        <v>-8512.9600000000009</v>
      </c>
      <c r="R35" s="21">
        <f t="shared" si="6"/>
        <v>1.5405579622048488E-2</v>
      </c>
      <c r="T35" s="98">
        <f t="shared" si="0"/>
        <v>-8512.9600000000009</v>
      </c>
      <c r="U35" s="98">
        <f t="shared" si="1"/>
        <v>0</v>
      </c>
      <c r="V35" s="98">
        <f t="shared" si="2"/>
        <v>-250.19000000000142</v>
      </c>
    </row>
    <row r="36" spans="1:22" x14ac:dyDescent="0.25">
      <c r="A36" s="15" t="s">
        <v>29</v>
      </c>
      <c r="B36" s="32">
        <v>-10612.58</v>
      </c>
      <c r="C36" s="32">
        <v>-31575.98</v>
      </c>
      <c r="D36" s="32">
        <v>-12456.73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20">
        <f t="shared" si="5"/>
        <v>-54645.289999999994</v>
      </c>
      <c r="R36" s="21">
        <f t="shared" si="6"/>
        <v>9.8889500956768253E-2</v>
      </c>
      <c r="T36" s="98">
        <f t="shared" si="0"/>
        <v>-54645.289999999994</v>
      </c>
      <c r="U36" s="98">
        <f t="shared" si="1"/>
        <v>0</v>
      </c>
      <c r="V36" s="98">
        <f t="shared" si="2"/>
        <v>-12456.729999999992</v>
      </c>
    </row>
    <row r="37" spans="1:22" x14ac:dyDescent="0.25">
      <c r="A37" s="15" t="s">
        <v>276</v>
      </c>
      <c r="B37" s="32">
        <v>-12311.1</v>
      </c>
      <c r="C37" s="32">
        <v>-32943.79</v>
      </c>
      <c r="D37" s="32">
        <v>-10578.28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20">
        <f t="shared" si="5"/>
        <v>-55833.17</v>
      </c>
      <c r="R37" s="21">
        <f t="shared" si="6"/>
        <v>0.10103916216995837</v>
      </c>
      <c r="T37" s="98">
        <f t="shared" si="0"/>
        <v>-55833.17</v>
      </c>
      <c r="U37" s="98">
        <f t="shared" si="1"/>
        <v>0</v>
      </c>
      <c r="V37" s="98">
        <f t="shared" si="2"/>
        <v>-10578.279999999999</v>
      </c>
    </row>
    <row r="38" spans="1:22" x14ac:dyDescent="0.25">
      <c r="A38" s="15" t="s">
        <v>97</v>
      </c>
      <c r="B38" s="32">
        <v>0</v>
      </c>
      <c r="C38" s="32">
        <v>0</v>
      </c>
      <c r="D38" s="32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20">
        <f t="shared" si="5"/>
        <v>0</v>
      </c>
      <c r="R38" s="21">
        <f t="shared" si="6"/>
        <v>0</v>
      </c>
      <c r="T38" s="98">
        <f t="shared" si="0"/>
        <v>0</v>
      </c>
      <c r="U38" s="98">
        <f t="shared" si="1"/>
        <v>0</v>
      </c>
      <c r="V38" s="98">
        <f t="shared" si="2"/>
        <v>0</v>
      </c>
    </row>
    <row r="39" spans="1:22" x14ac:dyDescent="0.25">
      <c r="A39" s="15" t="s">
        <v>114</v>
      </c>
      <c r="B39" s="32">
        <v>0</v>
      </c>
      <c r="C39" s="32">
        <v>0</v>
      </c>
      <c r="D39" s="32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20">
        <f t="shared" si="5"/>
        <v>0</v>
      </c>
      <c r="R39" s="21">
        <f t="shared" si="6"/>
        <v>0</v>
      </c>
      <c r="T39" s="98">
        <f t="shared" si="0"/>
        <v>0</v>
      </c>
      <c r="U39" s="98">
        <f t="shared" si="1"/>
        <v>0</v>
      </c>
      <c r="V39" s="98">
        <f t="shared" si="2"/>
        <v>0</v>
      </c>
    </row>
    <row r="40" spans="1:22" x14ac:dyDescent="0.25">
      <c r="A40" s="35" t="s">
        <v>31</v>
      </c>
      <c r="B40" s="36">
        <f>SUM(B14:B39)</f>
        <v>-283837.07</v>
      </c>
      <c r="C40" s="36">
        <f>SUM(C14:C39)</f>
        <v>-885568.17</v>
      </c>
      <c r="D40" s="36">
        <f>SUM(D14:D39)</f>
        <v>-256882.91</v>
      </c>
      <c r="E40" s="36">
        <f t="shared" ref="E40:P40" si="7">SUM(E14:E39)</f>
        <v>0</v>
      </c>
      <c r="F40" s="36">
        <f t="shared" si="7"/>
        <v>0</v>
      </c>
      <c r="G40" s="36">
        <f t="shared" si="7"/>
        <v>0</v>
      </c>
      <c r="H40" s="36">
        <f t="shared" si="7"/>
        <v>0</v>
      </c>
      <c r="I40" s="36">
        <f t="shared" si="7"/>
        <v>0</v>
      </c>
      <c r="J40" s="36">
        <f t="shared" si="7"/>
        <v>0</v>
      </c>
      <c r="K40" s="36">
        <f t="shared" si="7"/>
        <v>0</v>
      </c>
      <c r="L40" s="36">
        <f t="shared" si="7"/>
        <v>0</v>
      </c>
      <c r="M40" s="36">
        <f t="shared" si="7"/>
        <v>0</v>
      </c>
      <c r="N40" s="36">
        <f t="shared" si="7"/>
        <v>0</v>
      </c>
      <c r="O40" s="36">
        <f t="shared" si="7"/>
        <v>0</v>
      </c>
      <c r="P40" s="36">
        <f t="shared" si="7"/>
        <v>0</v>
      </c>
      <c r="Q40" s="36">
        <f>SUM(Q14:Q39)</f>
        <v>-1426288.15</v>
      </c>
      <c r="R40" s="21">
        <f t="shared" si="6"/>
        <v>2.581099366003039</v>
      </c>
      <c r="T40" s="98">
        <f t="shared" si="0"/>
        <v>-1426288.15</v>
      </c>
      <c r="U40" s="98">
        <f t="shared" si="1"/>
        <v>0</v>
      </c>
      <c r="V40" s="98">
        <f t="shared" si="2"/>
        <v>-256882.9099999998</v>
      </c>
    </row>
    <row r="41" spans="1:22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18"/>
      <c r="T41" s="98">
        <f t="shared" si="0"/>
        <v>0</v>
      </c>
      <c r="U41" s="98">
        <f t="shared" si="1"/>
        <v>0</v>
      </c>
      <c r="V41" s="98">
        <f t="shared" si="2"/>
        <v>0</v>
      </c>
    </row>
    <row r="42" spans="1:22" x14ac:dyDescent="0.25">
      <c r="A42" s="39" t="s">
        <v>32</v>
      </c>
      <c r="B42" s="40">
        <f>B11+B40</f>
        <v>268752.33</v>
      </c>
      <c r="C42" s="58">
        <f t="shared" ref="C42:P42" si="8">C11+C40</f>
        <v>-885568.17</v>
      </c>
      <c r="D42" s="58">
        <f t="shared" ref="D42" si="9">D11+D40</f>
        <v>-256882.91</v>
      </c>
      <c r="E42" s="58">
        <f t="shared" si="8"/>
        <v>0</v>
      </c>
      <c r="F42" s="58">
        <f t="shared" si="8"/>
        <v>0</v>
      </c>
      <c r="G42" s="58">
        <f t="shared" si="8"/>
        <v>0</v>
      </c>
      <c r="H42" s="58">
        <f t="shared" si="8"/>
        <v>0</v>
      </c>
      <c r="I42" s="58">
        <f t="shared" si="8"/>
        <v>0</v>
      </c>
      <c r="J42" s="58">
        <f t="shared" si="8"/>
        <v>0</v>
      </c>
      <c r="K42" s="58">
        <f t="shared" si="8"/>
        <v>0</v>
      </c>
      <c r="L42" s="58">
        <f t="shared" si="8"/>
        <v>0</v>
      </c>
      <c r="M42" s="58">
        <f t="shared" si="8"/>
        <v>0</v>
      </c>
      <c r="N42" s="58">
        <f t="shared" si="8"/>
        <v>0</v>
      </c>
      <c r="O42" s="58">
        <f t="shared" si="8"/>
        <v>0</v>
      </c>
      <c r="P42" s="58">
        <f t="shared" si="8"/>
        <v>0</v>
      </c>
      <c r="Q42" s="154">
        <f>SUM(B42:P42)</f>
        <v>-873698.75000000012</v>
      </c>
      <c r="R42" s="21">
        <f>-Q42/$Q$11</f>
        <v>1.5810993660030397</v>
      </c>
      <c r="T42" s="98">
        <f t="shared" si="0"/>
        <v>-873698.75000000012</v>
      </c>
      <c r="U42" s="98">
        <f t="shared" si="1"/>
        <v>0</v>
      </c>
      <c r="V42" s="98">
        <f t="shared" si="2"/>
        <v>-256882.91000000003</v>
      </c>
    </row>
    <row r="43" spans="1:22" x14ac:dyDescent="0.25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4"/>
      <c r="T43" s="98">
        <f t="shared" si="0"/>
        <v>0</v>
      </c>
      <c r="U43" s="98">
        <f t="shared" si="1"/>
        <v>0</v>
      </c>
      <c r="V43" s="98">
        <f t="shared" si="2"/>
        <v>0</v>
      </c>
    </row>
    <row r="44" spans="1:22" x14ac:dyDescent="0.25">
      <c r="A44" s="29" t="s">
        <v>56</v>
      </c>
      <c r="B44" s="45">
        <f t="shared" ref="B44:M44" si="10">-B9*13.15%</f>
        <v>-72665.506100000013</v>
      </c>
      <c r="C44" s="45">
        <f t="shared" ref="C44:D44" si="11">-C9*13.15%</f>
        <v>0</v>
      </c>
      <c r="D44" s="45">
        <f t="shared" si="11"/>
        <v>0</v>
      </c>
      <c r="E44" s="45">
        <f t="shared" si="10"/>
        <v>0</v>
      </c>
      <c r="F44" s="45">
        <f t="shared" si="10"/>
        <v>0</v>
      </c>
      <c r="G44" s="45">
        <f t="shared" si="10"/>
        <v>0</v>
      </c>
      <c r="H44" s="45">
        <f t="shared" si="10"/>
        <v>0</v>
      </c>
      <c r="I44" s="45">
        <f t="shared" si="10"/>
        <v>0</v>
      </c>
      <c r="J44" s="45">
        <f t="shared" si="10"/>
        <v>0</v>
      </c>
      <c r="K44" s="45">
        <f t="shared" si="10"/>
        <v>0</v>
      </c>
      <c r="L44" s="45">
        <f t="shared" si="10"/>
        <v>0</v>
      </c>
      <c r="M44" s="45">
        <f t="shared" si="10"/>
        <v>0</v>
      </c>
      <c r="N44" s="45">
        <f>-N9*13.15%</f>
        <v>0</v>
      </c>
      <c r="O44" s="45">
        <f t="shared" ref="O44:P44" si="12">-O9*13.15%</f>
        <v>0</v>
      </c>
      <c r="P44" s="45">
        <f t="shared" si="12"/>
        <v>0</v>
      </c>
      <c r="Q44" s="20">
        <f t="shared" ref="Q44" si="13">SUM(B44:P44)</f>
        <v>-72665.506100000013</v>
      </c>
      <c r="R44" s="21">
        <f t="shared" si="6"/>
        <v>0.13150000000000001</v>
      </c>
      <c r="T44" s="98">
        <f t="shared" si="0"/>
        <v>-72665.506100000013</v>
      </c>
      <c r="U44" s="98">
        <f t="shared" si="1"/>
        <v>0</v>
      </c>
      <c r="V44" s="98">
        <f t="shared" si="2"/>
        <v>0</v>
      </c>
    </row>
    <row r="45" spans="1:22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4"/>
      <c r="T45" s="98">
        <f t="shared" si="0"/>
        <v>0</v>
      </c>
      <c r="U45" s="98">
        <f t="shared" si="1"/>
        <v>0</v>
      </c>
      <c r="V45" s="98">
        <f t="shared" si="2"/>
        <v>0</v>
      </c>
    </row>
    <row r="46" spans="1:22" x14ac:dyDescent="0.25">
      <c r="A46" s="29" t="s">
        <v>33</v>
      </c>
      <c r="B46" s="45">
        <f t="shared" ref="B46:P46" si="14">-B9*1.22%</f>
        <v>-6741.5906799999993</v>
      </c>
      <c r="C46" s="45">
        <f t="shared" ref="C46:D46" si="15">-C9*1.22%</f>
        <v>0</v>
      </c>
      <c r="D46" s="45">
        <f t="shared" si="15"/>
        <v>0</v>
      </c>
      <c r="E46" s="45">
        <f t="shared" si="14"/>
        <v>0</v>
      </c>
      <c r="F46" s="45">
        <f t="shared" si="14"/>
        <v>0</v>
      </c>
      <c r="G46" s="45">
        <f t="shared" si="14"/>
        <v>0</v>
      </c>
      <c r="H46" s="45">
        <f t="shared" si="14"/>
        <v>0</v>
      </c>
      <c r="I46" s="45">
        <f t="shared" si="14"/>
        <v>0</v>
      </c>
      <c r="J46" s="45">
        <f t="shared" si="14"/>
        <v>0</v>
      </c>
      <c r="K46" s="45">
        <f t="shared" si="14"/>
        <v>0</v>
      </c>
      <c r="L46" s="45">
        <f t="shared" si="14"/>
        <v>0</v>
      </c>
      <c r="M46" s="45">
        <f t="shared" si="14"/>
        <v>0</v>
      </c>
      <c r="N46" s="45">
        <f t="shared" si="14"/>
        <v>0</v>
      </c>
      <c r="O46" s="45">
        <f t="shared" si="14"/>
        <v>0</v>
      </c>
      <c r="P46" s="45">
        <f t="shared" si="14"/>
        <v>0</v>
      </c>
      <c r="Q46" s="20">
        <f t="shared" ref="Q46" si="16">SUM(B46:P46)</f>
        <v>-6741.5906799999993</v>
      </c>
      <c r="R46" s="21">
        <f t="shared" si="6"/>
        <v>1.2199999999999999E-2</v>
      </c>
      <c r="T46" s="98">
        <f t="shared" si="0"/>
        <v>-6741.5906799999993</v>
      </c>
      <c r="U46" s="98">
        <f t="shared" si="1"/>
        <v>0</v>
      </c>
      <c r="V46" s="98">
        <f t="shared" si="2"/>
        <v>0</v>
      </c>
    </row>
    <row r="47" spans="1:22" x14ac:dyDescent="0.2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4"/>
      <c r="T47" s="98">
        <f t="shared" si="0"/>
        <v>0</v>
      </c>
      <c r="U47" s="98">
        <f t="shared" si="1"/>
        <v>0</v>
      </c>
      <c r="V47" s="98">
        <f t="shared" si="2"/>
        <v>0</v>
      </c>
    </row>
    <row r="48" spans="1:22" x14ac:dyDescent="0.25">
      <c r="A48" s="48" t="s">
        <v>57</v>
      </c>
      <c r="B48" s="49">
        <f t="shared" ref="B48:O48" si="17">B40*5.56%</f>
        <v>-15781.341091999999</v>
      </c>
      <c r="C48" s="49">
        <f t="shared" ref="C48:D48" si="18">C40*5.56%</f>
        <v>-49237.590252000002</v>
      </c>
      <c r="D48" s="49">
        <f t="shared" si="18"/>
        <v>-14282.689795999999</v>
      </c>
      <c r="E48" s="49">
        <f t="shared" si="17"/>
        <v>0</v>
      </c>
      <c r="F48" s="49">
        <f t="shared" si="17"/>
        <v>0</v>
      </c>
      <c r="G48" s="49">
        <f t="shared" si="17"/>
        <v>0</v>
      </c>
      <c r="H48" s="49">
        <f t="shared" si="17"/>
        <v>0</v>
      </c>
      <c r="I48" s="49">
        <f>I40*5.56%</f>
        <v>0</v>
      </c>
      <c r="J48" s="49">
        <f t="shared" si="17"/>
        <v>0</v>
      </c>
      <c r="K48" s="49">
        <f t="shared" si="17"/>
        <v>0</v>
      </c>
      <c r="L48" s="49">
        <f t="shared" si="17"/>
        <v>0</v>
      </c>
      <c r="M48" s="49">
        <f t="shared" si="17"/>
        <v>0</v>
      </c>
      <c r="N48" s="49">
        <f t="shared" si="17"/>
        <v>0</v>
      </c>
      <c r="O48" s="49">
        <f t="shared" si="17"/>
        <v>0</v>
      </c>
      <c r="P48" s="49">
        <f>P40*5.56%</f>
        <v>0</v>
      </c>
      <c r="Q48" s="20">
        <f t="shared" ref="Q48" si="19">SUM(B48:P48)</f>
        <v>-79301.621140000003</v>
      </c>
      <c r="R48" s="21">
        <f t="shared" si="6"/>
        <v>0.14350912474976898</v>
      </c>
      <c r="T48" s="98">
        <f t="shared" si="0"/>
        <v>-79301.621140000003</v>
      </c>
      <c r="U48" s="98">
        <f t="shared" si="1"/>
        <v>0</v>
      </c>
      <c r="V48" s="98">
        <f t="shared" si="2"/>
        <v>-14282.689795999999</v>
      </c>
    </row>
    <row r="49" spans="1:22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4"/>
      <c r="T49" s="98">
        <f t="shared" si="0"/>
        <v>0</v>
      </c>
      <c r="U49" s="98">
        <f t="shared" si="1"/>
        <v>0</v>
      </c>
      <c r="V49" s="98">
        <f t="shared" si="2"/>
        <v>0</v>
      </c>
    </row>
    <row r="50" spans="1:22" x14ac:dyDescent="0.25">
      <c r="A50" s="48" t="s">
        <v>58</v>
      </c>
      <c r="B50" s="49">
        <f t="shared" ref="B50:M50" si="20">B40*0.01%</f>
        <v>-28.383707000000001</v>
      </c>
      <c r="C50" s="49">
        <f t="shared" ref="C50:D50" si="21">C40*0.01%</f>
        <v>-88.556817000000009</v>
      </c>
      <c r="D50" s="49">
        <f t="shared" si="21"/>
        <v>-25.688291000000003</v>
      </c>
      <c r="E50" s="49">
        <f t="shared" si="20"/>
        <v>0</v>
      </c>
      <c r="F50" s="49">
        <f t="shared" si="20"/>
        <v>0</v>
      </c>
      <c r="G50" s="49">
        <f t="shared" si="20"/>
        <v>0</v>
      </c>
      <c r="H50" s="49">
        <f t="shared" si="20"/>
        <v>0</v>
      </c>
      <c r="I50" s="49">
        <f t="shared" si="20"/>
        <v>0</v>
      </c>
      <c r="J50" s="49">
        <f t="shared" si="20"/>
        <v>0</v>
      </c>
      <c r="K50" s="49">
        <f t="shared" si="20"/>
        <v>0</v>
      </c>
      <c r="L50" s="49">
        <f t="shared" si="20"/>
        <v>0</v>
      </c>
      <c r="M50" s="49">
        <f t="shared" si="20"/>
        <v>0</v>
      </c>
      <c r="N50" s="49">
        <f>N40*0.01%</f>
        <v>0</v>
      </c>
      <c r="O50" s="49">
        <f t="shared" ref="O50" si="22">O40*0.01%</f>
        <v>0</v>
      </c>
      <c r="P50" s="49">
        <f>P40*0.01%</f>
        <v>0</v>
      </c>
      <c r="Q50" s="20">
        <f t="shared" ref="Q50" si="23">SUM(B50:P50)</f>
        <v>-142.628815</v>
      </c>
      <c r="R50" s="21">
        <f t="shared" si="6"/>
        <v>2.5810993660030395E-4</v>
      </c>
      <c r="T50" s="98">
        <f t="shared" si="0"/>
        <v>-142.628815</v>
      </c>
      <c r="U50" s="98">
        <f t="shared" si="1"/>
        <v>0</v>
      </c>
      <c r="V50" s="98">
        <f t="shared" si="2"/>
        <v>-25.688290999999992</v>
      </c>
    </row>
    <row r="51" spans="1:22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4"/>
      <c r="T51" s="98">
        <f t="shared" si="0"/>
        <v>0</v>
      </c>
      <c r="U51" s="98">
        <f t="shared" si="1"/>
        <v>0</v>
      </c>
      <c r="V51" s="98">
        <f t="shared" si="2"/>
        <v>0</v>
      </c>
    </row>
    <row r="52" spans="1:22" x14ac:dyDescent="0.25">
      <c r="A52" s="39" t="s">
        <v>112</v>
      </c>
      <c r="B52" s="58">
        <f t="shared" ref="B52:H52" si="24">B42+B48+B50+B44+B46</f>
        <v>173535.50842100001</v>
      </c>
      <c r="C52" s="58">
        <f t="shared" si="24"/>
        <v>-934894.3170690001</v>
      </c>
      <c r="D52" s="58">
        <f t="shared" ref="D52" si="25">D42+D48+D50+D44+D46</f>
        <v>-271191.28808700002</v>
      </c>
      <c r="E52" s="58">
        <f t="shared" si="24"/>
        <v>0</v>
      </c>
      <c r="F52" s="58">
        <f t="shared" si="24"/>
        <v>0</v>
      </c>
      <c r="G52" s="58">
        <f t="shared" si="24"/>
        <v>0</v>
      </c>
      <c r="H52" s="58">
        <f t="shared" si="24"/>
        <v>0</v>
      </c>
      <c r="I52" s="58">
        <f t="shared" ref="I52:O52" si="26">I42+I48+I50+I44+I46</f>
        <v>0</v>
      </c>
      <c r="J52" s="58">
        <f t="shared" si="26"/>
        <v>0</v>
      </c>
      <c r="K52" s="58">
        <f t="shared" si="26"/>
        <v>0</v>
      </c>
      <c r="L52" s="58">
        <f t="shared" si="26"/>
        <v>0</v>
      </c>
      <c r="M52" s="58">
        <f t="shared" si="26"/>
        <v>0</v>
      </c>
      <c r="N52" s="58">
        <f t="shared" si="26"/>
        <v>0</v>
      </c>
      <c r="O52" s="58">
        <f t="shared" si="26"/>
        <v>0</v>
      </c>
      <c r="P52" s="58">
        <f>P42+P48+P50+P44+P46</f>
        <v>0</v>
      </c>
      <c r="Q52" s="154">
        <f>SUM(B52:P52)</f>
        <v>-1032550.0967350001</v>
      </c>
      <c r="R52" s="21">
        <f>-Q52/$Q$11</f>
        <v>1.8685666006894091</v>
      </c>
      <c r="T52" s="98">
        <f>SUM(B52:P52)</f>
        <v>-1032550.0967350001</v>
      </c>
      <c r="U52" s="98">
        <f t="shared" si="1"/>
        <v>0</v>
      </c>
      <c r="V52" s="98">
        <f t="shared" si="2"/>
        <v>-271191.28808700014</v>
      </c>
    </row>
    <row r="53" spans="1:22" x14ac:dyDescent="0.25">
      <c r="A53" s="5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50"/>
    </row>
    <row r="54" spans="1:22" x14ac:dyDescent="0.25">
      <c r="A54" s="52" t="s">
        <v>35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53"/>
      <c r="R54" s="50"/>
    </row>
    <row r="55" spans="1:22" x14ac:dyDescent="0.25">
      <c r="A55" s="81"/>
      <c r="B55" s="79"/>
      <c r="C55" s="79"/>
      <c r="D55" s="79"/>
      <c r="E55" s="10"/>
      <c r="M55" s="182"/>
      <c r="R55" s="89"/>
    </row>
    <row r="56" spans="1:22" x14ac:dyDescent="0.25">
      <c r="A56" s="54" t="s">
        <v>36</v>
      </c>
      <c r="B56" s="50"/>
      <c r="C56" s="50"/>
      <c r="D56" s="50"/>
      <c r="E56" s="83"/>
    </row>
    <row r="57" spans="1:22" x14ac:dyDescent="0.25">
      <c r="A57" s="103" t="s">
        <v>164</v>
      </c>
      <c r="B57" s="50"/>
      <c r="C57" s="50"/>
      <c r="D57" s="50"/>
      <c r="E57" s="83"/>
      <c r="R57" s="89">
        <v>46053</v>
      </c>
    </row>
    <row r="58" spans="1:22" x14ac:dyDescent="0.25">
      <c r="B58" s="98">
        <f>B11+B40+B44+B46+B48+B50</f>
        <v>173535.50842100004</v>
      </c>
      <c r="C58" s="98">
        <f>C11+C40+C44+C46+C48+C50</f>
        <v>-934894.3170690001</v>
      </c>
      <c r="D58" s="98"/>
      <c r="E58" s="98">
        <f t="shared" ref="E58:Q58" si="27">E11+E40+E44+E46+E48+E50</f>
        <v>0</v>
      </c>
      <c r="F58" s="98">
        <f t="shared" si="27"/>
        <v>0</v>
      </c>
      <c r="G58" s="98">
        <f t="shared" si="27"/>
        <v>0</v>
      </c>
      <c r="H58" s="98">
        <f t="shared" si="27"/>
        <v>0</v>
      </c>
      <c r="I58" s="98">
        <f t="shared" si="27"/>
        <v>0</v>
      </c>
      <c r="J58" s="98">
        <f t="shared" si="27"/>
        <v>0</v>
      </c>
      <c r="K58" s="98">
        <f t="shared" si="27"/>
        <v>0</v>
      </c>
      <c r="L58" s="98">
        <f t="shared" si="27"/>
        <v>0</v>
      </c>
      <c r="M58" s="98">
        <f t="shared" si="27"/>
        <v>0</v>
      </c>
      <c r="N58" s="98">
        <f t="shared" si="27"/>
        <v>0</v>
      </c>
      <c r="O58" s="98">
        <f t="shared" si="27"/>
        <v>0</v>
      </c>
      <c r="P58" s="98">
        <f t="shared" si="27"/>
        <v>0</v>
      </c>
      <c r="Q58" s="98">
        <f t="shared" si="27"/>
        <v>-1032550.0967349999</v>
      </c>
    </row>
    <row r="60" spans="1:22" x14ac:dyDescent="0.25">
      <c r="B60" s="98">
        <f>B52-B58</f>
        <v>0</v>
      </c>
      <c r="C60" s="98">
        <f>C52-C58</f>
        <v>0</v>
      </c>
      <c r="D60" s="98"/>
      <c r="E60" s="98">
        <f t="shared" ref="E60:Q60" si="28">E52-E58</f>
        <v>0</v>
      </c>
      <c r="F60" s="98">
        <f t="shared" si="28"/>
        <v>0</v>
      </c>
      <c r="G60" s="98">
        <f t="shared" si="28"/>
        <v>0</v>
      </c>
      <c r="H60" s="98">
        <f t="shared" si="28"/>
        <v>0</v>
      </c>
      <c r="I60" s="98">
        <f t="shared" si="28"/>
        <v>0</v>
      </c>
      <c r="J60" s="98">
        <f t="shared" si="28"/>
        <v>0</v>
      </c>
      <c r="K60" s="98">
        <f t="shared" si="28"/>
        <v>0</v>
      </c>
      <c r="L60" s="98">
        <f t="shared" si="28"/>
        <v>0</v>
      </c>
      <c r="M60" s="98">
        <f t="shared" si="28"/>
        <v>0</v>
      </c>
      <c r="N60" s="98">
        <f t="shared" si="28"/>
        <v>0</v>
      </c>
      <c r="O60" s="98">
        <f t="shared" si="28"/>
        <v>0</v>
      </c>
      <c r="P60" s="98">
        <f t="shared" si="28"/>
        <v>0</v>
      </c>
      <c r="Q60" s="98">
        <f t="shared" si="28"/>
        <v>0</v>
      </c>
    </row>
  </sheetData>
  <mergeCells count="3">
    <mergeCell ref="A1:Q1"/>
    <mergeCell ref="A3:Q3"/>
    <mergeCell ref="A5:Q5"/>
  </mergeCells>
  <phoneticPr fontId="12" type="noConversion"/>
  <conditionalFormatting sqref="B52:D52">
    <cfRule type="cellIs" dxfId="119" priority="11" operator="lessThan">
      <formula>0</formula>
    </cfRule>
    <cfRule type="cellIs" dxfId="118" priority="12" operator="greaterThan">
      <formula>0</formula>
    </cfRule>
  </conditionalFormatting>
  <conditionalFormatting sqref="H52">
    <cfRule type="cellIs" dxfId="117" priority="5" operator="lessThan">
      <formula>0</formula>
    </cfRule>
    <cfRule type="cellIs" dxfId="116" priority="6" operator="greaterThan">
      <formula>0</formula>
    </cfRule>
  </conditionalFormatting>
  <conditionalFormatting sqref="J52:K52">
    <cfRule type="cellIs" dxfId="115" priority="3" operator="lessThan">
      <formula>0</formula>
    </cfRule>
    <cfRule type="cellIs" dxfId="114" priority="4" operator="greaterThan">
      <formula>0</formula>
    </cfRule>
  </conditionalFormatting>
  <conditionalFormatting sqref="M52">
    <cfRule type="cellIs" dxfId="113" priority="1" operator="lessThan">
      <formula>0</formula>
    </cfRule>
    <cfRule type="cellIs" dxfId="112" priority="2" operator="greaterThan">
      <formula>0</formula>
    </cfRule>
  </conditionalFormatting>
  <printOptions horizontalCentered="1" verticalCentered="1"/>
  <pageMargins left="0" right="0" top="0.19685039370078741" bottom="0" header="0.19685039370078741" footer="0"/>
  <pageSetup paperSize="9" scale="68" orientation="landscape" r:id="rId1"/>
  <headerFooter>
    <oddHeader>&amp;C&amp;"-,Negrito"&amp;14                        BELA NOVA CONSTRUTORA LTDA</oddHeader>
  </headerFooter>
  <rowBreaks count="1" manualBreakCount="1">
    <brk id="5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T60"/>
  <sheetViews>
    <sheetView topLeftCell="A4" zoomScale="85" zoomScaleNormal="85" workbookViewId="0">
      <selection activeCell="E8" sqref="E8"/>
    </sheetView>
  </sheetViews>
  <sheetFormatPr defaultRowHeight="15" x14ac:dyDescent="0.25"/>
  <cols>
    <col min="1" max="1" width="58" customWidth="1"/>
    <col min="2" max="2" width="17.5703125" bestFit="1" customWidth="1"/>
    <col min="3" max="3" width="18.140625" bestFit="1" customWidth="1"/>
    <col min="4" max="4" width="16.28515625" bestFit="1" customWidth="1"/>
    <col min="5" max="5" width="16.28515625" customWidth="1"/>
    <col min="6" max="6" width="16.140625" hidden="1" customWidth="1"/>
    <col min="7" max="7" width="16" hidden="1" customWidth="1"/>
    <col min="8" max="8" width="18" hidden="1" customWidth="1"/>
    <col min="9" max="9" width="16.5703125" hidden="1" customWidth="1"/>
    <col min="10" max="10" width="16.85546875" hidden="1" customWidth="1"/>
    <col min="11" max="13" width="16.140625" hidden="1" customWidth="1"/>
    <col min="14" max="14" width="16.85546875" hidden="1" customWidth="1"/>
    <col min="15" max="15" width="16.7109375" hidden="1" customWidth="1"/>
    <col min="16" max="16" width="18" bestFit="1" customWidth="1"/>
    <col min="17" max="17" width="10.7109375" bestFit="1" customWidth="1"/>
    <col min="19" max="19" width="16" bestFit="1" customWidth="1"/>
    <col min="20" max="20" width="14.28515625" bestFit="1" customWidth="1"/>
  </cols>
  <sheetData>
    <row r="1" spans="1:20" ht="15.75" customHeight="1" x14ac:dyDescent="0.25">
      <c r="A1" s="209" t="s">
        <v>195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</row>
    <row r="2" spans="1:20" ht="11.25" customHeight="1" x14ac:dyDescent="0.25">
      <c r="A2" s="71"/>
      <c r="B2" s="71"/>
      <c r="C2" s="71"/>
      <c r="D2" s="10"/>
    </row>
    <row r="3" spans="1:20" ht="15.75" customHeight="1" x14ac:dyDescent="0.25">
      <c r="A3" s="209" t="s">
        <v>196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</row>
    <row r="4" spans="1:20" ht="11.25" customHeight="1" x14ac:dyDescent="0.25">
      <c r="A4" s="71"/>
      <c r="B4" s="71"/>
      <c r="C4" s="71"/>
      <c r="D4" s="10"/>
    </row>
    <row r="5" spans="1:20" ht="15.75" customHeight="1" x14ac:dyDescent="0.25">
      <c r="A5" s="209" t="s">
        <v>252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20" ht="11.25" customHeight="1" x14ac:dyDescent="0.25">
      <c r="A6" s="10"/>
      <c r="B6" s="10"/>
      <c r="C6" s="10"/>
      <c r="D6" s="10"/>
    </row>
    <row r="7" spans="1:20" x14ac:dyDescent="0.25">
      <c r="A7" s="12"/>
      <c r="B7" s="60" t="s">
        <v>136</v>
      </c>
      <c r="C7" s="60" t="s">
        <v>221</v>
      </c>
      <c r="D7" s="60" t="s">
        <v>209</v>
      </c>
      <c r="E7" s="60" t="s">
        <v>210</v>
      </c>
      <c r="F7" s="60" t="s">
        <v>119</v>
      </c>
      <c r="G7" s="60" t="s">
        <v>120</v>
      </c>
      <c r="H7" s="60" t="s">
        <v>121</v>
      </c>
      <c r="I7" s="60" t="s">
        <v>123</v>
      </c>
      <c r="J7" s="60" t="s">
        <v>124</v>
      </c>
      <c r="K7" s="60" t="s">
        <v>125</v>
      </c>
      <c r="L7" s="60" t="s">
        <v>126</v>
      </c>
      <c r="M7" s="60" t="s">
        <v>127</v>
      </c>
      <c r="N7" s="60" t="s">
        <v>128</v>
      </c>
      <c r="O7" s="60" t="s">
        <v>129</v>
      </c>
      <c r="P7" s="13" t="s">
        <v>1</v>
      </c>
      <c r="Q7" s="14" t="s">
        <v>2</v>
      </c>
    </row>
    <row r="8" spans="1:20" x14ac:dyDescent="0.25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7"/>
      <c r="Q8" s="18"/>
    </row>
    <row r="9" spans="1:20" x14ac:dyDescent="0.25">
      <c r="A9" s="78" t="s">
        <v>4</v>
      </c>
      <c r="B9" s="19">
        <v>995814.24</v>
      </c>
      <c r="C9" s="19">
        <v>2050602.52</v>
      </c>
      <c r="D9" s="19">
        <v>106332.57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20">
        <f>B9+C9+D9+E9+F9+G9+H9+I9+J9+K9+L9+M9+N9+O9</f>
        <v>3152749.3299999996</v>
      </c>
      <c r="Q9" s="21">
        <v>1</v>
      </c>
      <c r="S9" s="98">
        <f>SUM(B9:O9)</f>
        <v>3152749.3299999996</v>
      </c>
      <c r="T9" s="98">
        <f>P9-S9</f>
        <v>0</v>
      </c>
    </row>
    <row r="10" spans="1:20" x14ac:dyDescent="0.25">
      <c r="A10" s="15" t="s">
        <v>5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B10+C10+D10+E10+F10+G10+H10+I10+J10+K10+L10+M10+N10+O10</f>
        <v>0</v>
      </c>
      <c r="Q10" s="21"/>
      <c r="S10" s="98">
        <f t="shared" ref="S10:S51" si="0">SUM(B10:O10)</f>
        <v>0</v>
      </c>
      <c r="T10" s="98">
        <f t="shared" ref="T10:T52" si="1">P10-S10</f>
        <v>0</v>
      </c>
    </row>
    <row r="11" spans="1:20" x14ac:dyDescent="0.25">
      <c r="A11" s="23" t="s">
        <v>6</v>
      </c>
      <c r="B11" s="24">
        <f t="shared" ref="B11:C11" si="2">SUM(B9:B10)</f>
        <v>995814.24</v>
      </c>
      <c r="C11" s="24">
        <f t="shared" si="2"/>
        <v>2050602.52</v>
      </c>
      <c r="D11" s="24">
        <f t="shared" ref="D11:F11" si="3">SUM(D9:D10)</f>
        <v>106332.57</v>
      </c>
      <c r="E11" s="24">
        <f t="shared" si="3"/>
        <v>0</v>
      </c>
      <c r="F11" s="24">
        <f t="shared" si="3"/>
        <v>0</v>
      </c>
      <c r="G11" s="24">
        <f t="shared" ref="G11:O11" si="4">SUM(G9:G10)</f>
        <v>0</v>
      </c>
      <c r="H11" s="24">
        <f t="shared" si="4"/>
        <v>0</v>
      </c>
      <c r="I11" s="24">
        <f t="shared" si="4"/>
        <v>0</v>
      </c>
      <c r="J11" s="24">
        <f t="shared" si="4"/>
        <v>0</v>
      </c>
      <c r="K11" s="24">
        <f t="shared" si="4"/>
        <v>0</v>
      </c>
      <c r="L11" s="24">
        <f t="shared" si="4"/>
        <v>0</v>
      </c>
      <c r="M11" s="24">
        <f t="shared" si="4"/>
        <v>0</v>
      </c>
      <c r="N11" s="24">
        <f t="shared" si="4"/>
        <v>0</v>
      </c>
      <c r="O11" s="24">
        <f t="shared" si="4"/>
        <v>0</v>
      </c>
      <c r="P11" s="24">
        <f>SUM(P9:P10)</f>
        <v>3152749.3299999996</v>
      </c>
      <c r="Q11" s="21">
        <v>1</v>
      </c>
      <c r="S11" s="98">
        <f>SUM(B11:O11)</f>
        <v>3152749.3299999996</v>
      </c>
      <c r="T11" s="98">
        <f t="shared" si="1"/>
        <v>0</v>
      </c>
    </row>
    <row r="12" spans="1:20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8"/>
      <c r="S12" s="98">
        <f t="shared" si="0"/>
        <v>0</v>
      </c>
      <c r="T12" s="98"/>
    </row>
    <row r="13" spans="1:20" x14ac:dyDescent="0.25">
      <c r="A13" s="29" t="s">
        <v>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31"/>
      <c r="S13" s="98">
        <f t="shared" si="0"/>
        <v>0</v>
      </c>
      <c r="T13" s="98"/>
    </row>
    <row r="14" spans="1:20" x14ac:dyDescent="0.25">
      <c r="A14" s="15" t="s">
        <v>8</v>
      </c>
      <c r="B14" s="32">
        <v>-71167.12</v>
      </c>
      <c r="C14" s="32">
        <v>-131608.76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20">
        <f>B14+C14+D14+E14+F14+G14+H14+I14+J14+K14+L14+M14+N14+O14</f>
        <v>-202775.88</v>
      </c>
      <c r="Q14" s="21">
        <f>-P14/$P$11</f>
        <v>6.4317159017523301E-2</v>
      </c>
      <c r="S14" s="98">
        <f>SUM(B14:O14)</f>
        <v>-202775.88</v>
      </c>
      <c r="T14" s="98">
        <f t="shared" si="1"/>
        <v>0</v>
      </c>
    </row>
    <row r="15" spans="1:20" x14ac:dyDescent="0.25">
      <c r="A15" s="33" t="s">
        <v>9</v>
      </c>
      <c r="B15" s="32">
        <v>0</v>
      </c>
      <c r="C15" s="76">
        <v>0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20">
        <f t="shared" ref="P15:P39" si="5">B15+C15+D15+E15+F15+G15+H15+I15+J15+K15+L15+M15+N15+O15</f>
        <v>0</v>
      </c>
      <c r="Q15" s="21">
        <f t="shared" ref="Q15:Q50" si="6">-P15/$P$11</f>
        <v>0</v>
      </c>
      <c r="S15" s="98">
        <f>SUM(B15:O15)</f>
        <v>0</v>
      </c>
      <c r="T15" s="98">
        <f>P15-S15</f>
        <v>0</v>
      </c>
    </row>
    <row r="16" spans="1:20" x14ac:dyDescent="0.25">
      <c r="A16" s="15" t="s">
        <v>10</v>
      </c>
      <c r="B16" s="32">
        <v>-988.5</v>
      </c>
      <c r="C16" s="32">
        <v>-4871.6400000000003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20">
        <f t="shared" si="5"/>
        <v>-5860.14</v>
      </c>
      <c r="Q16" s="21">
        <f t="shared" si="6"/>
        <v>1.8587395909461667E-3</v>
      </c>
      <c r="S16" s="98">
        <f>SUM(B16:O16)</f>
        <v>-5860.14</v>
      </c>
      <c r="T16" s="98">
        <f t="shared" ref="T16:T32" si="7">P16-S16</f>
        <v>0</v>
      </c>
    </row>
    <row r="17" spans="1:20" x14ac:dyDescent="0.25">
      <c r="A17" s="33" t="s">
        <v>11</v>
      </c>
      <c r="B17" s="32">
        <v>-4719.78</v>
      </c>
      <c r="C17" s="32">
        <v>-7515.34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20">
        <f t="shared" si="5"/>
        <v>-12235.119999999999</v>
      </c>
      <c r="Q17" s="21">
        <f t="shared" si="6"/>
        <v>3.8807779240730188E-3</v>
      </c>
      <c r="S17" s="98">
        <f t="shared" si="0"/>
        <v>-12235.119999999999</v>
      </c>
      <c r="T17" s="98">
        <f t="shared" si="7"/>
        <v>0</v>
      </c>
    </row>
    <row r="18" spans="1:20" x14ac:dyDescent="0.25">
      <c r="A18" s="15" t="s">
        <v>12</v>
      </c>
      <c r="B18" s="32">
        <v>-37970.449999999997</v>
      </c>
      <c r="C18" s="32">
        <v>-65236.89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20">
        <f t="shared" si="5"/>
        <v>-103207.34</v>
      </c>
      <c r="Q18" s="21">
        <f t="shared" si="6"/>
        <v>3.2735663129932376E-2</v>
      </c>
      <c r="S18" s="98">
        <f t="shared" si="0"/>
        <v>-103207.34</v>
      </c>
      <c r="T18" s="98">
        <f t="shared" si="7"/>
        <v>0</v>
      </c>
    </row>
    <row r="19" spans="1:20" x14ac:dyDescent="0.25">
      <c r="A19" s="15" t="s">
        <v>13</v>
      </c>
      <c r="B19" s="32">
        <v>-22890.74</v>
      </c>
      <c r="C19" s="32">
        <v>-47960.35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20">
        <f t="shared" si="5"/>
        <v>-70851.09</v>
      </c>
      <c r="Q19" s="21">
        <f t="shared" si="6"/>
        <v>2.2472795196819533E-2</v>
      </c>
      <c r="S19" s="98">
        <f t="shared" si="0"/>
        <v>-70851.09</v>
      </c>
      <c r="T19" s="98">
        <f t="shared" si="7"/>
        <v>0</v>
      </c>
    </row>
    <row r="20" spans="1:20" x14ac:dyDescent="0.25">
      <c r="A20" s="15" t="s">
        <v>14</v>
      </c>
      <c r="B20" s="32">
        <v>-13960.57</v>
      </c>
      <c r="C20" s="32">
        <v>-37492.230000000003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20">
        <f t="shared" si="5"/>
        <v>-51452.800000000003</v>
      </c>
      <c r="Q20" s="21">
        <f t="shared" si="6"/>
        <v>1.6319978093532736E-2</v>
      </c>
      <c r="S20" s="98">
        <f t="shared" si="0"/>
        <v>-51452.800000000003</v>
      </c>
      <c r="T20" s="98">
        <f t="shared" si="7"/>
        <v>0</v>
      </c>
    </row>
    <row r="21" spans="1:20" x14ac:dyDescent="0.25">
      <c r="A21" s="15" t="s">
        <v>15</v>
      </c>
      <c r="B21" s="32">
        <v>0</v>
      </c>
      <c r="C21" s="32">
        <v>-449.09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20">
        <f t="shared" si="5"/>
        <v>-449.09</v>
      </c>
      <c r="Q21" s="21">
        <f t="shared" si="6"/>
        <v>1.4244392845529525E-4</v>
      </c>
      <c r="S21" s="98">
        <f t="shared" si="0"/>
        <v>-449.09</v>
      </c>
      <c r="T21" s="98">
        <f t="shared" si="7"/>
        <v>0</v>
      </c>
    </row>
    <row r="22" spans="1:20" x14ac:dyDescent="0.25">
      <c r="A22" s="15" t="s">
        <v>16</v>
      </c>
      <c r="B22" s="32">
        <v>0</v>
      </c>
      <c r="C22" s="32">
        <v>-2026.4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20">
        <f t="shared" si="5"/>
        <v>-2026.4</v>
      </c>
      <c r="Q22" s="21">
        <f t="shared" si="6"/>
        <v>6.4274060126435757E-4</v>
      </c>
      <c r="S22" s="98">
        <f t="shared" si="0"/>
        <v>-2026.4</v>
      </c>
      <c r="T22" s="98">
        <f t="shared" si="7"/>
        <v>0</v>
      </c>
    </row>
    <row r="23" spans="1:20" x14ac:dyDescent="0.25">
      <c r="A23" s="15" t="s">
        <v>17</v>
      </c>
      <c r="B23" s="32">
        <v>-26033.53</v>
      </c>
      <c r="C23" s="32">
        <v>-48822.32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20">
        <f t="shared" si="5"/>
        <v>-74855.850000000006</v>
      </c>
      <c r="Q23" s="21">
        <f t="shared" si="6"/>
        <v>2.3743038905030871E-2</v>
      </c>
      <c r="S23" s="98">
        <f t="shared" si="0"/>
        <v>-74855.850000000006</v>
      </c>
      <c r="T23" s="98">
        <f t="shared" si="7"/>
        <v>0</v>
      </c>
    </row>
    <row r="24" spans="1:20" x14ac:dyDescent="0.25">
      <c r="A24" s="15" t="s">
        <v>18</v>
      </c>
      <c r="B24" s="32">
        <v>0</v>
      </c>
      <c r="C24" s="32">
        <v>0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20">
        <f t="shared" si="5"/>
        <v>0</v>
      </c>
      <c r="Q24" s="21">
        <f t="shared" si="6"/>
        <v>0</v>
      </c>
      <c r="S24" s="98">
        <f t="shared" si="0"/>
        <v>0</v>
      </c>
      <c r="T24" s="98">
        <f t="shared" si="7"/>
        <v>0</v>
      </c>
    </row>
    <row r="25" spans="1:20" x14ac:dyDescent="0.25">
      <c r="A25" s="15" t="s">
        <v>19</v>
      </c>
      <c r="B25" s="32">
        <v>-17152.48</v>
      </c>
      <c r="C25" s="32">
        <v>-42330.06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20">
        <f t="shared" si="5"/>
        <v>-59482.539999999994</v>
      </c>
      <c r="Q25" s="21">
        <f t="shared" si="6"/>
        <v>1.8866878959894983E-2</v>
      </c>
      <c r="S25" s="98">
        <f t="shared" si="0"/>
        <v>-59482.539999999994</v>
      </c>
      <c r="T25" s="98">
        <f t="shared" si="7"/>
        <v>0</v>
      </c>
    </row>
    <row r="26" spans="1:20" x14ac:dyDescent="0.25">
      <c r="A26" s="15" t="s">
        <v>20</v>
      </c>
      <c r="B26" s="32">
        <v>0</v>
      </c>
      <c r="C26" s="32">
        <v>0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20">
        <f t="shared" si="5"/>
        <v>0</v>
      </c>
      <c r="Q26" s="21">
        <f t="shared" si="6"/>
        <v>0</v>
      </c>
      <c r="S26" s="98">
        <f t="shared" si="0"/>
        <v>0</v>
      </c>
      <c r="T26" s="98">
        <f t="shared" si="7"/>
        <v>0</v>
      </c>
    </row>
    <row r="27" spans="1:20" x14ac:dyDescent="0.25">
      <c r="A27" s="15" t="s">
        <v>59</v>
      </c>
      <c r="B27" s="32">
        <v>0</v>
      </c>
      <c r="C27" s="32">
        <v>0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20">
        <f t="shared" si="5"/>
        <v>0</v>
      </c>
      <c r="Q27" s="21">
        <f t="shared" si="6"/>
        <v>0</v>
      </c>
      <c r="S27" s="98">
        <f t="shared" si="0"/>
        <v>0</v>
      </c>
      <c r="T27" s="98">
        <f t="shared" si="7"/>
        <v>0</v>
      </c>
    </row>
    <row r="28" spans="1:20" x14ac:dyDescent="0.25">
      <c r="A28" s="15" t="s">
        <v>21</v>
      </c>
      <c r="B28" s="32">
        <v>-2795</v>
      </c>
      <c r="C28" s="32">
        <v>-3420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20">
        <f t="shared" si="5"/>
        <v>-6215</v>
      </c>
      <c r="Q28" s="21">
        <f t="shared" si="6"/>
        <v>1.9712953202023205E-3</v>
      </c>
      <c r="S28" s="98">
        <f t="shared" si="0"/>
        <v>-6215</v>
      </c>
      <c r="T28" s="98">
        <f t="shared" si="7"/>
        <v>0</v>
      </c>
    </row>
    <row r="29" spans="1:20" x14ac:dyDescent="0.25">
      <c r="A29" s="15" t="s">
        <v>22</v>
      </c>
      <c r="B29" s="32">
        <v>0</v>
      </c>
      <c r="C29" s="32">
        <v>0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20">
        <f t="shared" si="5"/>
        <v>0</v>
      </c>
      <c r="Q29" s="21">
        <f t="shared" si="6"/>
        <v>0</v>
      </c>
      <c r="S29" s="98">
        <f t="shared" si="0"/>
        <v>0</v>
      </c>
      <c r="T29" s="98">
        <f t="shared" si="7"/>
        <v>0</v>
      </c>
    </row>
    <row r="30" spans="1:20" x14ac:dyDescent="0.25">
      <c r="A30" s="33" t="s">
        <v>23</v>
      </c>
      <c r="B30" s="32">
        <v>-3640.06</v>
      </c>
      <c r="C30" s="32">
        <v>-2153.2399999999998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20">
        <f t="shared" si="5"/>
        <v>-5793.2999999999993</v>
      </c>
      <c r="Q30" s="21">
        <f t="shared" si="6"/>
        <v>1.8375390472289783E-3</v>
      </c>
      <c r="S30" s="98">
        <f t="shared" si="0"/>
        <v>-5793.2999999999993</v>
      </c>
      <c r="T30" s="98">
        <f t="shared" si="7"/>
        <v>0</v>
      </c>
    </row>
    <row r="31" spans="1:20" x14ac:dyDescent="0.25">
      <c r="A31" s="15" t="s">
        <v>24</v>
      </c>
      <c r="B31" s="32">
        <v>-156691.48000000001</v>
      </c>
      <c r="C31" s="32">
        <v>-258455.05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20">
        <f t="shared" si="5"/>
        <v>-415146.53</v>
      </c>
      <c r="Q31" s="21">
        <f t="shared" si="6"/>
        <v>0.1316776205610993</v>
      </c>
      <c r="S31" s="98">
        <f t="shared" si="0"/>
        <v>-415146.53</v>
      </c>
      <c r="T31" s="98">
        <f t="shared" si="7"/>
        <v>0</v>
      </c>
    </row>
    <row r="32" spans="1:20" x14ac:dyDescent="0.25">
      <c r="A32" s="34" t="s">
        <v>25</v>
      </c>
      <c r="B32" s="32">
        <v>-266834.2</v>
      </c>
      <c r="C32" s="32">
        <v>-477840.52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20">
        <f t="shared" si="5"/>
        <v>-744674.72</v>
      </c>
      <c r="Q32" s="21">
        <f t="shared" si="6"/>
        <v>0.23619851819935209</v>
      </c>
      <c r="S32" s="98">
        <f t="shared" si="0"/>
        <v>-744674.72</v>
      </c>
      <c r="T32" s="98">
        <f t="shared" si="7"/>
        <v>0</v>
      </c>
    </row>
    <row r="33" spans="1:20" x14ac:dyDescent="0.25">
      <c r="A33" s="15" t="s">
        <v>26</v>
      </c>
      <c r="B33" s="32">
        <v>0</v>
      </c>
      <c r="C33" s="32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20">
        <f t="shared" si="5"/>
        <v>0</v>
      </c>
      <c r="Q33" s="21">
        <f t="shared" si="6"/>
        <v>0</v>
      </c>
      <c r="S33" s="98">
        <f t="shared" si="0"/>
        <v>0</v>
      </c>
      <c r="T33" s="98">
        <f t="shared" si="1"/>
        <v>0</v>
      </c>
    </row>
    <row r="34" spans="1:20" x14ac:dyDescent="0.25">
      <c r="A34" s="15" t="s">
        <v>27</v>
      </c>
      <c r="B34" s="32">
        <v>0</v>
      </c>
      <c r="C34" s="32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20">
        <f t="shared" si="5"/>
        <v>0</v>
      </c>
      <c r="Q34" s="21">
        <f t="shared" si="6"/>
        <v>0</v>
      </c>
      <c r="S34" s="98">
        <f t="shared" si="0"/>
        <v>0</v>
      </c>
      <c r="T34" s="98">
        <f t="shared" si="1"/>
        <v>0</v>
      </c>
    </row>
    <row r="35" spans="1:20" x14ac:dyDescent="0.25">
      <c r="A35" s="33" t="s">
        <v>28</v>
      </c>
      <c r="B35" s="32">
        <v>-3780.81</v>
      </c>
      <c r="C35" s="32">
        <v>-4584.13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20">
        <f t="shared" si="5"/>
        <v>-8364.94</v>
      </c>
      <c r="Q35" s="21">
        <f t="shared" si="6"/>
        <v>2.6532207684269024E-3</v>
      </c>
      <c r="S35" s="98">
        <f t="shared" si="0"/>
        <v>-8364.94</v>
      </c>
      <c r="T35" s="98">
        <f t="shared" si="1"/>
        <v>0</v>
      </c>
    </row>
    <row r="36" spans="1:20" x14ac:dyDescent="0.25">
      <c r="A36" s="15" t="s">
        <v>29</v>
      </c>
      <c r="B36" s="32">
        <v>-19981.02</v>
      </c>
      <c r="C36" s="32">
        <v>-60241.22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20">
        <f t="shared" si="5"/>
        <v>-80222.240000000005</v>
      </c>
      <c r="Q36" s="21">
        <f t="shared" si="6"/>
        <v>2.5445169153362413E-2</v>
      </c>
      <c r="S36" s="98">
        <f t="shared" si="0"/>
        <v>-80222.240000000005</v>
      </c>
      <c r="T36" s="98">
        <f t="shared" si="1"/>
        <v>0</v>
      </c>
    </row>
    <row r="37" spans="1:20" x14ac:dyDescent="0.25">
      <c r="A37" s="15" t="s">
        <v>30</v>
      </c>
      <c r="B37" s="32">
        <v>-29444.34</v>
      </c>
      <c r="C37" s="32">
        <v>-48444.34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20">
        <f t="shared" si="5"/>
        <v>-77888.679999999993</v>
      </c>
      <c r="Q37" s="21">
        <f t="shared" si="6"/>
        <v>2.4705002474776517E-2</v>
      </c>
      <c r="S37" s="98">
        <f t="shared" si="0"/>
        <v>-77888.679999999993</v>
      </c>
      <c r="T37" s="98">
        <f t="shared" si="1"/>
        <v>0</v>
      </c>
    </row>
    <row r="38" spans="1:20" x14ac:dyDescent="0.25">
      <c r="A38" s="15" t="s">
        <v>97</v>
      </c>
      <c r="B38" s="32">
        <v>-700</v>
      </c>
      <c r="C38" s="32">
        <v>0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20">
        <f t="shared" si="5"/>
        <v>-700</v>
      </c>
      <c r="Q38" s="21">
        <f t="shared" si="6"/>
        <v>2.2202843509921548E-4</v>
      </c>
      <c r="S38" s="98">
        <f t="shared" si="0"/>
        <v>-700</v>
      </c>
      <c r="T38" s="98">
        <f t="shared" si="1"/>
        <v>0</v>
      </c>
    </row>
    <row r="39" spans="1:20" x14ac:dyDescent="0.25">
      <c r="A39" s="15" t="s">
        <v>114</v>
      </c>
      <c r="B39" s="32">
        <v>0</v>
      </c>
      <c r="C39" s="32">
        <v>0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20">
        <f t="shared" si="5"/>
        <v>0</v>
      </c>
      <c r="Q39" s="21">
        <f t="shared" si="6"/>
        <v>0</v>
      </c>
      <c r="S39" s="98">
        <f t="shared" si="0"/>
        <v>0</v>
      </c>
      <c r="T39" s="98">
        <f t="shared" si="1"/>
        <v>0</v>
      </c>
    </row>
    <row r="40" spans="1:20" x14ac:dyDescent="0.25">
      <c r="A40" s="35" t="s">
        <v>31</v>
      </c>
      <c r="B40" s="36">
        <f>SUM(B14:B39)</f>
        <v>-678750.08000000007</v>
      </c>
      <c r="C40" s="36">
        <f>SUM(C14:C39)</f>
        <v>-1243451.58</v>
      </c>
      <c r="D40" s="36">
        <f t="shared" ref="D40:O40" si="8">SUM(D14:D39)</f>
        <v>0</v>
      </c>
      <c r="E40" s="36">
        <f t="shared" si="8"/>
        <v>0</v>
      </c>
      <c r="F40" s="36">
        <f t="shared" si="8"/>
        <v>0</v>
      </c>
      <c r="G40" s="36">
        <f t="shared" si="8"/>
        <v>0</v>
      </c>
      <c r="H40" s="36">
        <f t="shared" si="8"/>
        <v>0</v>
      </c>
      <c r="I40" s="36">
        <f t="shared" si="8"/>
        <v>0</v>
      </c>
      <c r="J40" s="36">
        <f t="shared" si="8"/>
        <v>0</v>
      </c>
      <c r="K40" s="36">
        <f t="shared" si="8"/>
        <v>0</v>
      </c>
      <c r="L40" s="36">
        <f t="shared" si="8"/>
        <v>0</v>
      </c>
      <c r="M40" s="36">
        <f t="shared" si="8"/>
        <v>0</v>
      </c>
      <c r="N40" s="36">
        <f t="shared" si="8"/>
        <v>0</v>
      </c>
      <c r="O40" s="36">
        <f t="shared" si="8"/>
        <v>0</v>
      </c>
      <c r="P40" s="36">
        <f>SUM(P14:P39)</f>
        <v>-1922201.66</v>
      </c>
      <c r="Q40" s="21">
        <f t="shared" si="6"/>
        <v>0.60969060930702035</v>
      </c>
      <c r="S40" s="98">
        <f>SUM(B40:O40)</f>
        <v>-1922201.6600000001</v>
      </c>
      <c r="T40" s="98">
        <f t="shared" si="1"/>
        <v>0</v>
      </c>
    </row>
    <row r="41" spans="1:20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18"/>
      <c r="S41" s="98">
        <f t="shared" si="0"/>
        <v>0</v>
      </c>
      <c r="T41" s="98">
        <f t="shared" si="1"/>
        <v>0</v>
      </c>
    </row>
    <row r="42" spans="1:20" x14ac:dyDescent="0.25">
      <c r="A42" s="39" t="s">
        <v>32</v>
      </c>
      <c r="B42" s="40">
        <f t="shared" ref="B42:O42" si="9">B11+B40</f>
        <v>317064.15999999992</v>
      </c>
      <c r="C42" s="40">
        <f t="shared" ref="C42" si="10">C11+C40</f>
        <v>807150.94</v>
      </c>
      <c r="D42" s="40">
        <f t="shared" si="9"/>
        <v>106332.57</v>
      </c>
      <c r="E42" s="40">
        <f t="shared" si="9"/>
        <v>0</v>
      </c>
      <c r="F42" s="40">
        <f t="shared" si="9"/>
        <v>0</v>
      </c>
      <c r="G42" s="40">
        <f t="shared" si="9"/>
        <v>0</v>
      </c>
      <c r="H42" s="40">
        <f t="shared" si="9"/>
        <v>0</v>
      </c>
      <c r="I42" s="58">
        <f t="shared" si="9"/>
        <v>0</v>
      </c>
      <c r="J42" s="40">
        <f t="shared" si="9"/>
        <v>0</v>
      </c>
      <c r="K42" s="40">
        <f t="shared" si="9"/>
        <v>0</v>
      </c>
      <c r="L42" s="58">
        <f t="shared" si="9"/>
        <v>0</v>
      </c>
      <c r="M42" s="58">
        <f t="shared" si="9"/>
        <v>0</v>
      </c>
      <c r="N42" s="58">
        <f t="shared" si="9"/>
        <v>0</v>
      </c>
      <c r="O42" s="58">
        <f t="shared" si="9"/>
        <v>0</v>
      </c>
      <c r="P42" s="155">
        <f t="shared" ref="P42" si="11">B42+C42+D42+E42+F42+G42+H42+I42+J42+K42+L42+M42+N42+O42</f>
        <v>1230547.67</v>
      </c>
      <c r="Q42" s="21">
        <f>P42/$P$11</f>
        <v>0.39030939069297971</v>
      </c>
      <c r="S42" s="98">
        <f t="shared" si="0"/>
        <v>1230547.67</v>
      </c>
      <c r="T42" s="98">
        <f t="shared" si="1"/>
        <v>0</v>
      </c>
    </row>
    <row r="43" spans="1:20" x14ac:dyDescent="0.25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4"/>
      <c r="S43" s="98">
        <f t="shared" si="0"/>
        <v>0</v>
      </c>
      <c r="T43" s="98">
        <f t="shared" si="1"/>
        <v>0</v>
      </c>
    </row>
    <row r="44" spans="1:20" x14ac:dyDescent="0.25">
      <c r="A44" s="29" t="s">
        <v>56</v>
      </c>
      <c r="B44" s="45">
        <f t="shared" ref="B44:L44" si="12">-B9*13.15%</f>
        <v>-130949.57256</v>
      </c>
      <c r="C44" s="45">
        <f t="shared" ref="C44" si="13">-C9*13.15%</f>
        <v>-269654.23138000001</v>
      </c>
      <c r="D44" s="45">
        <f t="shared" si="12"/>
        <v>-13982.732955000001</v>
      </c>
      <c r="E44" s="45">
        <f t="shared" si="12"/>
        <v>0</v>
      </c>
      <c r="F44" s="45">
        <f t="shared" si="12"/>
        <v>0</v>
      </c>
      <c r="G44" s="45">
        <f t="shared" si="12"/>
        <v>0</v>
      </c>
      <c r="H44" s="45">
        <f t="shared" si="12"/>
        <v>0</v>
      </c>
      <c r="I44" s="45">
        <f t="shared" si="12"/>
        <v>0</v>
      </c>
      <c r="J44" s="45">
        <f t="shared" si="12"/>
        <v>0</v>
      </c>
      <c r="K44" s="45">
        <f t="shared" si="12"/>
        <v>0</v>
      </c>
      <c r="L44" s="45">
        <f t="shared" si="12"/>
        <v>0</v>
      </c>
      <c r="M44" s="45">
        <f>-M9*13.15%</f>
        <v>0</v>
      </c>
      <c r="N44" s="45">
        <f t="shared" ref="N44:O44" si="14">-N9*13.15%</f>
        <v>0</v>
      </c>
      <c r="O44" s="45">
        <f t="shared" si="14"/>
        <v>0</v>
      </c>
      <c r="P44" s="20">
        <f t="shared" ref="P44" si="15">B44+C44+D44+E44+F44+G44+H44+I44+J44+K44+L44+M44+N44+O44</f>
        <v>-414586.53689500003</v>
      </c>
      <c r="Q44" s="21">
        <f t="shared" si="6"/>
        <v>0.13150000000000003</v>
      </c>
      <c r="S44" s="98">
        <f t="shared" si="0"/>
        <v>-414586.53689500003</v>
      </c>
      <c r="T44" s="98">
        <f t="shared" si="1"/>
        <v>0</v>
      </c>
    </row>
    <row r="45" spans="1:20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4"/>
      <c r="S45" s="98">
        <f t="shared" si="0"/>
        <v>0</v>
      </c>
      <c r="T45" s="98">
        <f t="shared" si="1"/>
        <v>0</v>
      </c>
    </row>
    <row r="46" spans="1:20" x14ac:dyDescent="0.25">
      <c r="A46" s="29" t="s">
        <v>33</v>
      </c>
      <c r="B46" s="45">
        <f t="shared" ref="B46:O46" si="16">-B9*1.22%</f>
        <v>-12148.933727999998</v>
      </c>
      <c r="C46" s="45">
        <f t="shared" ref="C46" si="17">-C9*1.22%</f>
        <v>-25017.350743999999</v>
      </c>
      <c r="D46" s="45">
        <f t="shared" si="16"/>
        <v>-1297.2573540000001</v>
      </c>
      <c r="E46" s="45">
        <f t="shared" si="16"/>
        <v>0</v>
      </c>
      <c r="F46" s="45">
        <f t="shared" si="16"/>
        <v>0</v>
      </c>
      <c r="G46" s="45">
        <f t="shared" si="16"/>
        <v>0</v>
      </c>
      <c r="H46" s="45">
        <f t="shared" si="16"/>
        <v>0</v>
      </c>
      <c r="I46" s="45">
        <f t="shared" si="16"/>
        <v>0</v>
      </c>
      <c r="J46" s="45">
        <f t="shared" si="16"/>
        <v>0</v>
      </c>
      <c r="K46" s="45">
        <f t="shared" si="16"/>
        <v>0</v>
      </c>
      <c r="L46" s="45">
        <f t="shared" si="16"/>
        <v>0</v>
      </c>
      <c r="M46" s="45">
        <f t="shared" si="16"/>
        <v>0</v>
      </c>
      <c r="N46" s="45">
        <f t="shared" si="16"/>
        <v>0</v>
      </c>
      <c r="O46" s="45">
        <f t="shared" si="16"/>
        <v>0</v>
      </c>
      <c r="P46" s="20">
        <f t="shared" ref="P46" si="18">B46+C46+D46+E46+F46+G46+H46+I46+J46+K46+L46+M46+N46+O46</f>
        <v>-38463.541826000001</v>
      </c>
      <c r="Q46" s="21">
        <f t="shared" si="6"/>
        <v>1.2200000000000003E-2</v>
      </c>
      <c r="S46" s="98">
        <f t="shared" si="0"/>
        <v>-38463.541826000001</v>
      </c>
      <c r="T46" s="98">
        <f t="shared" si="1"/>
        <v>0</v>
      </c>
    </row>
    <row r="47" spans="1:20" x14ac:dyDescent="0.2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4"/>
      <c r="S47" s="98">
        <f t="shared" si="0"/>
        <v>0</v>
      </c>
      <c r="T47" s="98">
        <f t="shared" si="1"/>
        <v>0</v>
      </c>
    </row>
    <row r="48" spans="1:20" x14ac:dyDescent="0.25">
      <c r="A48" s="48" t="s">
        <v>57</v>
      </c>
      <c r="B48" s="49">
        <f t="shared" ref="B48:N48" si="19">B40*5.56%</f>
        <v>-37738.504448</v>
      </c>
      <c r="C48" s="49">
        <f t="shared" ref="C48" si="20">C40*5.56%</f>
        <v>-69135.907848000003</v>
      </c>
      <c r="D48" s="49">
        <f t="shared" si="19"/>
        <v>0</v>
      </c>
      <c r="E48" s="49">
        <f t="shared" si="19"/>
        <v>0</v>
      </c>
      <c r="F48" s="49">
        <f t="shared" si="19"/>
        <v>0</v>
      </c>
      <c r="G48" s="49">
        <f t="shared" si="19"/>
        <v>0</v>
      </c>
      <c r="H48" s="49">
        <f>H40*5.56%</f>
        <v>0</v>
      </c>
      <c r="I48" s="49">
        <f t="shared" si="19"/>
        <v>0</v>
      </c>
      <c r="J48" s="49">
        <f t="shared" si="19"/>
        <v>0</v>
      </c>
      <c r="K48" s="49">
        <f t="shared" si="19"/>
        <v>0</v>
      </c>
      <c r="L48" s="49">
        <f t="shared" si="19"/>
        <v>0</v>
      </c>
      <c r="M48" s="49">
        <f t="shared" si="19"/>
        <v>0</v>
      </c>
      <c r="N48" s="49">
        <f t="shared" si="19"/>
        <v>0</v>
      </c>
      <c r="O48" s="49">
        <f>O40*5.56%</f>
        <v>0</v>
      </c>
      <c r="P48" s="20">
        <f t="shared" ref="P48" si="21">B48+C48+D48+E48+F48+G48+H48+I48+J48+K48+L48+M48+N48+O48</f>
        <v>-106874.41229599999</v>
      </c>
      <c r="Q48" s="21">
        <f t="shared" si="6"/>
        <v>3.3898797877470334E-2</v>
      </c>
      <c r="S48" s="98">
        <f t="shared" si="0"/>
        <v>-106874.41229599999</v>
      </c>
      <c r="T48" s="98">
        <f t="shared" si="1"/>
        <v>0</v>
      </c>
    </row>
    <row r="49" spans="1:20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4"/>
      <c r="S49" s="98">
        <f t="shared" si="0"/>
        <v>0</v>
      </c>
      <c r="T49" s="98">
        <f t="shared" si="1"/>
        <v>0</v>
      </c>
    </row>
    <row r="50" spans="1:20" x14ac:dyDescent="0.25">
      <c r="A50" s="48" t="s">
        <v>58</v>
      </c>
      <c r="B50" s="49">
        <f t="shared" ref="B50:L50" si="22">B40*0.01%</f>
        <v>-67.875008000000008</v>
      </c>
      <c r="C50" s="49">
        <f t="shared" ref="C50" si="23">C40*0.01%</f>
        <v>-124.34515800000001</v>
      </c>
      <c r="D50" s="49">
        <f t="shared" si="22"/>
        <v>0</v>
      </c>
      <c r="E50" s="49">
        <f t="shared" si="22"/>
        <v>0</v>
      </c>
      <c r="F50" s="49">
        <f t="shared" si="22"/>
        <v>0</v>
      </c>
      <c r="G50" s="49">
        <f t="shared" si="22"/>
        <v>0</v>
      </c>
      <c r="H50" s="49">
        <f t="shared" si="22"/>
        <v>0</v>
      </c>
      <c r="I50" s="49">
        <f t="shared" si="22"/>
        <v>0</v>
      </c>
      <c r="J50" s="49">
        <f t="shared" si="22"/>
        <v>0</v>
      </c>
      <c r="K50" s="49">
        <f t="shared" si="22"/>
        <v>0</v>
      </c>
      <c r="L50" s="49">
        <f t="shared" si="22"/>
        <v>0</v>
      </c>
      <c r="M50" s="49">
        <f>M40*0.01%</f>
        <v>0</v>
      </c>
      <c r="N50" s="49">
        <f t="shared" ref="N50" si="24">N40*0.01%</f>
        <v>0</v>
      </c>
      <c r="O50" s="49">
        <f>O40*0.01%</f>
        <v>0</v>
      </c>
      <c r="P50" s="20">
        <f t="shared" ref="P50" si="25">B50+C50+D50+E50+F50+G50+H50+I50+J50+K50+L50+M50+N50+O50</f>
        <v>-192.22016600000001</v>
      </c>
      <c r="Q50" s="21">
        <f t="shared" si="6"/>
        <v>6.0969060930702038E-5</v>
      </c>
      <c r="S50" s="98">
        <f t="shared" si="0"/>
        <v>-192.22016600000001</v>
      </c>
      <c r="T50" s="98">
        <f t="shared" si="1"/>
        <v>0</v>
      </c>
    </row>
    <row r="51" spans="1:20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4"/>
      <c r="S51" s="98">
        <f t="shared" si="0"/>
        <v>0</v>
      </c>
      <c r="T51" s="98">
        <f t="shared" si="1"/>
        <v>0</v>
      </c>
    </row>
    <row r="52" spans="1:20" x14ac:dyDescent="0.25">
      <c r="A52" s="39" t="s">
        <v>95</v>
      </c>
      <c r="B52" s="40">
        <f>B42+B48+B50+B44+B46</f>
        <v>136159.27425599992</v>
      </c>
      <c r="C52" s="40">
        <f>C42+C48+C50+C44+C46</f>
        <v>443219.10486999986</v>
      </c>
      <c r="D52" s="40">
        <f t="shared" ref="D52:N52" si="26">D42+D48+D50+D44+D46</f>
        <v>91052.579691000006</v>
      </c>
      <c r="E52" s="40">
        <f>E42+E48+E50+E44+E46</f>
        <v>0</v>
      </c>
      <c r="F52" s="40">
        <f>F42+F48+F50+F44+F46</f>
        <v>0</v>
      </c>
      <c r="G52" s="58">
        <f t="shared" si="26"/>
        <v>0</v>
      </c>
      <c r="H52" s="58">
        <f>H42+H48+H50+H44+H46</f>
        <v>0</v>
      </c>
      <c r="I52" s="58">
        <f t="shared" si="26"/>
        <v>0</v>
      </c>
      <c r="J52" s="58">
        <f t="shared" si="26"/>
        <v>0</v>
      </c>
      <c r="K52" s="40">
        <f t="shared" si="26"/>
        <v>0</v>
      </c>
      <c r="L52" s="58">
        <f t="shared" si="26"/>
        <v>0</v>
      </c>
      <c r="M52" s="58">
        <f t="shared" si="26"/>
        <v>0</v>
      </c>
      <c r="N52" s="58">
        <f t="shared" si="26"/>
        <v>0</v>
      </c>
      <c r="O52" s="58">
        <f>O42+O48+O50+O44+O46</f>
        <v>0</v>
      </c>
      <c r="P52" s="155">
        <f t="shared" ref="P52" si="27">B52+C52+D52+E52+F52+G52+H52+I52+J52+K52+L52+M52+N52+O52</f>
        <v>670430.9588169998</v>
      </c>
      <c r="Q52" s="21">
        <f>P52/$P$11</f>
        <v>0.21264962375457863</v>
      </c>
      <c r="S52" s="98">
        <f>SUM(B52:O52)</f>
        <v>670430.9588169998</v>
      </c>
      <c r="T52" s="98">
        <f t="shared" si="1"/>
        <v>0</v>
      </c>
    </row>
    <row r="53" spans="1:20" x14ac:dyDescent="0.25">
      <c r="A53" s="5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50"/>
    </row>
    <row r="54" spans="1:20" x14ac:dyDescent="0.25">
      <c r="A54" s="52" t="s">
        <v>35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53"/>
      <c r="Q54" s="50"/>
    </row>
    <row r="55" spans="1:20" x14ac:dyDescent="0.25"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  <row r="56" spans="1:20" x14ac:dyDescent="0.25">
      <c r="A56" s="54" t="s">
        <v>36</v>
      </c>
      <c r="B56" s="50"/>
      <c r="C56" s="50"/>
      <c r="D56" s="10"/>
      <c r="Q56" s="89">
        <v>45688</v>
      </c>
    </row>
    <row r="58" spans="1:20" x14ac:dyDescent="0.25">
      <c r="B58" s="98">
        <f>B11+B40+B44+B46+B48+B50</f>
        <v>136159.27425599992</v>
      </c>
      <c r="C58" s="98">
        <f>C11+C40+C44+C46+C48+C50</f>
        <v>443219.10486999992</v>
      </c>
      <c r="D58" s="98">
        <f t="shared" ref="D58:P58" si="28">D11+D40+D44+D46+D48+D50</f>
        <v>91052.579691000006</v>
      </c>
      <c r="E58" s="98">
        <f t="shared" si="28"/>
        <v>0</v>
      </c>
      <c r="F58" s="98">
        <f t="shared" si="28"/>
        <v>0</v>
      </c>
      <c r="G58" s="98">
        <f t="shared" si="28"/>
        <v>0</v>
      </c>
      <c r="H58" s="98">
        <f t="shared" si="28"/>
        <v>0</v>
      </c>
      <c r="I58" s="98">
        <f t="shared" si="28"/>
        <v>0</v>
      </c>
      <c r="J58" s="98">
        <f t="shared" si="28"/>
        <v>0</v>
      </c>
      <c r="K58" s="98">
        <f t="shared" si="28"/>
        <v>0</v>
      </c>
      <c r="L58" s="98">
        <f t="shared" si="28"/>
        <v>0</v>
      </c>
      <c r="M58" s="98">
        <f t="shared" si="28"/>
        <v>0</v>
      </c>
      <c r="N58" s="98">
        <f t="shared" si="28"/>
        <v>0</v>
      </c>
      <c r="O58" s="98">
        <f t="shared" si="28"/>
        <v>0</v>
      </c>
      <c r="P58" s="98">
        <f t="shared" si="28"/>
        <v>670430.95881699969</v>
      </c>
    </row>
    <row r="60" spans="1:20" x14ac:dyDescent="0.25">
      <c r="B60" s="98">
        <f>B52-B58</f>
        <v>0</v>
      </c>
      <c r="C60" s="98">
        <f>C52-C58</f>
        <v>0</v>
      </c>
      <c r="D60" s="98">
        <f t="shared" ref="D60:O60" si="29">D52-D58</f>
        <v>0</v>
      </c>
      <c r="E60" s="98">
        <f t="shared" si="29"/>
        <v>0</v>
      </c>
      <c r="F60" s="98">
        <f t="shared" si="29"/>
        <v>0</v>
      </c>
      <c r="G60" s="98">
        <f t="shared" si="29"/>
        <v>0</v>
      </c>
      <c r="H60" s="98">
        <f t="shared" si="29"/>
        <v>0</v>
      </c>
      <c r="I60" s="98">
        <f t="shared" si="29"/>
        <v>0</v>
      </c>
      <c r="J60" s="98">
        <f t="shared" si="29"/>
        <v>0</v>
      </c>
      <c r="K60" s="98">
        <f t="shared" si="29"/>
        <v>0</v>
      </c>
      <c r="L60" s="98">
        <f t="shared" si="29"/>
        <v>0</v>
      </c>
      <c r="M60" s="98">
        <f t="shared" si="29"/>
        <v>0</v>
      </c>
      <c r="N60" s="98">
        <f t="shared" si="29"/>
        <v>0</v>
      </c>
      <c r="O60" s="98">
        <f t="shared" si="29"/>
        <v>0</v>
      </c>
      <c r="P60" s="98">
        <f>P52-P58</f>
        <v>0</v>
      </c>
    </row>
  </sheetData>
  <mergeCells count="3">
    <mergeCell ref="A1:P1"/>
    <mergeCell ref="A3:P3"/>
    <mergeCell ref="A5:P5"/>
  </mergeCells>
  <phoneticPr fontId="12" type="noConversion"/>
  <conditionalFormatting sqref="G52">
    <cfRule type="cellIs" dxfId="111" priority="5" operator="lessThan">
      <formula>0</formula>
    </cfRule>
    <cfRule type="cellIs" dxfId="110" priority="6" operator="greaterThan">
      <formula>0</formula>
    </cfRule>
  </conditionalFormatting>
  <conditionalFormatting sqref="I52:J52">
    <cfRule type="cellIs" dxfId="109" priority="3" operator="lessThan">
      <formula>0</formula>
    </cfRule>
    <cfRule type="cellIs" dxfId="108" priority="4" operator="greaterThan">
      <formula>0</formula>
    </cfRule>
  </conditionalFormatting>
  <conditionalFormatting sqref="L52">
    <cfRule type="cellIs" dxfId="107" priority="1" operator="lessThan">
      <formula>0</formula>
    </cfRule>
    <cfRule type="cellIs" dxfId="106" priority="2" operator="greaterThan">
      <formula>0</formula>
    </cfRule>
  </conditionalFormatting>
  <printOptions horizontalCentered="1" verticalCentered="1"/>
  <pageMargins left="0.11811023622047245" right="0.11811023622047245" top="0.19685039370078741" bottom="0" header="0.51181102362204722" footer="0"/>
  <pageSetup paperSize="9" scale="62" orientation="landscape" r:id="rId1"/>
  <headerFooter>
    <oddHeader>&amp;C&amp;"-,Negrito"&amp;14                               BELA NOVA CONSTRUTORA EIRELI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S59"/>
  <sheetViews>
    <sheetView workbookViewId="0">
      <pane xSplit="1" topLeftCell="B1" activePane="topRight" state="frozen"/>
      <selection activeCell="C18" sqref="C18"/>
      <selection pane="topRight" activeCell="P56" sqref="A1:P56"/>
    </sheetView>
  </sheetViews>
  <sheetFormatPr defaultRowHeight="15" x14ac:dyDescent="0.25"/>
  <cols>
    <col min="1" max="1" width="48.140625" customWidth="1"/>
    <col min="2" max="2" width="18.28515625" bestFit="1" customWidth="1"/>
    <col min="3" max="3" width="16.140625" bestFit="1" customWidth="1"/>
    <col min="4" max="4" width="16.28515625" bestFit="1" customWidth="1"/>
    <col min="5" max="5" width="16.140625" bestFit="1" customWidth="1"/>
    <col min="6" max="6" width="17.42578125" customWidth="1"/>
    <col min="7" max="7" width="18" customWidth="1"/>
    <col min="8" max="8" width="16.7109375" customWidth="1"/>
    <col min="9" max="9" width="15.28515625" customWidth="1"/>
    <col min="10" max="10" width="13.28515625" customWidth="1"/>
    <col min="11" max="11" width="16.140625" hidden="1" customWidth="1"/>
    <col min="12" max="12" width="14.7109375" hidden="1" customWidth="1"/>
    <col min="13" max="13" width="16.85546875" hidden="1" customWidth="1"/>
    <col min="14" max="14" width="16.7109375" hidden="1" customWidth="1"/>
    <col min="15" max="15" width="18" bestFit="1" customWidth="1"/>
    <col min="16" max="16" width="10.7109375" bestFit="1" customWidth="1"/>
    <col min="17" max="17" width="8.28515625" customWidth="1"/>
    <col min="18" max="18" width="16" bestFit="1" customWidth="1"/>
    <col min="19" max="19" width="14.28515625" bestFit="1" customWidth="1"/>
  </cols>
  <sheetData>
    <row r="1" spans="1:19" ht="15.75" customHeight="1" x14ac:dyDescent="0.25">
      <c r="A1" s="88"/>
      <c r="B1" s="209" t="s">
        <v>157</v>
      </c>
      <c r="C1" s="209"/>
      <c r="D1" s="209"/>
      <c r="E1" s="209"/>
      <c r="F1" s="209"/>
    </row>
    <row r="2" spans="1:19" ht="12" customHeight="1" x14ac:dyDescent="0.25">
      <c r="A2" s="71"/>
      <c r="B2" s="71"/>
      <c r="C2" s="10"/>
    </row>
    <row r="3" spans="1:19" ht="15.75" customHeight="1" x14ac:dyDescent="0.25">
      <c r="A3" s="88"/>
      <c r="B3" s="209" t="s">
        <v>158</v>
      </c>
      <c r="C3" s="209"/>
      <c r="D3" s="209"/>
      <c r="E3" s="209"/>
      <c r="F3" s="209"/>
    </row>
    <row r="4" spans="1:19" ht="11.25" customHeight="1" x14ac:dyDescent="0.25">
      <c r="A4" s="71"/>
      <c r="B4" s="71"/>
      <c r="C4" s="10"/>
    </row>
    <row r="5" spans="1:19" ht="15.75" customHeight="1" x14ac:dyDescent="0.25">
      <c r="A5" s="88"/>
      <c r="B5" s="209" t="s">
        <v>184</v>
      </c>
      <c r="C5" s="209"/>
      <c r="D5" s="209"/>
      <c r="E5" s="209"/>
      <c r="F5" s="209"/>
    </row>
    <row r="6" spans="1:19" x14ac:dyDescent="0.25">
      <c r="A6" s="10"/>
      <c r="B6" s="10"/>
      <c r="C6" s="10"/>
    </row>
    <row r="7" spans="1:19" x14ac:dyDescent="0.25">
      <c r="A7" s="12"/>
      <c r="B7" s="60" t="s">
        <v>135</v>
      </c>
      <c r="C7" s="60" t="s">
        <v>117</v>
      </c>
      <c r="D7" s="60" t="s">
        <v>118</v>
      </c>
      <c r="E7" s="60" t="s">
        <v>119</v>
      </c>
      <c r="F7" s="60" t="s">
        <v>120</v>
      </c>
      <c r="G7" s="60" t="s">
        <v>121</v>
      </c>
      <c r="H7" s="60" t="s">
        <v>123</v>
      </c>
      <c r="I7" s="60" t="s">
        <v>124</v>
      </c>
      <c r="J7" s="60" t="s">
        <v>125</v>
      </c>
      <c r="K7" s="60" t="s">
        <v>126</v>
      </c>
      <c r="L7" s="60" t="s">
        <v>127</v>
      </c>
      <c r="M7" s="60" t="s">
        <v>128</v>
      </c>
      <c r="N7" s="60" t="s">
        <v>129</v>
      </c>
      <c r="O7" s="13" t="s">
        <v>1</v>
      </c>
      <c r="P7" s="14" t="s">
        <v>2</v>
      </c>
    </row>
    <row r="8" spans="1:19" x14ac:dyDescent="0.25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  <c r="P8" s="18"/>
    </row>
    <row r="9" spans="1:19" x14ac:dyDescent="0.25">
      <c r="A9" s="78" t="s">
        <v>4</v>
      </c>
      <c r="B9" s="19">
        <v>1063216.3400000001</v>
      </c>
      <c r="C9" s="19">
        <v>598205.02</v>
      </c>
      <c r="D9" s="19">
        <v>367076.29</v>
      </c>
      <c r="E9" s="19">
        <v>434827.43</v>
      </c>
      <c r="F9" s="19">
        <v>219620.59</v>
      </c>
      <c r="G9" s="19">
        <v>129178.34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20">
        <f>B9+C9+D9+E9+F9+G9+H9+I9+J9+K9+L9+M9+N9</f>
        <v>2812124.01</v>
      </c>
      <c r="P9" s="21">
        <v>1</v>
      </c>
      <c r="R9" s="98">
        <f t="shared" ref="R9:R51" si="0">SUM(B9:J9)</f>
        <v>2812124.01</v>
      </c>
      <c r="S9" s="98">
        <f>O9-R9</f>
        <v>0</v>
      </c>
    </row>
    <row r="10" spans="1:19" x14ac:dyDescent="0.25">
      <c r="A10" s="15" t="s">
        <v>5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20">
        <f>B10+C10+D10+E10+F10+G10+H10+I10+J10+K10+L10+M10+N10</f>
        <v>0</v>
      </c>
      <c r="P10" s="21"/>
      <c r="R10" s="98">
        <f t="shared" si="0"/>
        <v>0</v>
      </c>
      <c r="S10" s="98">
        <f t="shared" ref="S10:S52" si="1">O10-R10</f>
        <v>0</v>
      </c>
    </row>
    <row r="11" spans="1:19" x14ac:dyDescent="0.25">
      <c r="A11" s="23" t="s">
        <v>6</v>
      </c>
      <c r="B11" s="24">
        <f t="shared" ref="B11:E11" si="2">SUM(B9:B10)</f>
        <v>1063216.3400000001</v>
      </c>
      <c r="C11" s="24">
        <f t="shared" si="2"/>
        <v>598205.02</v>
      </c>
      <c r="D11" s="24">
        <f t="shared" si="2"/>
        <v>367076.29</v>
      </c>
      <c r="E11" s="24">
        <f t="shared" si="2"/>
        <v>434827.43</v>
      </c>
      <c r="F11" s="24">
        <f t="shared" ref="F11:N11" si="3">SUM(F9:F10)</f>
        <v>219620.59</v>
      </c>
      <c r="G11" s="24">
        <f t="shared" si="3"/>
        <v>129178.34</v>
      </c>
      <c r="H11" s="24">
        <f t="shared" si="3"/>
        <v>0</v>
      </c>
      <c r="I11" s="24">
        <f t="shared" si="3"/>
        <v>0</v>
      </c>
      <c r="J11" s="24">
        <f t="shared" si="3"/>
        <v>0</v>
      </c>
      <c r="K11" s="24">
        <f t="shared" si="3"/>
        <v>0</v>
      </c>
      <c r="L11" s="24">
        <f t="shared" si="3"/>
        <v>0</v>
      </c>
      <c r="M11" s="24">
        <f t="shared" si="3"/>
        <v>0</v>
      </c>
      <c r="N11" s="24">
        <f t="shared" si="3"/>
        <v>0</v>
      </c>
      <c r="O11" s="24">
        <f>SUM(O9:O10)</f>
        <v>2812124.01</v>
      </c>
      <c r="P11" s="21">
        <v>1</v>
      </c>
      <c r="R11" s="98">
        <f t="shared" si="0"/>
        <v>2812124.01</v>
      </c>
      <c r="S11" s="98">
        <f t="shared" si="1"/>
        <v>0</v>
      </c>
    </row>
    <row r="12" spans="1:19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/>
      <c r="P12" s="28"/>
      <c r="R12" s="98">
        <f t="shared" si="0"/>
        <v>0</v>
      </c>
      <c r="S12" s="98"/>
    </row>
    <row r="13" spans="1:19" x14ac:dyDescent="0.25">
      <c r="A13" s="29" t="s">
        <v>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  <c r="P13" s="31"/>
      <c r="R13" s="98">
        <f t="shared" si="0"/>
        <v>0</v>
      </c>
      <c r="S13" s="98"/>
    </row>
    <row r="14" spans="1:19" x14ac:dyDescent="0.25">
      <c r="A14" s="15" t="s">
        <v>8</v>
      </c>
      <c r="B14" s="32">
        <v>-55920.23</v>
      </c>
      <c r="C14" s="76">
        <v>-25076.95</v>
      </c>
      <c r="D14" s="32">
        <v>-18623.96</v>
      </c>
      <c r="E14" s="32">
        <v>-15513.04</v>
      </c>
      <c r="F14" s="32">
        <v>-8165.86</v>
      </c>
      <c r="G14" s="32">
        <v>-4394.58</v>
      </c>
      <c r="H14" s="32">
        <v>-714</v>
      </c>
      <c r="I14" s="32">
        <v>-40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20">
        <f>B14+C14+D14+E14+F14+G14+H14+I14+J14+K14+L14+M14+N14</f>
        <v>-128448.62000000002</v>
      </c>
      <c r="P14" s="21">
        <f>-O14/$O$11</f>
        <v>4.567672675288599E-2</v>
      </c>
      <c r="Q14" s="101"/>
      <c r="R14" s="98">
        <f t="shared" si="0"/>
        <v>-128448.62000000002</v>
      </c>
      <c r="S14" s="98">
        <f t="shared" si="1"/>
        <v>0</v>
      </c>
    </row>
    <row r="15" spans="1:19" x14ac:dyDescent="0.25">
      <c r="A15" s="33" t="s">
        <v>9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20">
        <f t="shared" ref="O15:O37" si="4">B15+C15+D15+E15+F15+G15+H15+I15+J15+K15+L15+M15+N15</f>
        <v>0</v>
      </c>
      <c r="P15" s="21">
        <f t="shared" ref="P15:P50" si="5">-O15/$O$11</f>
        <v>0</v>
      </c>
      <c r="Q15" s="101"/>
      <c r="R15" s="98">
        <f t="shared" si="0"/>
        <v>0</v>
      </c>
      <c r="S15" s="98">
        <f t="shared" si="1"/>
        <v>0</v>
      </c>
    </row>
    <row r="16" spans="1:19" x14ac:dyDescent="0.25">
      <c r="A16" s="15" t="s">
        <v>10</v>
      </c>
      <c r="B16" s="32">
        <v>-308</v>
      </c>
      <c r="C16" s="32">
        <v>-161.34</v>
      </c>
      <c r="D16" s="32">
        <v>-164</v>
      </c>
      <c r="E16" s="32">
        <v>-164</v>
      </c>
      <c r="F16" s="32">
        <v>-60.14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20">
        <f t="shared" si="4"/>
        <v>-857.48</v>
      </c>
      <c r="P16" s="21">
        <f t="shared" si="5"/>
        <v>3.0492254144937232E-4</v>
      </c>
      <c r="Q16" s="101"/>
      <c r="R16" s="98">
        <f t="shared" si="0"/>
        <v>-857.48</v>
      </c>
      <c r="S16" s="98">
        <f t="shared" si="1"/>
        <v>0</v>
      </c>
    </row>
    <row r="17" spans="1:19" x14ac:dyDescent="0.25">
      <c r="A17" s="33" t="s">
        <v>11</v>
      </c>
      <c r="B17" s="32">
        <v>-10561.84</v>
      </c>
      <c r="C17" s="32">
        <v>-1672.43</v>
      </c>
      <c r="D17" s="32">
        <v>-1630.04</v>
      </c>
      <c r="E17" s="32">
        <v>-255.95</v>
      </c>
      <c r="F17" s="32">
        <v>-453.4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20">
        <f t="shared" si="4"/>
        <v>-14573.660000000002</v>
      </c>
      <c r="P17" s="21">
        <f t="shared" si="5"/>
        <v>5.1824385938086717E-3</v>
      </c>
      <c r="Q17" s="101"/>
      <c r="R17" s="98">
        <f t="shared" si="0"/>
        <v>-14573.660000000002</v>
      </c>
      <c r="S17" s="98">
        <f t="shared" si="1"/>
        <v>0</v>
      </c>
    </row>
    <row r="18" spans="1:19" x14ac:dyDescent="0.25">
      <c r="A18" s="15" t="s">
        <v>12</v>
      </c>
      <c r="B18" s="32">
        <v>-25422.16</v>
      </c>
      <c r="C18" s="32">
        <v>-5362.96</v>
      </c>
      <c r="D18" s="32">
        <v>-5341.14</v>
      </c>
      <c r="E18" s="32">
        <v>-3579.49</v>
      </c>
      <c r="F18" s="32">
        <v>-513.15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20">
        <f t="shared" si="4"/>
        <v>-40218.9</v>
      </c>
      <c r="P18" s="21">
        <f t="shared" si="5"/>
        <v>1.4301965296331296E-2</v>
      </c>
      <c r="Q18" s="101"/>
      <c r="R18" s="98">
        <f t="shared" si="0"/>
        <v>-40218.9</v>
      </c>
      <c r="S18" s="98">
        <f t="shared" si="1"/>
        <v>0</v>
      </c>
    </row>
    <row r="19" spans="1:19" x14ac:dyDescent="0.25">
      <c r="A19" s="15" t="s">
        <v>13</v>
      </c>
      <c r="B19" s="32">
        <v>-15540.99</v>
      </c>
      <c r="C19" s="32">
        <v>-3570.92</v>
      </c>
      <c r="D19" s="32">
        <v>-3781.43</v>
      </c>
      <c r="E19" s="32">
        <v>-2264.91</v>
      </c>
      <c r="F19" s="32">
        <v>-337.69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20">
        <f t="shared" si="4"/>
        <v>-25495.94</v>
      </c>
      <c r="P19" s="21">
        <f t="shared" si="5"/>
        <v>9.0664351605176906E-3</v>
      </c>
      <c r="Q19" s="101"/>
      <c r="R19" s="98">
        <f t="shared" si="0"/>
        <v>-25495.94</v>
      </c>
      <c r="S19" s="98">
        <f t="shared" si="1"/>
        <v>0</v>
      </c>
    </row>
    <row r="20" spans="1:19" x14ac:dyDescent="0.25">
      <c r="A20" s="15" t="s">
        <v>14</v>
      </c>
      <c r="B20" s="32">
        <v>-19063.21</v>
      </c>
      <c r="C20" s="32">
        <v>-4766.7700000000004</v>
      </c>
      <c r="D20" s="32">
        <v>-5968.65</v>
      </c>
      <c r="E20" s="32">
        <v>-2316.11</v>
      </c>
      <c r="F20" s="32">
        <v>-530.5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20">
        <f t="shared" si="4"/>
        <v>-32645.239999999998</v>
      </c>
      <c r="P20" s="21">
        <f t="shared" si="5"/>
        <v>1.1608748363839048E-2</v>
      </c>
      <c r="Q20" s="101"/>
      <c r="R20" s="98">
        <f t="shared" si="0"/>
        <v>-32645.239999999998</v>
      </c>
      <c r="S20" s="98">
        <f t="shared" si="1"/>
        <v>0</v>
      </c>
    </row>
    <row r="21" spans="1:19" x14ac:dyDescent="0.25">
      <c r="A21" s="15" t="s">
        <v>15</v>
      </c>
      <c r="B21" s="32">
        <v>-80.16</v>
      </c>
      <c r="C21" s="32">
        <v>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20">
        <f t="shared" si="4"/>
        <v>-80.16</v>
      </c>
      <c r="P21" s="21">
        <f t="shared" si="5"/>
        <v>2.8505144053017777E-5</v>
      </c>
      <c r="Q21" s="101"/>
      <c r="R21" s="98">
        <f t="shared" si="0"/>
        <v>-80.16</v>
      </c>
      <c r="S21" s="98">
        <f t="shared" si="1"/>
        <v>0</v>
      </c>
    </row>
    <row r="22" spans="1:19" x14ac:dyDescent="0.25">
      <c r="A22" s="15" t="s">
        <v>16</v>
      </c>
      <c r="B22" s="32">
        <v>0</v>
      </c>
      <c r="C22" s="32">
        <v>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20">
        <f t="shared" si="4"/>
        <v>0</v>
      </c>
      <c r="P22" s="21">
        <f t="shared" si="5"/>
        <v>0</v>
      </c>
      <c r="Q22" s="101"/>
      <c r="R22" s="98">
        <f t="shared" si="0"/>
        <v>0</v>
      </c>
      <c r="S22" s="98">
        <f t="shared" si="1"/>
        <v>0</v>
      </c>
    </row>
    <row r="23" spans="1:19" x14ac:dyDescent="0.25">
      <c r="A23" s="15" t="s">
        <v>17</v>
      </c>
      <c r="B23" s="32">
        <v>-17826.330000000002</v>
      </c>
      <c r="C23" s="32">
        <v>-4112.2</v>
      </c>
      <c r="D23" s="32">
        <v>-4159.58</v>
      </c>
      <c r="E23" s="32">
        <v>-2533.73</v>
      </c>
      <c r="F23" s="32">
        <v>-371.46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20">
        <f t="shared" si="4"/>
        <v>-29003.3</v>
      </c>
      <c r="P23" s="21">
        <f t="shared" si="5"/>
        <v>1.0313663229951229E-2</v>
      </c>
      <c r="Q23" s="101"/>
      <c r="R23" s="98">
        <f t="shared" si="0"/>
        <v>-29003.3</v>
      </c>
      <c r="S23" s="98">
        <f t="shared" si="1"/>
        <v>0</v>
      </c>
    </row>
    <row r="24" spans="1:19" x14ac:dyDescent="0.25">
      <c r="A24" s="15" t="s">
        <v>18</v>
      </c>
      <c r="B24" s="32">
        <v>-7959.92</v>
      </c>
      <c r="C24" s="32">
        <v>-1468.28</v>
      </c>
      <c r="D24" s="32">
        <v>-1468.28</v>
      </c>
      <c r="E24" s="32">
        <v>-1192.4100000000001</v>
      </c>
      <c r="F24" s="32">
        <v>-917.41</v>
      </c>
      <c r="G24" s="32">
        <v>0</v>
      </c>
      <c r="H24" s="32">
        <v>0</v>
      </c>
      <c r="I24" s="32">
        <v>-500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20">
        <f t="shared" si="4"/>
        <v>-13506.300000000001</v>
      </c>
      <c r="P24" s="21">
        <f t="shared" si="5"/>
        <v>4.8028820748911433E-3</v>
      </c>
      <c r="Q24" s="101"/>
      <c r="R24" s="98">
        <f t="shared" si="0"/>
        <v>-13506.300000000001</v>
      </c>
      <c r="S24" s="98">
        <f t="shared" si="1"/>
        <v>0</v>
      </c>
    </row>
    <row r="25" spans="1:19" x14ac:dyDescent="0.25">
      <c r="A25" s="15" t="s">
        <v>19</v>
      </c>
      <c r="B25" s="32">
        <v>-29492.06</v>
      </c>
      <c r="C25" s="32">
        <v>-11022.26</v>
      </c>
      <c r="D25" s="32">
        <v>-1170</v>
      </c>
      <c r="E25" s="32">
        <v>-17434.02</v>
      </c>
      <c r="F25" s="32">
        <v>-2380</v>
      </c>
      <c r="G25" s="32">
        <v>-531.72</v>
      </c>
      <c r="H25" s="32">
        <v>-5141.4399999999996</v>
      </c>
      <c r="I25" s="32">
        <v>-158.62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20">
        <f t="shared" si="4"/>
        <v>-67330.12</v>
      </c>
      <c r="P25" s="21">
        <f t="shared" si="5"/>
        <v>2.3942799023290585E-2</v>
      </c>
      <c r="Q25" s="101"/>
      <c r="R25" s="98">
        <f t="shared" si="0"/>
        <v>-67330.12</v>
      </c>
      <c r="S25" s="98">
        <f t="shared" si="1"/>
        <v>0</v>
      </c>
    </row>
    <row r="26" spans="1:19" x14ac:dyDescent="0.25">
      <c r="A26" s="15" t="s">
        <v>20</v>
      </c>
      <c r="B26" s="32">
        <v>0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20">
        <f t="shared" si="4"/>
        <v>0</v>
      </c>
      <c r="P26" s="21">
        <f t="shared" si="5"/>
        <v>0</v>
      </c>
      <c r="Q26" s="101"/>
      <c r="R26" s="98">
        <f t="shared" si="0"/>
        <v>0</v>
      </c>
      <c r="S26" s="98">
        <f t="shared" si="1"/>
        <v>0</v>
      </c>
    </row>
    <row r="27" spans="1:19" x14ac:dyDescent="0.25">
      <c r="A27" s="15" t="s">
        <v>59</v>
      </c>
      <c r="B27" s="32">
        <v>0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20">
        <f t="shared" si="4"/>
        <v>0</v>
      </c>
      <c r="P27" s="21">
        <f t="shared" si="5"/>
        <v>0</v>
      </c>
      <c r="Q27" s="101"/>
      <c r="R27" s="98">
        <f t="shared" si="0"/>
        <v>0</v>
      </c>
      <c r="S27" s="98">
        <f t="shared" si="1"/>
        <v>0</v>
      </c>
    </row>
    <row r="28" spans="1:19" x14ac:dyDescent="0.25">
      <c r="A28" s="15" t="s">
        <v>21</v>
      </c>
      <c r="B28" s="32">
        <v>-945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20">
        <f t="shared" si="4"/>
        <v>-945</v>
      </c>
      <c r="P28" s="21">
        <f t="shared" si="5"/>
        <v>3.3604492427771705E-4</v>
      </c>
      <c r="Q28" s="101"/>
      <c r="R28" s="98">
        <f t="shared" si="0"/>
        <v>-945</v>
      </c>
      <c r="S28" s="98">
        <f t="shared" si="1"/>
        <v>0</v>
      </c>
    </row>
    <row r="29" spans="1:19" x14ac:dyDescent="0.25">
      <c r="A29" s="15" t="s">
        <v>22</v>
      </c>
      <c r="B29" s="32">
        <v>-2505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20">
        <f t="shared" si="4"/>
        <v>-2505</v>
      </c>
      <c r="P29" s="21">
        <f t="shared" si="5"/>
        <v>8.9078575165680554E-4</v>
      </c>
      <c r="Q29" s="101"/>
      <c r="R29" s="98">
        <f t="shared" si="0"/>
        <v>-2505</v>
      </c>
      <c r="S29" s="98">
        <f t="shared" si="1"/>
        <v>0</v>
      </c>
    </row>
    <row r="30" spans="1:19" x14ac:dyDescent="0.25">
      <c r="A30" s="33" t="s">
        <v>23</v>
      </c>
      <c r="B30" s="32">
        <v>-15244.57</v>
      </c>
      <c r="C30" s="32">
        <v>-453.84</v>
      </c>
      <c r="D30" s="32">
        <v>-1371.72</v>
      </c>
      <c r="E30" s="32">
        <v>0</v>
      </c>
      <c r="F30" s="32">
        <v>-395.43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20">
        <f t="shared" si="4"/>
        <v>-17465.560000000001</v>
      </c>
      <c r="P30" s="21">
        <f t="shared" si="5"/>
        <v>6.2108071827173808E-3</v>
      </c>
      <c r="Q30" s="101"/>
      <c r="R30" s="98">
        <f t="shared" si="0"/>
        <v>-17465.560000000001</v>
      </c>
      <c r="S30" s="98">
        <f t="shared" si="1"/>
        <v>0</v>
      </c>
    </row>
    <row r="31" spans="1:19" x14ac:dyDescent="0.25">
      <c r="A31" s="15" t="s">
        <v>24</v>
      </c>
      <c r="B31" s="32">
        <v>-101725.62</v>
      </c>
      <c r="C31" s="32">
        <v>-34634</v>
      </c>
      <c r="D31" s="32">
        <v>-34664</v>
      </c>
      <c r="E31" s="32">
        <v>-6906</v>
      </c>
      <c r="F31" s="32">
        <v>-615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20">
        <f t="shared" si="4"/>
        <v>-178544.62</v>
      </c>
      <c r="P31" s="21">
        <f t="shared" si="5"/>
        <v>6.3491019373644195E-2</v>
      </c>
      <c r="Q31" s="101"/>
      <c r="R31" s="98">
        <f t="shared" si="0"/>
        <v>-178544.62</v>
      </c>
      <c r="S31" s="98">
        <f t="shared" si="1"/>
        <v>0</v>
      </c>
    </row>
    <row r="32" spans="1:19" x14ac:dyDescent="0.25">
      <c r="A32" s="34" t="s">
        <v>25</v>
      </c>
      <c r="B32" s="32">
        <v>-171740.25</v>
      </c>
      <c r="C32" s="32">
        <v>-39359.65</v>
      </c>
      <c r="D32" s="32">
        <v>-41261.06</v>
      </c>
      <c r="E32" s="32">
        <v>-26112.93</v>
      </c>
      <c r="F32" s="32">
        <v>-3689.57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20">
        <f t="shared" si="4"/>
        <v>-282163.46000000002</v>
      </c>
      <c r="P32" s="21">
        <f t="shared" si="5"/>
        <v>0.10033819952342715</v>
      </c>
      <c r="Q32" s="101"/>
      <c r="R32" s="98">
        <f t="shared" si="0"/>
        <v>-282163.46000000002</v>
      </c>
      <c r="S32" s="98">
        <f t="shared" si="1"/>
        <v>0</v>
      </c>
    </row>
    <row r="33" spans="1:19" x14ac:dyDescent="0.25">
      <c r="A33" s="15" t="s">
        <v>26</v>
      </c>
      <c r="B33" s="32">
        <v>0</v>
      </c>
      <c r="C33" s="32">
        <v>0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20">
        <f t="shared" si="4"/>
        <v>0</v>
      </c>
      <c r="P33" s="21">
        <f t="shared" si="5"/>
        <v>0</v>
      </c>
      <c r="Q33" s="101"/>
      <c r="R33" s="98">
        <f t="shared" si="0"/>
        <v>0</v>
      </c>
      <c r="S33" s="98">
        <f t="shared" si="1"/>
        <v>0</v>
      </c>
    </row>
    <row r="34" spans="1:19" x14ac:dyDescent="0.25">
      <c r="A34" s="15" t="s">
        <v>27</v>
      </c>
      <c r="B34" s="32">
        <v>0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20">
        <f t="shared" si="4"/>
        <v>0</v>
      </c>
      <c r="P34" s="21">
        <f t="shared" si="5"/>
        <v>0</v>
      </c>
      <c r="Q34" s="101"/>
      <c r="R34" s="98">
        <f t="shared" si="0"/>
        <v>0</v>
      </c>
      <c r="S34" s="98">
        <f t="shared" si="1"/>
        <v>0</v>
      </c>
    </row>
    <row r="35" spans="1:19" x14ac:dyDescent="0.25">
      <c r="A35" s="33" t="s">
        <v>28</v>
      </c>
      <c r="B35" s="32">
        <v>-5941.27</v>
      </c>
      <c r="C35" s="32">
        <v>-488.37</v>
      </c>
      <c r="D35" s="32">
        <v>-428.65</v>
      </c>
      <c r="E35" s="32">
        <v>-86.01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20">
        <f t="shared" si="4"/>
        <v>-6944.3</v>
      </c>
      <c r="P35" s="21">
        <f t="shared" si="5"/>
        <v>2.4694145689542336E-3</v>
      </c>
      <c r="Q35" s="101"/>
      <c r="R35" s="98">
        <f t="shared" si="0"/>
        <v>-6944.3</v>
      </c>
      <c r="S35" s="98">
        <f t="shared" si="1"/>
        <v>0</v>
      </c>
    </row>
    <row r="36" spans="1:19" x14ac:dyDescent="0.25">
      <c r="A36" s="15" t="s">
        <v>29</v>
      </c>
      <c r="B36" s="32">
        <v>-10912.24</v>
      </c>
      <c r="C36" s="32">
        <v>-3183.59</v>
      </c>
      <c r="D36" s="32">
        <v>-4494.07</v>
      </c>
      <c r="E36" s="32">
        <v>-4961.53</v>
      </c>
      <c r="F36" s="32">
        <v>-4445.5600000000004</v>
      </c>
      <c r="G36" s="32">
        <v>-534.4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20">
        <f t="shared" si="4"/>
        <v>-28531.390000000003</v>
      </c>
      <c r="P36" s="21">
        <f t="shared" si="5"/>
        <v>1.0145850573638111E-2</v>
      </c>
      <c r="Q36" s="101"/>
      <c r="R36" s="98">
        <f t="shared" si="0"/>
        <v>-28531.390000000003</v>
      </c>
      <c r="S36" s="98">
        <f t="shared" si="1"/>
        <v>0</v>
      </c>
    </row>
    <row r="37" spans="1:19" x14ac:dyDescent="0.25">
      <c r="A37" s="15" t="s">
        <v>30</v>
      </c>
      <c r="B37" s="32">
        <v>-18934.900000000001</v>
      </c>
      <c r="C37" s="32">
        <v>-4022.22</v>
      </c>
      <c r="D37" s="32">
        <v>-4005.85</v>
      </c>
      <c r="E37" s="32">
        <v>-2684.62</v>
      </c>
      <c r="F37" s="32">
        <v>-384.86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20">
        <f t="shared" si="4"/>
        <v>-30032.45</v>
      </c>
      <c r="P37" s="21">
        <f t="shared" si="5"/>
        <v>1.0679632154628915E-2</v>
      </c>
      <c r="Q37" s="101"/>
      <c r="R37" s="98">
        <f t="shared" si="0"/>
        <v>-30032.45</v>
      </c>
      <c r="S37" s="98">
        <f t="shared" si="1"/>
        <v>0</v>
      </c>
    </row>
    <row r="38" spans="1:19" x14ac:dyDescent="0.25">
      <c r="A38" s="15" t="s">
        <v>97</v>
      </c>
      <c r="B38" s="32">
        <v>0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20">
        <f>B38+C38+D38+E38+F38+G38+H38+I38+J38+K38+L38+M38+N38</f>
        <v>0</v>
      </c>
      <c r="P38" s="21">
        <f t="shared" si="5"/>
        <v>0</v>
      </c>
      <c r="Q38" s="101"/>
      <c r="R38" s="98">
        <f t="shared" si="0"/>
        <v>0</v>
      </c>
      <c r="S38" s="98">
        <f t="shared" si="1"/>
        <v>0</v>
      </c>
    </row>
    <row r="39" spans="1:19" x14ac:dyDescent="0.25">
      <c r="A39" s="15" t="s">
        <v>114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20">
        <v>0</v>
      </c>
      <c r="P39" s="21">
        <f t="shared" si="5"/>
        <v>0</v>
      </c>
      <c r="Q39" s="101"/>
      <c r="R39" s="98">
        <f t="shared" si="0"/>
        <v>0</v>
      </c>
      <c r="S39" s="98">
        <f t="shared" si="1"/>
        <v>0</v>
      </c>
    </row>
    <row r="40" spans="1:19" x14ac:dyDescent="0.25">
      <c r="A40" s="35" t="s">
        <v>31</v>
      </c>
      <c r="B40" s="36">
        <f>SUM(B14:B39)</f>
        <v>-510123.75000000012</v>
      </c>
      <c r="C40" s="36">
        <f t="shared" ref="C40:N40" si="6">SUM(C14:C39)</f>
        <v>-139355.77999999997</v>
      </c>
      <c r="D40" s="36">
        <f t="shared" si="6"/>
        <v>-128532.43</v>
      </c>
      <c r="E40" s="36">
        <f t="shared" si="6"/>
        <v>-86004.749999999985</v>
      </c>
      <c r="F40" s="36">
        <f t="shared" si="6"/>
        <v>-23260.030000000002</v>
      </c>
      <c r="G40" s="36">
        <f t="shared" si="6"/>
        <v>-5460.7</v>
      </c>
      <c r="H40" s="36">
        <f t="shared" si="6"/>
        <v>-5855.44</v>
      </c>
      <c r="I40" s="36">
        <f t="shared" si="6"/>
        <v>-698.62</v>
      </c>
      <c r="J40" s="36">
        <f t="shared" si="6"/>
        <v>0</v>
      </c>
      <c r="K40" s="36">
        <f t="shared" si="6"/>
        <v>0</v>
      </c>
      <c r="L40" s="36">
        <f t="shared" si="6"/>
        <v>0</v>
      </c>
      <c r="M40" s="36">
        <f t="shared" si="6"/>
        <v>0</v>
      </c>
      <c r="N40" s="36">
        <f t="shared" si="6"/>
        <v>0</v>
      </c>
      <c r="O40" s="36">
        <f>SUM(O14:O39)</f>
        <v>-899291.49999999988</v>
      </c>
      <c r="P40" s="21">
        <f t="shared" si="5"/>
        <v>0.31979084023396248</v>
      </c>
      <c r="Q40" s="101"/>
      <c r="R40" s="98">
        <f>SUM(B40:J40)</f>
        <v>-899291.49999999988</v>
      </c>
      <c r="S40" s="98">
        <f t="shared" si="1"/>
        <v>0</v>
      </c>
    </row>
    <row r="41" spans="1:19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>
        <f t="shared" ref="J41:N41" si="7">SUM(J14:J39)</f>
        <v>0</v>
      </c>
      <c r="K41" s="38">
        <f t="shared" si="7"/>
        <v>0</v>
      </c>
      <c r="L41" s="38">
        <f t="shared" si="7"/>
        <v>0</v>
      </c>
      <c r="M41" s="38">
        <f t="shared" si="7"/>
        <v>0</v>
      </c>
      <c r="N41" s="38">
        <f t="shared" si="7"/>
        <v>0</v>
      </c>
      <c r="O41" s="38"/>
      <c r="P41" s="18"/>
      <c r="Q41" s="101"/>
      <c r="R41" s="98">
        <f t="shared" si="0"/>
        <v>0</v>
      </c>
      <c r="S41" s="98">
        <f t="shared" si="1"/>
        <v>0</v>
      </c>
    </row>
    <row r="42" spans="1:19" x14ac:dyDescent="0.25">
      <c r="A42" s="39" t="s">
        <v>32</v>
      </c>
      <c r="B42" s="40">
        <f t="shared" ref="B42:N42" si="8">B11+B40</f>
        <v>553092.59</v>
      </c>
      <c r="C42" s="40">
        <f t="shared" si="8"/>
        <v>458849.24000000005</v>
      </c>
      <c r="D42" s="40">
        <f t="shared" si="8"/>
        <v>238543.86</v>
      </c>
      <c r="E42" s="40">
        <f t="shared" si="8"/>
        <v>348822.68</v>
      </c>
      <c r="F42" s="40">
        <f t="shared" si="8"/>
        <v>196360.56</v>
      </c>
      <c r="G42" s="40">
        <f t="shared" si="8"/>
        <v>123717.64</v>
      </c>
      <c r="H42" s="58">
        <f t="shared" si="8"/>
        <v>-5855.44</v>
      </c>
      <c r="I42" s="58">
        <f t="shared" si="8"/>
        <v>-698.62</v>
      </c>
      <c r="J42" s="58">
        <f t="shared" si="8"/>
        <v>0</v>
      </c>
      <c r="K42" s="58">
        <f t="shared" si="8"/>
        <v>0</v>
      </c>
      <c r="L42" s="58">
        <f t="shared" si="8"/>
        <v>0</v>
      </c>
      <c r="M42" s="58">
        <f t="shared" si="8"/>
        <v>0</v>
      </c>
      <c r="N42" s="58">
        <f t="shared" si="8"/>
        <v>0</v>
      </c>
      <c r="O42" s="40">
        <f>B42+C42+D42+E42+F42+G42+H42+I42+J42+K42+L42+M42+N42</f>
        <v>1912832.5099999998</v>
      </c>
      <c r="P42" s="21">
        <f>O42/$O$11</f>
        <v>0.68020915976603746</v>
      </c>
      <c r="Q42" s="101"/>
      <c r="R42" s="98">
        <f t="shared" si="0"/>
        <v>1912832.5099999998</v>
      </c>
      <c r="S42" s="98">
        <f t="shared" si="1"/>
        <v>0</v>
      </c>
    </row>
    <row r="43" spans="1:19" x14ac:dyDescent="0.25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4"/>
      <c r="Q43" s="101"/>
      <c r="R43" s="98">
        <f t="shared" si="0"/>
        <v>0</v>
      </c>
      <c r="S43" s="98">
        <f t="shared" si="1"/>
        <v>0</v>
      </c>
    </row>
    <row r="44" spans="1:19" x14ac:dyDescent="0.25">
      <c r="A44" s="29" t="s">
        <v>56</v>
      </c>
      <c r="B44" s="45">
        <f t="shared" ref="B44:K44" si="9">-B9*13.15%</f>
        <v>-139812.94871000003</v>
      </c>
      <c r="C44" s="45">
        <f t="shared" si="9"/>
        <v>-78663.960130000007</v>
      </c>
      <c r="D44" s="45">
        <f t="shared" si="9"/>
        <v>-48270.532135000001</v>
      </c>
      <c r="E44" s="45">
        <f t="shared" si="9"/>
        <v>-57179.807045000001</v>
      </c>
      <c r="F44" s="45">
        <f t="shared" si="9"/>
        <v>-28880.107585000002</v>
      </c>
      <c r="G44" s="45">
        <f t="shared" si="9"/>
        <v>-16986.951710000001</v>
      </c>
      <c r="H44" s="45">
        <f t="shared" si="9"/>
        <v>0</v>
      </c>
      <c r="I44" s="45">
        <f t="shared" si="9"/>
        <v>0</v>
      </c>
      <c r="J44" s="45">
        <f t="shared" si="9"/>
        <v>0</v>
      </c>
      <c r="K44" s="45">
        <f t="shared" si="9"/>
        <v>0</v>
      </c>
      <c r="L44" s="45">
        <f>-L9*13.15%</f>
        <v>0</v>
      </c>
      <c r="M44" s="45">
        <f t="shared" ref="M44:N44" si="10">-M9*13.15%</f>
        <v>0</v>
      </c>
      <c r="N44" s="45">
        <f t="shared" si="10"/>
        <v>0</v>
      </c>
      <c r="O44" s="45">
        <f>B44+C44+D44+E44+F44+G44+H44+I44+J44+K44+L44+M44+N44</f>
        <v>-369794.30731500004</v>
      </c>
      <c r="P44" s="21">
        <f t="shared" si="5"/>
        <v>0.13150000000000003</v>
      </c>
      <c r="Q44" s="101"/>
      <c r="R44" s="98">
        <f t="shared" si="0"/>
        <v>-369794.30731500004</v>
      </c>
      <c r="S44" s="98">
        <f t="shared" si="1"/>
        <v>0</v>
      </c>
    </row>
    <row r="45" spans="1:19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4"/>
      <c r="Q45" s="101"/>
      <c r="R45" s="98">
        <f t="shared" si="0"/>
        <v>0</v>
      </c>
      <c r="S45" s="98">
        <f t="shared" si="1"/>
        <v>0</v>
      </c>
    </row>
    <row r="46" spans="1:19" x14ac:dyDescent="0.25">
      <c r="A46" s="29" t="s">
        <v>33</v>
      </c>
      <c r="B46" s="45">
        <f t="shared" ref="B46:N46" si="11">-B9*1.22%</f>
        <v>-12971.239347999999</v>
      </c>
      <c r="C46" s="45">
        <f t="shared" si="11"/>
        <v>-7298.1012439999995</v>
      </c>
      <c r="D46" s="45">
        <f t="shared" si="11"/>
        <v>-4478.3307379999997</v>
      </c>
      <c r="E46" s="45">
        <f t="shared" si="11"/>
        <v>-5304.8946459999997</v>
      </c>
      <c r="F46" s="45">
        <f t="shared" si="11"/>
        <v>-2679.3711979999998</v>
      </c>
      <c r="G46" s="45">
        <f t="shared" si="11"/>
        <v>-1575.9757479999998</v>
      </c>
      <c r="H46" s="45">
        <f t="shared" si="11"/>
        <v>0</v>
      </c>
      <c r="I46" s="45">
        <f t="shared" si="11"/>
        <v>0</v>
      </c>
      <c r="J46" s="45">
        <f t="shared" si="11"/>
        <v>0</v>
      </c>
      <c r="K46" s="45">
        <f t="shared" si="11"/>
        <v>0</v>
      </c>
      <c r="L46" s="45">
        <f t="shared" si="11"/>
        <v>0</v>
      </c>
      <c r="M46" s="45">
        <f t="shared" si="11"/>
        <v>0</v>
      </c>
      <c r="N46" s="45">
        <f t="shared" si="11"/>
        <v>0</v>
      </c>
      <c r="O46" s="45">
        <f>B46+C46+D46+E46+F46+G46+H46+I46+J46+K46+L46+M46+N46</f>
        <v>-34307.912922000003</v>
      </c>
      <c r="P46" s="21">
        <f t="shared" si="5"/>
        <v>1.2200000000000003E-2</v>
      </c>
      <c r="Q46" s="101"/>
      <c r="R46" s="98">
        <f t="shared" si="0"/>
        <v>-34307.912922000003</v>
      </c>
      <c r="S46" s="98">
        <f t="shared" si="1"/>
        <v>0</v>
      </c>
    </row>
    <row r="47" spans="1:19" x14ac:dyDescent="0.2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4"/>
      <c r="Q47" s="101"/>
      <c r="R47" s="98">
        <f t="shared" si="0"/>
        <v>0</v>
      </c>
      <c r="S47" s="98">
        <f t="shared" si="1"/>
        <v>0</v>
      </c>
    </row>
    <row r="48" spans="1:19" x14ac:dyDescent="0.25">
      <c r="A48" s="48" t="s">
        <v>57</v>
      </c>
      <c r="B48" s="49">
        <f t="shared" ref="B48:M48" si="12">B40*5.56%</f>
        <v>-28362.880500000007</v>
      </c>
      <c r="C48" s="49">
        <f t="shared" si="12"/>
        <v>-7748.1813679999977</v>
      </c>
      <c r="D48" s="49">
        <f t="shared" si="12"/>
        <v>-7146.4031079999995</v>
      </c>
      <c r="E48" s="49">
        <f t="shared" si="12"/>
        <v>-4781.8640999999989</v>
      </c>
      <c r="F48" s="49">
        <f t="shared" si="12"/>
        <v>-1293.257668</v>
      </c>
      <c r="G48" s="49">
        <f>G40*5.56%</f>
        <v>-303.61491999999998</v>
      </c>
      <c r="H48" s="49">
        <f t="shared" si="12"/>
        <v>-325.56246399999998</v>
      </c>
      <c r="I48" s="49">
        <f t="shared" si="12"/>
        <v>-38.843271999999999</v>
      </c>
      <c r="J48" s="49">
        <f t="shared" si="12"/>
        <v>0</v>
      </c>
      <c r="K48" s="49">
        <f t="shared" si="12"/>
        <v>0</v>
      </c>
      <c r="L48" s="49">
        <f t="shared" si="12"/>
        <v>0</v>
      </c>
      <c r="M48" s="49">
        <f t="shared" si="12"/>
        <v>0</v>
      </c>
      <c r="N48" s="49">
        <f>N40*5.56%</f>
        <v>0</v>
      </c>
      <c r="O48" s="45">
        <f>B48+C48+D48+E48+F48+G48+H48+I48+J48+K48+L48+M48+N48</f>
        <v>-50000.607400000001</v>
      </c>
      <c r="P48" s="21">
        <f t="shared" si="5"/>
        <v>1.7780370717008318E-2</v>
      </c>
      <c r="Q48" s="101"/>
      <c r="R48" s="98">
        <f t="shared" si="0"/>
        <v>-50000.607400000001</v>
      </c>
      <c r="S48" s="98">
        <f t="shared" si="1"/>
        <v>0</v>
      </c>
    </row>
    <row r="49" spans="1:19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4"/>
      <c r="Q49" s="101"/>
      <c r="R49" s="98">
        <f t="shared" si="0"/>
        <v>0</v>
      </c>
      <c r="S49" s="98">
        <f t="shared" si="1"/>
        <v>0</v>
      </c>
    </row>
    <row r="50" spans="1:19" x14ac:dyDescent="0.25">
      <c r="A50" s="48" t="s">
        <v>58</v>
      </c>
      <c r="B50" s="49">
        <f t="shared" ref="B50:K50" si="13">B40*0.01%</f>
        <v>-51.012375000000013</v>
      </c>
      <c r="C50" s="49">
        <f t="shared" si="13"/>
        <v>-13.935577999999998</v>
      </c>
      <c r="D50" s="49">
        <f t="shared" si="13"/>
        <v>-12.853242999999999</v>
      </c>
      <c r="E50" s="49">
        <f t="shared" si="13"/>
        <v>-8.6004749999999994</v>
      </c>
      <c r="F50" s="49">
        <f t="shared" si="13"/>
        <v>-2.3260030000000005</v>
      </c>
      <c r="G50" s="49">
        <f t="shared" si="13"/>
        <v>-0.54607000000000006</v>
      </c>
      <c r="H50" s="49">
        <f t="shared" si="13"/>
        <v>-0.58554399999999995</v>
      </c>
      <c r="I50" s="49">
        <f t="shared" si="13"/>
        <v>-6.9862000000000007E-2</v>
      </c>
      <c r="J50" s="49">
        <f t="shared" si="13"/>
        <v>0</v>
      </c>
      <c r="K50" s="49">
        <f t="shared" si="13"/>
        <v>0</v>
      </c>
      <c r="L50" s="49">
        <f>L40*0.01%</f>
        <v>0</v>
      </c>
      <c r="M50" s="49">
        <f t="shared" ref="M50" si="14">M40*0.01%</f>
        <v>0</v>
      </c>
      <c r="N50" s="49">
        <f>N40*0.01%</f>
        <v>0</v>
      </c>
      <c r="O50" s="45">
        <f>B50+C50+D50+E50+F50+G50+H50+I50+J50+K50+L50+M50+N50</f>
        <v>-89.929150000000007</v>
      </c>
      <c r="P50" s="21">
        <f t="shared" si="5"/>
        <v>3.1979084023396259E-5</v>
      </c>
      <c r="Q50" s="101"/>
      <c r="R50" s="98">
        <f t="shared" si="0"/>
        <v>-89.929150000000007</v>
      </c>
      <c r="S50" s="98">
        <f t="shared" si="1"/>
        <v>0</v>
      </c>
    </row>
    <row r="51" spans="1:19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4"/>
      <c r="Q51" s="101"/>
      <c r="R51" s="98">
        <f t="shared" si="0"/>
        <v>0</v>
      </c>
      <c r="S51" s="98">
        <f t="shared" si="1"/>
        <v>0</v>
      </c>
    </row>
    <row r="52" spans="1:19" x14ac:dyDescent="0.25">
      <c r="A52" s="39" t="s">
        <v>99</v>
      </c>
      <c r="B52" s="58">
        <f>B42+B48+B50+B44+B46</f>
        <v>371894.50906699995</v>
      </c>
      <c r="C52" s="40">
        <f>C42+C48+C50+C44+C46</f>
        <v>365125.06168000004</v>
      </c>
      <c r="D52" s="40">
        <f>D42+D48+D50+D44+D46</f>
        <v>178635.74077600002</v>
      </c>
      <c r="E52" s="40">
        <f>E42+E48+E50+E44+E46</f>
        <v>281547.51373399998</v>
      </c>
      <c r="F52" s="58">
        <f t="shared" ref="F52:M52" si="15">F42+F48+F50+F44+F46</f>
        <v>163505.497546</v>
      </c>
      <c r="G52" s="40">
        <f t="shared" si="15"/>
        <v>104850.55155199999</v>
      </c>
      <c r="H52" s="58">
        <f t="shared" si="15"/>
        <v>-6181.5880079999988</v>
      </c>
      <c r="I52" s="58">
        <f t="shared" si="15"/>
        <v>-737.5331339999999</v>
      </c>
      <c r="J52" s="58">
        <f t="shared" si="15"/>
        <v>0</v>
      </c>
      <c r="K52" s="58">
        <f t="shared" si="15"/>
        <v>0</v>
      </c>
      <c r="L52" s="58">
        <f t="shared" si="15"/>
        <v>0</v>
      </c>
      <c r="M52" s="58">
        <f t="shared" si="15"/>
        <v>0</v>
      </c>
      <c r="N52" s="58">
        <f>N42+N48+N50+N44+N46</f>
        <v>0</v>
      </c>
      <c r="O52" s="40">
        <f>B52+C52+D52+E52+F52+G52+H52+I52+J52+K52+L52+M52+N52</f>
        <v>1458639.753213</v>
      </c>
      <c r="P52" s="21">
        <f>O52/$O$11</f>
        <v>0.51869680996500578</v>
      </c>
      <c r="Q52" s="101"/>
      <c r="R52" s="98">
        <f>SUM(B52:J52)</f>
        <v>1458639.753213</v>
      </c>
      <c r="S52" s="98">
        <f t="shared" si="1"/>
        <v>0</v>
      </c>
    </row>
    <row r="53" spans="1:19" x14ac:dyDescent="0.25">
      <c r="A53" s="5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50"/>
    </row>
    <row r="54" spans="1:19" x14ac:dyDescent="0.25">
      <c r="A54" s="52" t="s">
        <v>35</v>
      </c>
      <c r="B54" s="13"/>
      <c r="C54" s="13">
        <v>22</v>
      </c>
      <c r="D54" s="13">
        <v>20</v>
      </c>
      <c r="E54" s="13">
        <v>14</v>
      </c>
      <c r="F54" s="13">
        <v>2</v>
      </c>
      <c r="G54" s="13"/>
      <c r="H54" s="13"/>
      <c r="I54" s="13"/>
      <c r="J54" s="13"/>
      <c r="K54" s="13"/>
      <c r="L54" s="13"/>
      <c r="M54" s="13"/>
      <c r="N54" s="13"/>
      <c r="O54" s="53"/>
      <c r="P54" s="50"/>
    </row>
    <row r="55" spans="1:19" x14ac:dyDescent="0.25"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</row>
    <row r="56" spans="1:19" x14ac:dyDescent="0.25">
      <c r="A56" s="54" t="s">
        <v>36</v>
      </c>
      <c r="B56" s="79"/>
      <c r="C56" s="10"/>
      <c r="P56" s="89">
        <v>45535</v>
      </c>
    </row>
    <row r="57" spans="1:19" x14ac:dyDescent="0.25">
      <c r="B57" s="98"/>
      <c r="C57" s="98">
        <f t="shared" ref="C57:O57" si="16">C11+C40+C44+C46+C48+C50</f>
        <v>365125.06168000004</v>
      </c>
      <c r="D57" s="98">
        <f t="shared" si="16"/>
        <v>178635.74077600002</v>
      </c>
      <c r="E57" s="98">
        <f t="shared" si="16"/>
        <v>281547.51373399998</v>
      </c>
      <c r="F57" s="98">
        <f t="shared" si="16"/>
        <v>163505.497546</v>
      </c>
      <c r="G57" s="98">
        <f t="shared" si="16"/>
        <v>104850.551552</v>
      </c>
      <c r="H57" s="98">
        <f t="shared" si="16"/>
        <v>-6181.5880079999988</v>
      </c>
      <c r="I57" s="98">
        <f t="shared" si="16"/>
        <v>-737.5331339999999</v>
      </c>
      <c r="J57" s="98">
        <f t="shared" si="16"/>
        <v>0</v>
      </c>
      <c r="K57" s="98">
        <f t="shared" si="16"/>
        <v>0</v>
      </c>
      <c r="L57" s="98">
        <f t="shared" si="16"/>
        <v>0</v>
      </c>
      <c r="M57" s="98">
        <f t="shared" si="16"/>
        <v>0</v>
      </c>
      <c r="N57" s="98">
        <f t="shared" si="16"/>
        <v>0</v>
      </c>
      <c r="O57" s="98">
        <f t="shared" si="16"/>
        <v>1458639.7532129996</v>
      </c>
      <c r="R57" s="98"/>
    </row>
    <row r="59" spans="1:19" x14ac:dyDescent="0.25">
      <c r="B59" s="98">
        <f>B52-B57</f>
        <v>371894.50906699995</v>
      </c>
      <c r="C59" s="98">
        <f t="shared" ref="C59:O59" si="17">C52-C57</f>
        <v>0</v>
      </c>
      <c r="D59" s="98">
        <f t="shared" si="17"/>
        <v>0</v>
      </c>
      <c r="E59" s="98">
        <f t="shared" si="17"/>
        <v>0</v>
      </c>
      <c r="F59" s="98">
        <f t="shared" si="17"/>
        <v>0</v>
      </c>
      <c r="G59" s="98">
        <f t="shared" si="17"/>
        <v>0</v>
      </c>
      <c r="H59" s="98">
        <f t="shared" si="17"/>
        <v>0</v>
      </c>
      <c r="I59" s="98">
        <f t="shared" si="17"/>
        <v>0</v>
      </c>
      <c r="J59" s="98">
        <f t="shared" si="17"/>
        <v>0</v>
      </c>
      <c r="K59" s="98">
        <f t="shared" si="17"/>
        <v>0</v>
      </c>
      <c r="L59" s="98">
        <f t="shared" si="17"/>
        <v>0</v>
      </c>
      <c r="M59" s="98">
        <f t="shared" si="17"/>
        <v>0</v>
      </c>
      <c r="N59" s="98">
        <f t="shared" si="17"/>
        <v>0</v>
      </c>
      <c r="O59" s="98">
        <f t="shared" si="17"/>
        <v>0</v>
      </c>
    </row>
  </sheetData>
  <mergeCells count="3">
    <mergeCell ref="B1:F1"/>
    <mergeCell ref="B3:F3"/>
    <mergeCell ref="B5:F5"/>
  </mergeCells>
  <conditionalFormatting sqref="B52">
    <cfRule type="cellIs" dxfId="105" priority="9" operator="lessThan">
      <formula>0</formula>
    </cfRule>
    <cfRule type="cellIs" dxfId="104" priority="10" operator="greaterThan">
      <formula>0</formula>
    </cfRule>
  </conditionalFormatting>
  <conditionalFormatting sqref="F52">
    <cfRule type="cellIs" dxfId="103" priority="5" operator="lessThan">
      <formula>0</formula>
    </cfRule>
    <cfRule type="cellIs" dxfId="102" priority="6" operator="greaterThan">
      <formula>0</formula>
    </cfRule>
  </conditionalFormatting>
  <conditionalFormatting sqref="H52:I52">
    <cfRule type="cellIs" dxfId="101" priority="3" operator="lessThan">
      <formula>0</formula>
    </cfRule>
    <cfRule type="cellIs" dxfId="100" priority="4" operator="greaterThan">
      <formula>0</formula>
    </cfRule>
  </conditionalFormatting>
  <conditionalFormatting sqref="K52">
    <cfRule type="cellIs" dxfId="99" priority="1" operator="lessThan">
      <formula>0</formula>
    </cfRule>
    <cfRule type="cellIs" dxfId="98" priority="2" operator="greaterThan">
      <formula>0</formula>
    </cfRule>
  </conditionalFormatting>
  <printOptions horizontalCentered="1" verticalCentered="1"/>
  <pageMargins left="0.11811023622047245" right="0" top="0" bottom="0" header="0.19685039370078741" footer="0"/>
  <pageSetup paperSize="9" scale="64" orientation="landscape" r:id="rId1"/>
  <headerFooter>
    <oddHeader>&amp;L                                   
                                                                                                                                                                               &amp;"-,Negrito"&amp;14BELA NOVA CONSTRUTORA LTDA</oddHead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V59"/>
  <sheetViews>
    <sheetView zoomScale="85" zoomScaleNormal="85" workbookViewId="0">
      <pane xSplit="1" topLeftCell="B1" activePane="topRight" state="frozen"/>
      <selection pane="topRight" activeCell="A6" sqref="A6"/>
    </sheetView>
  </sheetViews>
  <sheetFormatPr defaultRowHeight="15" x14ac:dyDescent="0.25"/>
  <cols>
    <col min="1" max="1" width="48.42578125" customWidth="1"/>
    <col min="2" max="2" width="16" bestFit="1" customWidth="1"/>
    <col min="3" max="3" width="18" bestFit="1" customWidth="1"/>
    <col min="4" max="4" width="18" customWidth="1"/>
    <col min="5" max="5" width="15" customWidth="1"/>
    <col min="6" max="6" width="16.28515625" hidden="1" customWidth="1"/>
    <col min="7" max="7" width="16.140625" hidden="1" customWidth="1"/>
    <col min="8" max="8" width="18.42578125" hidden="1" customWidth="1"/>
    <col min="9" max="9" width="17.28515625" hidden="1" customWidth="1"/>
    <col min="10" max="10" width="16.28515625" hidden="1" customWidth="1"/>
    <col min="11" max="14" width="16.140625" hidden="1" customWidth="1"/>
    <col min="15" max="15" width="16.85546875" hidden="1" customWidth="1"/>
    <col min="16" max="16" width="16.7109375" hidden="1" customWidth="1"/>
    <col min="17" max="17" width="18" bestFit="1" customWidth="1"/>
    <col min="18" max="18" width="10.85546875" bestFit="1" customWidth="1"/>
    <col min="19" max="19" width="2.85546875" customWidth="1"/>
    <col min="20" max="20" width="15.85546875" bestFit="1" customWidth="1"/>
    <col min="21" max="21" width="14.28515625" bestFit="1" customWidth="1"/>
    <col min="22" max="22" width="14.42578125" bestFit="1" customWidth="1"/>
  </cols>
  <sheetData>
    <row r="1" spans="1:22" ht="15.75" customHeight="1" x14ac:dyDescent="0.25">
      <c r="A1" s="209" t="s">
        <v>192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</row>
    <row r="2" spans="1:22" ht="8.25" customHeight="1" x14ac:dyDescent="0.25">
      <c r="A2" s="71"/>
      <c r="B2" s="71"/>
      <c r="C2" s="71"/>
      <c r="D2" s="71"/>
      <c r="E2" s="10"/>
    </row>
    <row r="3" spans="1:22" ht="15.75" customHeight="1" x14ac:dyDescent="0.25">
      <c r="A3" s="209" t="s">
        <v>236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</row>
    <row r="4" spans="1:22" ht="7.5" customHeight="1" x14ac:dyDescent="0.25">
      <c r="A4" s="71"/>
      <c r="B4" s="71"/>
      <c r="C4" s="71"/>
      <c r="D4" s="71"/>
      <c r="E4" s="10"/>
    </row>
    <row r="5" spans="1:22" ht="15.75" customHeight="1" x14ac:dyDescent="0.25">
      <c r="A5" s="209" t="s">
        <v>341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</row>
    <row r="6" spans="1:22" ht="10.5" customHeight="1" x14ac:dyDescent="0.25">
      <c r="A6" s="10"/>
      <c r="B6" s="10"/>
      <c r="C6" s="10"/>
      <c r="D6" s="10"/>
      <c r="E6" s="10"/>
    </row>
    <row r="7" spans="1:22" x14ac:dyDescent="0.25">
      <c r="A7" s="12"/>
      <c r="B7" s="60" t="s">
        <v>137</v>
      </c>
      <c r="C7" s="60" t="s">
        <v>221</v>
      </c>
      <c r="D7" s="60" t="s">
        <v>303</v>
      </c>
      <c r="E7" s="60" t="s">
        <v>304</v>
      </c>
      <c r="F7" s="60" t="s">
        <v>305</v>
      </c>
      <c r="G7" s="60" t="s">
        <v>306</v>
      </c>
      <c r="H7" s="60" t="s">
        <v>307</v>
      </c>
      <c r="I7" s="60" t="s">
        <v>308</v>
      </c>
      <c r="J7" s="60" t="s">
        <v>309</v>
      </c>
      <c r="K7" s="60" t="s">
        <v>310</v>
      </c>
      <c r="L7" s="60" t="s">
        <v>311</v>
      </c>
      <c r="M7" s="60" t="s">
        <v>312</v>
      </c>
      <c r="N7" s="60" t="s">
        <v>313</v>
      </c>
      <c r="O7" s="60" t="s">
        <v>314</v>
      </c>
      <c r="P7" s="60" t="s">
        <v>225</v>
      </c>
      <c r="Q7" s="13" t="s">
        <v>1</v>
      </c>
      <c r="R7" s="14" t="s">
        <v>2</v>
      </c>
    </row>
    <row r="8" spans="1:22" x14ac:dyDescent="0.25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7"/>
      <c r="R8" s="18"/>
      <c r="V8" s="175">
        <v>2025</v>
      </c>
    </row>
    <row r="9" spans="1:22" x14ac:dyDescent="0.25">
      <c r="A9" s="78" t="s">
        <v>4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20">
        <f>SUM(B9:P9)</f>
        <v>0</v>
      </c>
      <c r="R9" s="21">
        <v>1</v>
      </c>
      <c r="T9" s="98">
        <f>SUM(B9:P9)</f>
        <v>0</v>
      </c>
      <c r="U9" s="98">
        <f>Q9-T9</f>
        <v>0</v>
      </c>
      <c r="V9" s="98">
        <f>Q9-B9-C9</f>
        <v>0</v>
      </c>
    </row>
    <row r="10" spans="1:22" x14ac:dyDescent="0.25">
      <c r="A10" s="15" t="s">
        <v>5</v>
      </c>
      <c r="B10" s="19">
        <v>0</v>
      </c>
      <c r="C10" s="19">
        <v>0</v>
      </c>
      <c r="D10" s="19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20">
        <f>SUM(B10:P10)</f>
        <v>0</v>
      </c>
      <c r="R10" s="21"/>
      <c r="T10" s="98">
        <f t="shared" ref="T10:T51" si="0">SUM(B10:P10)</f>
        <v>0</v>
      </c>
      <c r="U10" s="98">
        <f t="shared" ref="U10:U11" si="1">Q10-T10</f>
        <v>0</v>
      </c>
      <c r="V10" s="98">
        <f t="shared" ref="V10:V52" si="2">Q10-B10-C10</f>
        <v>0</v>
      </c>
    </row>
    <row r="11" spans="1:22" x14ac:dyDescent="0.25">
      <c r="A11" s="23" t="s">
        <v>6</v>
      </c>
      <c r="B11" s="24">
        <f t="shared" ref="B11:G11" si="3">SUM(B9:B10)</f>
        <v>0</v>
      </c>
      <c r="C11" s="24">
        <f t="shared" si="3"/>
        <v>0</v>
      </c>
      <c r="D11" s="24"/>
      <c r="E11" s="24">
        <f t="shared" si="3"/>
        <v>0</v>
      </c>
      <c r="F11" s="24">
        <f t="shared" si="3"/>
        <v>0</v>
      </c>
      <c r="G11" s="24">
        <f t="shared" si="3"/>
        <v>0</v>
      </c>
      <c r="H11" s="24">
        <f t="shared" ref="H11:P11" si="4">SUM(H9:H10)</f>
        <v>0</v>
      </c>
      <c r="I11" s="24">
        <f t="shared" si="4"/>
        <v>0</v>
      </c>
      <c r="J11" s="24">
        <f t="shared" si="4"/>
        <v>0</v>
      </c>
      <c r="K11" s="24">
        <f t="shared" si="4"/>
        <v>0</v>
      </c>
      <c r="L11" s="24">
        <f t="shared" si="4"/>
        <v>0</v>
      </c>
      <c r="M11" s="24">
        <f t="shared" si="4"/>
        <v>0</v>
      </c>
      <c r="N11" s="24">
        <f t="shared" si="4"/>
        <v>0</v>
      </c>
      <c r="O11" s="24">
        <f t="shared" si="4"/>
        <v>0</v>
      </c>
      <c r="P11" s="24">
        <f t="shared" si="4"/>
        <v>0</v>
      </c>
      <c r="Q11" s="24">
        <f>SUM(Q9:Q10)</f>
        <v>0</v>
      </c>
      <c r="R11" s="21">
        <v>1</v>
      </c>
      <c r="T11" s="98">
        <f t="shared" si="0"/>
        <v>0</v>
      </c>
      <c r="U11" s="98">
        <f t="shared" si="1"/>
        <v>0</v>
      </c>
      <c r="V11" s="98">
        <f t="shared" si="2"/>
        <v>0</v>
      </c>
    </row>
    <row r="12" spans="1:22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28"/>
      <c r="T12" s="98">
        <f t="shared" si="0"/>
        <v>0</v>
      </c>
      <c r="U12" s="98"/>
      <c r="V12" s="98">
        <f t="shared" si="2"/>
        <v>0</v>
      </c>
    </row>
    <row r="13" spans="1:22" x14ac:dyDescent="0.25">
      <c r="A13" s="29" t="s">
        <v>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30"/>
      <c r="R13" s="31"/>
      <c r="T13" s="98">
        <f t="shared" si="0"/>
        <v>0</v>
      </c>
      <c r="U13" s="98"/>
      <c r="V13" s="98">
        <f t="shared" si="2"/>
        <v>0</v>
      </c>
    </row>
    <row r="14" spans="1:22" x14ac:dyDescent="0.25">
      <c r="A14" s="15" t="s">
        <v>8</v>
      </c>
      <c r="B14" s="32">
        <v>-14974.2</v>
      </c>
      <c r="C14" s="32">
        <v>-85675.86</v>
      </c>
      <c r="D14" s="32">
        <v>-29164.880000000001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20">
        <f>SUM(B14:P14)</f>
        <v>-129814.94</v>
      </c>
      <c r="R14" s="21"/>
      <c r="T14" s="98">
        <f>SUM(B14:P14)</f>
        <v>-129814.94</v>
      </c>
      <c r="U14" s="98">
        <f>Q14-T14</f>
        <v>0</v>
      </c>
      <c r="V14" s="98">
        <f>Q14-B14-C14</f>
        <v>-29164.880000000005</v>
      </c>
    </row>
    <row r="15" spans="1:22" x14ac:dyDescent="0.25">
      <c r="A15" s="33" t="s">
        <v>9</v>
      </c>
      <c r="B15" s="32">
        <v>0</v>
      </c>
      <c r="C15" s="32">
        <v>0</v>
      </c>
      <c r="D15" s="32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20">
        <f t="shared" ref="Q15:Q39" si="5">SUM(B15:P15)</f>
        <v>0</v>
      </c>
      <c r="R15" s="21"/>
      <c r="T15" s="98">
        <f t="shared" si="0"/>
        <v>0</v>
      </c>
      <c r="U15" s="98">
        <f t="shared" ref="U15:U52" si="6">Q15-T15</f>
        <v>0</v>
      </c>
      <c r="V15" s="98">
        <f t="shared" si="2"/>
        <v>0</v>
      </c>
    </row>
    <row r="16" spans="1:22" x14ac:dyDescent="0.25">
      <c r="A16" s="15" t="s">
        <v>10</v>
      </c>
      <c r="B16" s="32">
        <v>0</v>
      </c>
      <c r="C16" s="32">
        <v>0</v>
      </c>
      <c r="D16" s="32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20">
        <f t="shared" si="5"/>
        <v>0</v>
      </c>
      <c r="R16" s="21"/>
      <c r="T16" s="98">
        <f t="shared" si="0"/>
        <v>0</v>
      </c>
      <c r="U16" s="98">
        <f t="shared" si="6"/>
        <v>0</v>
      </c>
      <c r="V16" s="98">
        <f t="shared" si="2"/>
        <v>0</v>
      </c>
    </row>
    <row r="17" spans="1:22" x14ac:dyDescent="0.25">
      <c r="A17" s="33" t="s">
        <v>11</v>
      </c>
      <c r="B17" s="32">
        <v>-923.99</v>
      </c>
      <c r="C17" s="32">
        <v>-4162.42</v>
      </c>
      <c r="D17" s="32">
        <v>-11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20">
        <f t="shared" si="5"/>
        <v>-5097.41</v>
      </c>
      <c r="R17" s="21"/>
      <c r="T17" s="98">
        <f t="shared" si="0"/>
        <v>-5097.41</v>
      </c>
      <c r="U17" s="98">
        <f t="shared" si="6"/>
        <v>0</v>
      </c>
      <c r="V17" s="98">
        <f t="shared" si="2"/>
        <v>-11</v>
      </c>
    </row>
    <row r="18" spans="1:22" x14ac:dyDescent="0.25">
      <c r="A18" s="15" t="s">
        <v>12</v>
      </c>
      <c r="B18" s="32">
        <v>-14830.65</v>
      </c>
      <c r="C18" s="32">
        <v>-63640.59</v>
      </c>
      <c r="D18" s="32">
        <v>-18201.02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20">
        <f t="shared" si="5"/>
        <v>-96672.26</v>
      </c>
      <c r="R18" s="21"/>
      <c r="T18" s="98">
        <f t="shared" si="0"/>
        <v>-96672.26</v>
      </c>
      <c r="U18" s="98">
        <f t="shared" si="6"/>
        <v>0</v>
      </c>
      <c r="V18" s="98">
        <f t="shared" si="2"/>
        <v>-18201.020000000004</v>
      </c>
    </row>
    <row r="19" spans="1:22" x14ac:dyDescent="0.25">
      <c r="A19" s="15" t="s">
        <v>13</v>
      </c>
      <c r="B19" s="32">
        <v>-8899.2099999999991</v>
      </c>
      <c r="C19" s="32">
        <v>-43304.87</v>
      </c>
      <c r="D19" s="32">
        <v>-16312.65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20">
        <f t="shared" si="5"/>
        <v>-68516.73</v>
      </c>
      <c r="R19" s="21"/>
      <c r="T19" s="98">
        <f t="shared" si="0"/>
        <v>-68516.73</v>
      </c>
      <c r="U19" s="98">
        <f t="shared" si="6"/>
        <v>0</v>
      </c>
      <c r="V19" s="98">
        <f t="shared" si="2"/>
        <v>-16312.649999999994</v>
      </c>
    </row>
    <row r="20" spans="1:22" x14ac:dyDescent="0.25">
      <c r="A20" s="15" t="s">
        <v>14</v>
      </c>
      <c r="B20" s="32">
        <v>-10600.61</v>
      </c>
      <c r="C20" s="32">
        <v>-71092.25</v>
      </c>
      <c r="D20" s="32">
        <v>-14257.6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20">
        <f t="shared" si="5"/>
        <v>-95950.46</v>
      </c>
      <c r="R20" s="21"/>
      <c r="T20" s="98">
        <f t="shared" si="0"/>
        <v>-95950.46</v>
      </c>
      <c r="U20" s="98">
        <f t="shared" si="6"/>
        <v>0</v>
      </c>
      <c r="V20" s="98">
        <f t="shared" si="2"/>
        <v>-14257.600000000006</v>
      </c>
    </row>
    <row r="21" spans="1:22" x14ac:dyDescent="0.25">
      <c r="A21" s="15" t="s">
        <v>15</v>
      </c>
      <c r="B21" s="32">
        <v>0</v>
      </c>
      <c r="C21" s="32">
        <v>0</v>
      </c>
      <c r="D21" s="32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20">
        <f t="shared" si="5"/>
        <v>0</v>
      </c>
      <c r="R21" s="21"/>
      <c r="T21" s="98">
        <f t="shared" si="0"/>
        <v>0</v>
      </c>
      <c r="U21" s="98">
        <f t="shared" si="6"/>
        <v>0</v>
      </c>
      <c r="V21" s="98">
        <f t="shared" si="2"/>
        <v>0</v>
      </c>
    </row>
    <row r="22" spans="1:22" x14ac:dyDescent="0.25">
      <c r="A22" s="15" t="s">
        <v>16</v>
      </c>
      <c r="B22" s="32">
        <v>0</v>
      </c>
      <c r="C22" s="32">
        <v>-27600</v>
      </c>
      <c r="D22" s="32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20">
        <f t="shared" si="5"/>
        <v>-27600</v>
      </c>
      <c r="R22" s="21"/>
      <c r="T22" s="98">
        <f t="shared" si="0"/>
        <v>-27600</v>
      </c>
      <c r="U22" s="98">
        <f t="shared" si="6"/>
        <v>0</v>
      </c>
      <c r="V22" s="98">
        <f t="shared" si="2"/>
        <v>0</v>
      </c>
    </row>
    <row r="23" spans="1:22" x14ac:dyDescent="0.25">
      <c r="A23" s="15" t="s">
        <v>17</v>
      </c>
      <c r="B23" s="32">
        <v>-9999.7099999999991</v>
      </c>
      <c r="C23" s="32">
        <v>-49260.73</v>
      </c>
      <c r="D23" s="32">
        <v>-23291.439999999999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20">
        <f t="shared" si="5"/>
        <v>-82551.88</v>
      </c>
      <c r="R23" s="21"/>
      <c r="T23" s="98">
        <f t="shared" si="0"/>
        <v>-82551.88</v>
      </c>
      <c r="U23" s="98">
        <f t="shared" si="6"/>
        <v>0</v>
      </c>
      <c r="V23" s="98">
        <f t="shared" si="2"/>
        <v>-23291.44000000001</v>
      </c>
    </row>
    <row r="24" spans="1:22" x14ac:dyDescent="0.25">
      <c r="A24" s="15" t="s">
        <v>18</v>
      </c>
      <c r="B24" s="32">
        <v>0</v>
      </c>
      <c r="C24" s="32">
        <v>-500</v>
      </c>
      <c r="D24" s="32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20">
        <f t="shared" si="5"/>
        <v>-500</v>
      </c>
      <c r="R24" s="21"/>
      <c r="T24" s="98">
        <f t="shared" si="0"/>
        <v>-500</v>
      </c>
      <c r="U24" s="98">
        <f t="shared" si="6"/>
        <v>0</v>
      </c>
      <c r="V24" s="98">
        <f t="shared" si="2"/>
        <v>0</v>
      </c>
    </row>
    <row r="25" spans="1:22" x14ac:dyDescent="0.25">
      <c r="A25" s="15" t="s">
        <v>19</v>
      </c>
      <c r="B25" s="32">
        <v>0</v>
      </c>
      <c r="C25" s="32">
        <v>0</v>
      </c>
      <c r="D25" s="32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20">
        <f t="shared" si="5"/>
        <v>0</v>
      </c>
      <c r="R25" s="21"/>
      <c r="T25" s="98">
        <f t="shared" si="0"/>
        <v>0</v>
      </c>
      <c r="U25" s="98">
        <f t="shared" si="6"/>
        <v>0</v>
      </c>
      <c r="V25" s="98">
        <f t="shared" si="2"/>
        <v>0</v>
      </c>
    </row>
    <row r="26" spans="1:22" x14ac:dyDescent="0.25">
      <c r="A26" s="15" t="s">
        <v>20</v>
      </c>
      <c r="B26" s="32">
        <v>0</v>
      </c>
      <c r="C26" s="32">
        <v>0</v>
      </c>
      <c r="D26" s="32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20">
        <f t="shared" si="5"/>
        <v>0</v>
      </c>
      <c r="R26" s="21"/>
      <c r="T26" s="98">
        <f t="shared" si="0"/>
        <v>0</v>
      </c>
      <c r="U26" s="98">
        <f t="shared" si="6"/>
        <v>0</v>
      </c>
      <c r="V26" s="98">
        <f t="shared" si="2"/>
        <v>0</v>
      </c>
    </row>
    <row r="27" spans="1:22" x14ac:dyDescent="0.25">
      <c r="A27" s="15" t="s">
        <v>59</v>
      </c>
      <c r="B27" s="32">
        <v>0</v>
      </c>
      <c r="C27" s="32">
        <v>0</v>
      </c>
      <c r="D27" s="32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20">
        <f t="shared" si="5"/>
        <v>0</v>
      </c>
      <c r="R27" s="21"/>
      <c r="T27" s="98">
        <f t="shared" si="0"/>
        <v>0</v>
      </c>
      <c r="U27" s="98">
        <f t="shared" si="6"/>
        <v>0</v>
      </c>
      <c r="V27" s="98">
        <f t="shared" si="2"/>
        <v>0</v>
      </c>
    </row>
    <row r="28" spans="1:22" x14ac:dyDescent="0.25">
      <c r="A28" s="15" t="s">
        <v>21</v>
      </c>
      <c r="B28" s="32">
        <v>-838</v>
      </c>
      <c r="C28" s="32">
        <v>-6058</v>
      </c>
      <c r="D28" s="32">
        <v>-2340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20">
        <f t="shared" si="5"/>
        <v>-9236</v>
      </c>
      <c r="R28" s="21"/>
      <c r="T28" s="98">
        <f t="shared" si="0"/>
        <v>-9236</v>
      </c>
      <c r="U28" s="98">
        <f t="shared" si="6"/>
        <v>0</v>
      </c>
      <c r="V28" s="98">
        <f t="shared" si="2"/>
        <v>-2340</v>
      </c>
    </row>
    <row r="29" spans="1:22" x14ac:dyDescent="0.25">
      <c r="A29" s="15" t="s">
        <v>22</v>
      </c>
      <c r="B29" s="32">
        <v>0</v>
      </c>
      <c r="C29" s="32">
        <v>0</v>
      </c>
      <c r="D29" s="32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20">
        <f t="shared" si="5"/>
        <v>0</v>
      </c>
      <c r="R29" s="21"/>
      <c r="T29" s="98">
        <f t="shared" si="0"/>
        <v>0</v>
      </c>
      <c r="U29" s="98">
        <f t="shared" si="6"/>
        <v>0</v>
      </c>
      <c r="V29" s="98">
        <f t="shared" si="2"/>
        <v>0</v>
      </c>
    </row>
    <row r="30" spans="1:22" x14ac:dyDescent="0.25">
      <c r="A30" s="33" t="s">
        <v>23</v>
      </c>
      <c r="B30" s="32">
        <v>-39.020000000000003</v>
      </c>
      <c r="C30" s="32">
        <v>-263.36</v>
      </c>
      <c r="D30" s="32">
        <v>-7.45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20">
        <f t="shared" si="5"/>
        <v>-309.83</v>
      </c>
      <c r="R30" s="21"/>
      <c r="T30" s="98">
        <f t="shared" si="0"/>
        <v>-309.83</v>
      </c>
      <c r="U30" s="98">
        <f t="shared" si="6"/>
        <v>0</v>
      </c>
      <c r="V30" s="98">
        <f t="shared" si="2"/>
        <v>-7.4499999999999886</v>
      </c>
    </row>
    <row r="31" spans="1:22" x14ac:dyDescent="0.25">
      <c r="A31" s="15" t="s">
        <v>24</v>
      </c>
      <c r="B31" s="32">
        <v>-51059</v>
      </c>
      <c r="C31" s="32">
        <v>-290474.05</v>
      </c>
      <c r="D31" s="32">
        <v>-90242.17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20">
        <f t="shared" si="5"/>
        <v>-431775.22</v>
      </c>
      <c r="R31" s="21"/>
      <c r="T31" s="98">
        <f t="shared" si="0"/>
        <v>-431775.22</v>
      </c>
      <c r="U31" s="98">
        <f t="shared" si="6"/>
        <v>0</v>
      </c>
      <c r="V31" s="98">
        <f t="shared" si="2"/>
        <v>-90242.169999999984</v>
      </c>
    </row>
    <row r="32" spans="1:22" x14ac:dyDescent="0.25">
      <c r="A32" s="34" t="s">
        <v>25</v>
      </c>
      <c r="B32" s="32">
        <v>-97201.600000000006</v>
      </c>
      <c r="C32" s="32">
        <v>-452162.83</v>
      </c>
      <c r="D32" s="32">
        <v>-132510.79999999999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20">
        <f t="shared" si="5"/>
        <v>-681875.23</v>
      </c>
      <c r="R32" s="21"/>
      <c r="T32" s="98">
        <f t="shared" si="0"/>
        <v>-681875.23</v>
      </c>
      <c r="U32" s="98">
        <f t="shared" si="6"/>
        <v>0</v>
      </c>
      <c r="V32" s="98">
        <f t="shared" si="2"/>
        <v>-132510.79999999999</v>
      </c>
    </row>
    <row r="33" spans="1:22" x14ac:dyDescent="0.25">
      <c r="A33" s="15" t="s">
        <v>26</v>
      </c>
      <c r="B33" s="32">
        <v>0</v>
      </c>
      <c r="C33" s="32">
        <v>-300</v>
      </c>
      <c r="D33" s="32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20">
        <f t="shared" si="5"/>
        <v>-300</v>
      </c>
      <c r="R33" s="21"/>
      <c r="T33" s="98">
        <f t="shared" si="0"/>
        <v>-300</v>
      </c>
      <c r="U33" s="98">
        <f t="shared" si="6"/>
        <v>0</v>
      </c>
      <c r="V33" s="98">
        <f t="shared" si="2"/>
        <v>0</v>
      </c>
    </row>
    <row r="34" spans="1:22" x14ac:dyDescent="0.25">
      <c r="A34" s="15" t="s">
        <v>27</v>
      </c>
      <c r="B34" s="32">
        <v>0</v>
      </c>
      <c r="C34" s="32">
        <v>0</v>
      </c>
      <c r="D34" s="32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20">
        <f t="shared" si="5"/>
        <v>0</v>
      </c>
      <c r="R34" s="21"/>
      <c r="T34" s="98">
        <f t="shared" si="0"/>
        <v>0</v>
      </c>
      <c r="U34" s="98">
        <f t="shared" si="6"/>
        <v>0</v>
      </c>
      <c r="V34" s="98">
        <f t="shared" si="2"/>
        <v>0</v>
      </c>
    </row>
    <row r="35" spans="1:22" x14ac:dyDescent="0.25">
      <c r="A35" s="33" t="s">
        <v>28</v>
      </c>
      <c r="B35" s="32">
        <v>-1900.19</v>
      </c>
      <c r="C35" s="32">
        <v>-6449.58</v>
      </c>
      <c r="D35" s="32">
        <v>-1482.05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20">
        <f t="shared" si="5"/>
        <v>-9831.82</v>
      </c>
      <c r="R35" s="21"/>
      <c r="T35" s="98">
        <f t="shared" si="0"/>
        <v>-9831.82</v>
      </c>
      <c r="U35" s="98">
        <f t="shared" si="6"/>
        <v>0</v>
      </c>
      <c r="V35" s="98">
        <f t="shared" si="2"/>
        <v>-1482.0499999999993</v>
      </c>
    </row>
    <row r="36" spans="1:22" x14ac:dyDescent="0.25">
      <c r="A36" s="15" t="s">
        <v>29</v>
      </c>
      <c r="B36" s="32">
        <v>-5061.72</v>
      </c>
      <c r="C36" s="32">
        <v>-44421.66</v>
      </c>
      <c r="D36" s="32">
        <v>-16626.96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20">
        <f t="shared" si="5"/>
        <v>-66110.34</v>
      </c>
      <c r="R36" s="21"/>
      <c r="T36" s="98">
        <f t="shared" si="0"/>
        <v>-66110.34</v>
      </c>
      <c r="U36" s="98">
        <f t="shared" si="6"/>
        <v>0</v>
      </c>
      <c r="V36" s="98">
        <f t="shared" si="2"/>
        <v>-16626.959999999992</v>
      </c>
    </row>
    <row r="37" spans="1:22" x14ac:dyDescent="0.25">
      <c r="A37" s="15" t="s">
        <v>276</v>
      </c>
      <c r="B37" s="32">
        <v>-11043.17</v>
      </c>
      <c r="C37" s="32">
        <v>-38810.78</v>
      </c>
      <c r="D37" s="32">
        <v>-14724.17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20">
        <f t="shared" si="5"/>
        <v>-64578.119999999995</v>
      </c>
      <c r="R37" s="21"/>
      <c r="T37" s="98">
        <f t="shared" si="0"/>
        <v>-64578.119999999995</v>
      </c>
      <c r="U37" s="98">
        <f t="shared" si="6"/>
        <v>0</v>
      </c>
      <c r="V37" s="98">
        <f t="shared" si="2"/>
        <v>-14724.169999999998</v>
      </c>
    </row>
    <row r="38" spans="1:22" x14ac:dyDescent="0.25">
      <c r="A38" s="15" t="s">
        <v>97</v>
      </c>
      <c r="B38" s="32">
        <v>0</v>
      </c>
      <c r="C38" s="32">
        <v>0</v>
      </c>
      <c r="D38" s="32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20">
        <f t="shared" si="5"/>
        <v>0</v>
      </c>
      <c r="R38" s="21"/>
      <c r="T38" s="98">
        <f t="shared" si="0"/>
        <v>0</v>
      </c>
      <c r="U38" s="98">
        <f t="shared" si="6"/>
        <v>0</v>
      </c>
      <c r="V38" s="98">
        <f t="shared" si="2"/>
        <v>0</v>
      </c>
    </row>
    <row r="39" spans="1:22" x14ac:dyDescent="0.25">
      <c r="A39" s="15" t="s">
        <v>114</v>
      </c>
      <c r="B39" s="32">
        <v>0</v>
      </c>
      <c r="C39" s="32">
        <v>-3737.5</v>
      </c>
      <c r="D39" s="32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20">
        <f t="shared" si="5"/>
        <v>-3737.5</v>
      </c>
      <c r="R39" s="21"/>
      <c r="T39" s="98">
        <f t="shared" si="0"/>
        <v>-3737.5</v>
      </c>
      <c r="U39" s="98">
        <f t="shared" si="6"/>
        <v>0</v>
      </c>
      <c r="V39" s="98">
        <f t="shared" si="2"/>
        <v>0</v>
      </c>
    </row>
    <row r="40" spans="1:22" x14ac:dyDescent="0.25">
      <c r="A40" s="35" t="s">
        <v>31</v>
      </c>
      <c r="B40" s="36">
        <f>SUM(B14:B39)</f>
        <v>-227371.07</v>
      </c>
      <c r="C40" s="36">
        <f t="shared" ref="C40:P40" si="7">SUM(C14:C39)</f>
        <v>-1187914.48</v>
      </c>
      <c r="D40" s="36">
        <f t="shared" si="7"/>
        <v>-359172.19</v>
      </c>
      <c r="E40" s="36">
        <f t="shared" si="7"/>
        <v>0</v>
      </c>
      <c r="F40" s="36">
        <f t="shared" si="7"/>
        <v>0</v>
      </c>
      <c r="G40" s="36">
        <f t="shared" si="7"/>
        <v>0</v>
      </c>
      <c r="H40" s="36">
        <f t="shared" si="7"/>
        <v>0</v>
      </c>
      <c r="I40" s="36">
        <f t="shared" si="7"/>
        <v>0</v>
      </c>
      <c r="J40" s="36">
        <f t="shared" si="7"/>
        <v>0</v>
      </c>
      <c r="K40" s="36">
        <f t="shared" si="7"/>
        <v>0</v>
      </c>
      <c r="L40" s="36">
        <f t="shared" si="7"/>
        <v>0</v>
      </c>
      <c r="M40" s="36">
        <f t="shared" si="7"/>
        <v>0</v>
      </c>
      <c r="N40" s="36">
        <f t="shared" si="7"/>
        <v>0</v>
      </c>
      <c r="O40" s="36">
        <f t="shared" si="7"/>
        <v>0</v>
      </c>
      <c r="P40" s="36">
        <f t="shared" si="7"/>
        <v>0</v>
      </c>
      <c r="Q40" s="36">
        <f>SUM(Q14:Q39)</f>
        <v>-1774457.7400000002</v>
      </c>
      <c r="R40" s="21"/>
      <c r="T40" s="98">
        <f>SUM(B40:P40)</f>
        <v>-1774457.74</v>
      </c>
      <c r="U40" s="98">
        <f t="shared" si="6"/>
        <v>0</v>
      </c>
      <c r="V40" s="98">
        <f t="shared" si="2"/>
        <v>-359172.19000000018</v>
      </c>
    </row>
    <row r="41" spans="1:22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18"/>
      <c r="T41" s="98">
        <f t="shared" si="0"/>
        <v>0</v>
      </c>
      <c r="U41" s="98">
        <f t="shared" si="6"/>
        <v>0</v>
      </c>
      <c r="V41" s="98">
        <f t="shared" si="2"/>
        <v>0</v>
      </c>
    </row>
    <row r="42" spans="1:22" x14ac:dyDescent="0.25">
      <c r="A42" s="39" t="s">
        <v>32</v>
      </c>
      <c r="B42" s="58">
        <f t="shared" ref="B42:P42" si="8">B11+B40</f>
        <v>-227371.07</v>
      </c>
      <c r="C42" s="58">
        <f t="shared" ref="C42:D42" si="9">C11+C40</f>
        <v>-1187914.48</v>
      </c>
      <c r="D42" s="58">
        <f t="shared" si="9"/>
        <v>-359172.19</v>
      </c>
      <c r="E42" s="58">
        <f t="shared" si="8"/>
        <v>0</v>
      </c>
      <c r="F42" s="58">
        <f t="shared" si="8"/>
        <v>0</v>
      </c>
      <c r="G42" s="58">
        <f t="shared" si="8"/>
        <v>0</v>
      </c>
      <c r="H42" s="58">
        <f t="shared" si="8"/>
        <v>0</v>
      </c>
      <c r="I42" s="58">
        <f t="shared" si="8"/>
        <v>0</v>
      </c>
      <c r="J42" s="58">
        <f t="shared" si="8"/>
        <v>0</v>
      </c>
      <c r="K42" s="58">
        <f t="shared" si="8"/>
        <v>0</v>
      </c>
      <c r="L42" s="58">
        <f t="shared" si="8"/>
        <v>0</v>
      </c>
      <c r="M42" s="58">
        <f t="shared" si="8"/>
        <v>0</v>
      </c>
      <c r="N42" s="58">
        <f t="shared" si="8"/>
        <v>0</v>
      </c>
      <c r="O42" s="58">
        <f t="shared" si="8"/>
        <v>0</v>
      </c>
      <c r="P42" s="58">
        <f t="shared" si="8"/>
        <v>0</v>
      </c>
      <c r="Q42" s="154">
        <f>SUM(B42:P42)</f>
        <v>-1774457.74</v>
      </c>
      <c r="R42" s="21"/>
      <c r="T42" s="98">
        <f>SUM(B42:P42)</f>
        <v>-1774457.74</v>
      </c>
      <c r="U42" s="98">
        <f t="shared" si="6"/>
        <v>0</v>
      </c>
      <c r="V42" s="98">
        <f t="shared" si="2"/>
        <v>-359172.18999999994</v>
      </c>
    </row>
    <row r="43" spans="1:22" x14ac:dyDescent="0.25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4"/>
      <c r="T43" s="98">
        <f t="shared" si="0"/>
        <v>0</v>
      </c>
      <c r="U43" s="98">
        <f t="shared" si="6"/>
        <v>0</v>
      </c>
      <c r="V43" s="98">
        <f t="shared" si="2"/>
        <v>0</v>
      </c>
    </row>
    <row r="44" spans="1:22" x14ac:dyDescent="0.25">
      <c r="A44" s="29" t="s">
        <v>56</v>
      </c>
      <c r="B44" s="45">
        <f t="shared" ref="B44:M44" si="10">-B9*13.15%</f>
        <v>0</v>
      </c>
      <c r="C44" s="45">
        <f t="shared" ref="C44:D44" si="11">-C9*13.15%</f>
        <v>0</v>
      </c>
      <c r="D44" s="45">
        <f t="shared" si="11"/>
        <v>0</v>
      </c>
      <c r="E44" s="45">
        <f t="shared" si="10"/>
        <v>0</v>
      </c>
      <c r="F44" s="45">
        <f t="shared" si="10"/>
        <v>0</v>
      </c>
      <c r="G44" s="45">
        <f t="shared" si="10"/>
        <v>0</v>
      </c>
      <c r="H44" s="45">
        <f t="shared" si="10"/>
        <v>0</v>
      </c>
      <c r="I44" s="45">
        <f t="shared" si="10"/>
        <v>0</v>
      </c>
      <c r="J44" s="45">
        <f t="shared" si="10"/>
        <v>0</v>
      </c>
      <c r="K44" s="45">
        <f t="shared" si="10"/>
        <v>0</v>
      </c>
      <c r="L44" s="45">
        <f t="shared" si="10"/>
        <v>0</v>
      </c>
      <c r="M44" s="45">
        <f t="shared" si="10"/>
        <v>0</v>
      </c>
      <c r="N44" s="45">
        <f>-N9*13.15%</f>
        <v>0</v>
      </c>
      <c r="O44" s="45">
        <f t="shared" ref="O44:P44" si="12">-O9*13.15%</f>
        <v>0</v>
      </c>
      <c r="P44" s="45">
        <f t="shared" si="12"/>
        <v>0</v>
      </c>
      <c r="Q44" s="20">
        <f t="shared" ref="Q44" si="13">SUM(B44:P44)</f>
        <v>0</v>
      </c>
      <c r="R44" s="21"/>
      <c r="T44" s="98">
        <f t="shared" si="0"/>
        <v>0</v>
      </c>
      <c r="U44" s="98">
        <f t="shared" si="6"/>
        <v>0</v>
      </c>
      <c r="V44" s="98">
        <f t="shared" si="2"/>
        <v>0</v>
      </c>
    </row>
    <row r="45" spans="1:22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4"/>
      <c r="T45" s="98">
        <f t="shared" si="0"/>
        <v>0</v>
      </c>
      <c r="U45" s="98">
        <f t="shared" si="6"/>
        <v>0</v>
      </c>
      <c r="V45" s="98">
        <f t="shared" si="2"/>
        <v>0</v>
      </c>
    </row>
    <row r="46" spans="1:22" x14ac:dyDescent="0.25">
      <c r="A46" s="29" t="s">
        <v>33</v>
      </c>
      <c r="B46" s="45">
        <f t="shared" ref="B46:P46" si="14">-B9*1.22%</f>
        <v>0</v>
      </c>
      <c r="C46" s="45">
        <f t="shared" ref="C46:D46" si="15">-C9*1.22%</f>
        <v>0</v>
      </c>
      <c r="D46" s="45">
        <f t="shared" si="15"/>
        <v>0</v>
      </c>
      <c r="E46" s="45">
        <f t="shared" si="14"/>
        <v>0</v>
      </c>
      <c r="F46" s="45">
        <f t="shared" si="14"/>
        <v>0</v>
      </c>
      <c r="G46" s="45">
        <f t="shared" si="14"/>
        <v>0</v>
      </c>
      <c r="H46" s="45">
        <f t="shared" si="14"/>
        <v>0</v>
      </c>
      <c r="I46" s="45">
        <f t="shared" si="14"/>
        <v>0</v>
      </c>
      <c r="J46" s="45">
        <f t="shared" si="14"/>
        <v>0</v>
      </c>
      <c r="K46" s="45">
        <f t="shared" si="14"/>
        <v>0</v>
      </c>
      <c r="L46" s="45">
        <f t="shared" si="14"/>
        <v>0</v>
      </c>
      <c r="M46" s="45">
        <f t="shared" si="14"/>
        <v>0</v>
      </c>
      <c r="N46" s="45">
        <f t="shared" si="14"/>
        <v>0</v>
      </c>
      <c r="O46" s="45">
        <f t="shared" si="14"/>
        <v>0</v>
      </c>
      <c r="P46" s="45">
        <f t="shared" si="14"/>
        <v>0</v>
      </c>
      <c r="Q46" s="20">
        <f t="shared" ref="Q46" si="16">SUM(B46:P46)</f>
        <v>0</v>
      </c>
      <c r="R46" s="21"/>
      <c r="T46" s="98">
        <f t="shared" si="0"/>
        <v>0</v>
      </c>
      <c r="U46" s="98">
        <f t="shared" si="6"/>
        <v>0</v>
      </c>
      <c r="V46" s="98">
        <f t="shared" si="2"/>
        <v>0</v>
      </c>
    </row>
    <row r="47" spans="1:22" x14ac:dyDescent="0.2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4"/>
      <c r="T47" s="98">
        <f t="shared" si="0"/>
        <v>0</v>
      </c>
      <c r="U47" s="98">
        <f t="shared" si="6"/>
        <v>0</v>
      </c>
      <c r="V47" s="98">
        <f t="shared" si="2"/>
        <v>0</v>
      </c>
    </row>
    <row r="48" spans="1:22" x14ac:dyDescent="0.25">
      <c r="A48" s="48" t="s">
        <v>57</v>
      </c>
      <c r="B48" s="49">
        <f t="shared" ref="B48:O48" si="17">B40*5.56%</f>
        <v>-12641.831491999999</v>
      </c>
      <c r="C48" s="49">
        <f t="shared" ref="C48:D48" si="18">C40*5.56%</f>
        <v>-66048.045087999999</v>
      </c>
      <c r="D48" s="49">
        <f t="shared" si="18"/>
        <v>-19969.973763999998</v>
      </c>
      <c r="E48" s="49">
        <f t="shared" si="17"/>
        <v>0</v>
      </c>
      <c r="F48" s="49">
        <f t="shared" si="17"/>
        <v>0</v>
      </c>
      <c r="G48" s="49">
        <f t="shared" si="17"/>
        <v>0</v>
      </c>
      <c r="H48" s="49">
        <f t="shared" si="17"/>
        <v>0</v>
      </c>
      <c r="I48" s="49">
        <f>I40*5.56%</f>
        <v>0</v>
      </c>
      <c r="J48" s="49">
        <f t="shared" si="17"/>
        <v>0</v>
      </c>
      <c r="K48" s="49">
        <f t="shared" si="17"/>
        <v>0</v>
      </c>
      <c r="L48" s="49">
        <f t="shared" si="17"/>
        <v>0</v>
      </c>
      <c r="M48" s="49">
        <f t="shared" si="17"/>
        <v>0</v>
      </c>
      <c r="N48" s="49">
        <f t="shared" si="17"/>
        <v>0</v>
      </c>
      <c r="O48" s="49">
        <f t="shared" si="17"/>
        <v>0</v>
      </c>
      <c r="P48" s="49">
        <f>P40*5.56%</f>
        <v>0</v>
      </c>
      <c r="Q48" s="20">
        <f t="shared" ref="Q48" si="19">SUM(B48:P48)</f>
        <v>-98659.850343999991</v>
      </c>
      <c r="R48" s="21"/>
      <c r="T48" s="98">
        <f>SUM(B48:P48)</f>
        <v>-98659.850343999991</v>
      </c>
      <c r="U48" s="98">
        <f t="shared" si="6"/>
        <v>0</v>
      </c>
      <c r="V48" s="98">
        <f t="shared" si="2"/>
        <v>-19969.973763999995</v>
      </c>
    </row>
    <row r="49" spans="1:22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4"/>
      <c r="T49" s="98">
        <f t="shared" si="0"/>
        <v>0</v>
      </c>
      <c r="U49" s="98">
        <f t="shared" si="6"/>
        <v>0</v>
      </c>
      <c r="V49" s="98">
        <f t="shared" si="2"/>
        <v>0</v>
      </c>
    </row>
    <row r="50" spans="1:22" x14ac:dyDescent="0.25">
      <c r="A50" s="48" t="s">
        <v>58</v>
      </c>
      <c r="B50" s="49">
        <f t="shared" ref="B50:M50" si="20">B40*0.01%</f>
        <v>-22.737107000000002</v>
      </c>
      <c r="C50" s="49">
        <f t="shared" ref="C50:D50" si="21">C40*0.01%</f>
        <v>-118.791448</v>
      </c>
      <c r="D50" s="49">
        <f t="shared" si="21"/>
        <v>-35.917219000000003</v>
      </c>
      <c r="E50" s="49">
        <f t="shared" si="20"/>
        <v>0</v>
      </c>
      <c r="F50" s="49">
        <f t="shared" si="20"/>
        <v>0</v>
      </c>
      <c r="G50" s="49">
        <f t="shared" si="20"/>
        <v>0</v>
      </c>
      <c r="H50" s="49">
        <f t="shared" si="20"/>
        <v>0</v>
      </c>
      <c r="I50" s="49">
        <f t="shared" si="20"/>
        <v>0</v>
      </c>
      <c r="J50" s="49">
        <f t="shared" si="20"/>
        <v>0</v>
      </c>
      <c r="K50" s="49">
        <f t="shared" si="20"/>
        <v>0</v>
      </c>
      <c r="L50" s="49">
        <f t="shared" si="20"/>
        <v>0</v>
      </c>
      <c r="M50" s="49">
        <f t="shared" si="20"/>
        <v>0</v>
      </c>
      <c r="N50" s="49">
        <f>N40*0.01%</f>
        <v>0</v>
      </c>
      <c r="O50" s="49">
        <f t="shared" ref="O50" si="22">O40*0.01%</f>
        <v>0</v>
      </c>
      <c r="P50" s="49">
        <f>P40*0.01%</f>
        <v>0</v>
      </c>
      <c r="Q50" s="20">
        <f t="shared" ref="Q50" si="23">SUM(B50:P50)</f>
        <v>-177.44577400000003</v>
      </c>
      <c r="R50" s="21"/>
      <c r="T50" s="98">
        <f>SUM(B50:P50)</f>
        <v>-177.44577400000003</v>
      </c>
      <c r="U50" s="98">
        <f t="shared" si="6"/>
        <v>0</v>
      </c>
      <c r="V50" s="98">
        <f t="shared" si="2"/>
        <v>-35.917219000000017</v>
      </c>
    </row>
    <row r="51" spans="1:22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4"/>
      <c r="T51" s="98">
        <f t="shared" si="0"/>
        <v>0</v>
      </c>
      <c r="U51" s="98">
        <f t="shared" si="6"/>
        <v>0</v>
      </c>
      <c r="V51" s="98">
        <f t="shared" si="2"/>
        <v>0</v>
      </c>
    </row>
    <row r="52" spans="1:22" x14ac:dyDescent="0.25">
      <c r="A52" s="39" t="s">
        <v>110</v>
      </c>
      <c r="B52" s="58">
        <f>B42+B48+B50+B44+B46</f>
        <v>-240035.638599</v>
      </c>
      <c r="C52" s="58">
        <f>C42+C48+C50+C44+C46</f>
        <v>-1254081.3165359998</v>
      </c>
      <c r="D52" s="58">
        <f>D42+D48+D50+D44+D46</f>
        <v>-379178.08098299999</v>
      </c>
      <c r="E52" s="58">
        <f>E42+E48+E50+E44+E46</f>
        <v>0</v>
      </c>
      <c r="F52" s="58">
        <f>F42+F48+F50+F44+F46</f>
        <v>0</v>
      </c>
      <c r="G52" s="58">
        <f t="shared" ref="G52:O52" si="24">G42+G48+G50+G44+G46</f>
        <v>0</v>
      </c>
      <c r="H52" s="58">
        <f t="shared" si="24"/>
        <v>0</v>
      </c>
      <c r="I52" s="58">
        <f t="shared" si="24"/>
        <v>0</v>
      </c>
      <c r="J52" s="58">
        <f t="shared" si="24"/>
        <v>0</v>
      </c>
      <c r="K52" s="58">
        <f t="shared" si="24"/>
        <v>0</v>
      </c>
      <c r="L52" s="58">
        <f t="shared" si="24"/>
        <v>0</v>
      </c>
      <c r="M52" s="58">
        <f t="shared" si="24"/>
        <v>0</v>
      </c>
      <c r="N52" s="58">
        <f t="shared" si="24"/>
        <v>0</v>
      </c>
      <c r="O52" s="58">
        <f t="shared" si="24"/>
        <v>0</v>
      </c>
      <c r="P52" s="58">
        <f>P42+P48+P50+P44+P46</f>
        <v>0</v>
      </c>
      <c r="Q52" s="154">
        <f>SUM(B52:P52)</f>
        <v>-1873295.0361179998</v>
      </c>
      <c r="R52" s="21"/>
      <c r="T52" s="98">
        <f>SUM(B52:P52)</f>
        <v>-1873295.0361179998</v>
      </c>
      <c r="U52" s="98">
        <f t="shared" si="6"/>
        <v>0</v>
      </c>
      <c r="V52" s="98">
        <f t="shared" si="2"/>
        <v>-379178.08098300011</v>
      </c>
    </row>
    <row r="53" spans="1:22" x14ac:dyDescent="0.25">
      <c r="A53" s="5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50"/>
    </row>
    <row r="54" spans="1:22" x14ac:dyDescent="0.25">
      <c r="A54" s="52" t="s">
        <v>35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53"/>
      <c r="R54" s="50"/>
    </row>
    <row r="55" spans="1:22" x14ac:dyDescent="0.25">
      <c r="A55" s="8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89"/>
    </row>
    <row r="56" spans="1:22" x14ac:dyDescent="0.25">
      <c r="A56" s="54" t="s">
        <v>36</v>
      </c>
      <c r="B56" s="50"/>
      <c r="C56" s="50"/>
      <c r="D56" s="50"/>
      <c r="E56" s="83"/>
      <c r="R56" s="89">
        <v>46053</v>
      </c>
    </row>
    <row r="57" spans="1:22" x14ac:dyDescent="0.25">
      <c r="B57" s="98">
        <f>B11+B40+B44+B46+B48+B50</f>
        <v>-240035.638599</v>
      </c>
      <c r="C57" s="98">
        <f>C11+C40+C44+C46+C48+C50</f>
        <v>-1254081.3165359998</v>
      </c>
      <c r="D57" s="98">
        <f>D11+D40+D44+D46+D48+D50</f>
        <v>-379178.08098299999</v>
      </c>
      <c r="E57" s="98">
        <f t="shared" ref="E57:Q57" si="25">E11+E40+E44+E46+E48+E50</f>
        <v>0</v>
      </c>
      <c r="F57" s="98">
        <f t="shared" si="25"/>
        <v>0</v>
      </c>
      <c r="G57" s="98">
        <f t="shared" si="25"/>
        <v>0</v>
      </c>
      <c r="H57" s="98">
        <f t="shared" si="25"/>
        <v>0</v>
      </c>
      <c r="I57" s="98">
        <f t="shared" si="25"/>
        <v>0</v>
      </c>
      <c r="J57" s="98">
        <f t="shared" si="25"/>
        <v>0</v>
      </c>
      <c r="K57" s="98">
        <f t="shared" si="25"/>
        <v>0</v>
      </c>
      <c r="L57" s="98">
        <f t="shared" si="25"/>
        <v>0</v>
      </c>
      <c r="M57" s="98">
        <f t="shared" si="25"/>
        <v>0</v>
      </c>
      <c r="N57" s="98">
        <f t="shared" si="25"/>
        <v>0</v>
      </c>
      <c r="O57" s="98">
        <f t="shared" si="25"/>
        <v>0</v>
      </c>
      <c r="P57" s="98">
        <f t="shared" si="25"/>
        <v>0</v>
      </c>
      <c r="Q57" s="98">
        <f t="shared" si="25"/>
        <v>-1873295.036118</v>
      </c>
    </row>
    <row r="59" spans="1:22" x14ac:dyDescent="0.25">
      <c r="B59" s="98">
        <f>B57-B52</f>
        <v>0</v>
      </c>
      <c r="C59" s="98">
        <f>C57-C52</f>
        <v>0</v>
      </c>
      <c r="D59" s="98">
        <f>D57-D52</f>
        <v>0</v>
      </c>
      <c r="E59" s="98">
        <f t="shared" ref="E59:Q59" si="26">E57-E52</f>
        <v>0</v>
      </c>
      <c r="F59" s="98">
        <f t="shared" si="26"/>
        <v>0</v>
      </c>
      <c r="G59" s="98">
        <f t="shared" si="26"/>
        <v>0</v>
      </c>
      <c r="H59" s="98">
        <f t="shared" si="26"/>
        <v>0</v>
      </c>
      <c r="I59" s="98">
        <f t="shared" si="26"/>
        <v>0</v>
      </c>
      <c r="J59" s="98">
        <f t="shared" si="26"/>
        <v>0</v>
      </c>
      <c r="K59" s="98">
        <f t="shared" si="26"/>
        <v>0</v>
      </c>
      <c r="L59" s="98">
        <f t="shared" si="26"/>
        <v>0</v>
      </c>
      <c r="M59" s="98">
        <f t="shared" si="26"/>
        <v>0</v>
      </c>
      <c r="N59" s="98">
        <f t="shared" si="26"/>
        <v>0</v>
      </c>
      <c r="O59" s="98">
        <f t="shared" si="26"/>
        <v>0</v>
      </c>
      <c r="P59" s="98">
        <f t="shared" si="26"/>
        <v>0</v>
      </c>
      <c r="Q59" s="98">
        <f t="shared" si="26"/>
        <v>0</v>
      </c>
    </row>
  </sheetData>
  <mergeCells count="3">
    <mergeCell ref="A1:Q1"/>
    <mergeCell ref="A3:Q3"/>
    <mergeCell ref="A5:Q5"/>
  </mergeCells>
  <phoneticPr fontId="12" type="noConversion"/>
  <conditionalFormatting sqref="B52:D52">
    <cfRule type="cellIs" dxfId="97" priority="7" operator="lessThan">
      <formula>0</formula>
    </cfRule>
    <cfRule type="cellIs" dxfId="96" priority="8" operator="greaterThan">
      <formula>0</formula>
    </cfRule>
  </conditionalFormatting>
  <conditionalFormatting sqref="H52">
    <cfRule type="cellIs" dxfId="95" priority="5" operator="lessThan">
      <formula>0</formula>
    </cfRule>
    <cfRule type="cellIs" dxfId="94" priority="6" operator="greaterThan">
      <formula>0</formula>
    </cfRule>
  </conditionalFormatting>
  <conditionalFormatting sqref="J52:K52">
    <cfRule type="cellIs" dxfId="93" priority="3" operator="lessThan">
      <formula>0</formula>
    </cfRule>
    <cfRule type="cellIs" dxfId="92" priority="4" operator="greaterThan">
      <formula>0</formula>
    </cfRule>
  </conditionalFormatting>
  <conditionalFormatting sqref="M52">
    <cfRule type="cellIs" dxfId="91" priority="1" operator="lessThan">
      <formula>0</formula>
    </cfRule>
    <cfRule type="cellIs" dxfId="90" priority="2" operator="greaterThan">
      <formula>0</formula>
    </cfRule>
  </conditionalFormatting>
  <printOptions horizontalCentered="1" verticalCentered="1"/>
  <pageMargins left="0" right="0" top="0.19685039370078741" bottom="0.19685039370078741" header="0.19685039370078741" footer="0.31496062992125984"/>
  <pageSetup paperSize="9" scale="70" orientation="landscape" r:id="rId1"/>
  <headerFooter>
    <oddHeader>&amp;C&amp;"-,Negrito"&amp;14                       BELA NOVA CONSTRUTORA LTDA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V59"/>
  <sheetViews>
    <sheetView zoomScale="85" zoomScaleNormal="85" workbookViewId="0">
      <pane xSplit="1" topLeftCell="B1" activePane="topRight" state="frozen"/>
      <selection pane="topRight" activeCell="F28" sqref="F28"/>
    </sheetView>
  </sheetViews>
  <sheetFormatPr defaultRowHeight="15" x14ac:dyDescent="0.25"/>
  <cols>
    <col min="1" max="1" width="50" customWidth="1"/>
    <col min="2" max="2" width="17.7109375" bestFit="1" customWidth="1"/>
    <col min="3" max="4" width="17.7109375" customWidth="1"/>
    <col min="5" max="5" width="15.140625" customWidth="1"/>
    <col min="6" max="6" width="16.28515625" customWidth="1"/>
    <col min="7" max="7" width="15" hidden="1" customWidth="1"/>
    <col min="8" max="8" width="17.28515625" hidden="1" customWidth="1"/>
    <col min="9" max="9" width="17" hidden="1" customWidth="1"/>
    <col min="10" max="10" width="15.5703125" hidden="1" customWidth="1"/>
    <col min="11" max="11" width="16.7109375" hidden="1" customWidth="1"/>
    <col min="12" max="12" width="15.7109375" hidden="1" customWidth="1"/>
    <col min="13" max="13" width="16.140625" hidden="1" customWidth="1"/>
    <col min="14" max="14" width="14.7109375" hidden="1" customWidth="1"/>
    <col min="15" max="15" width="16.85546875" hidden="1" customWidth="1"/>
    <col min="16" max="16" width="16.7109375" hidden="1" customWidth="1"/>
    <col min="17" max="17" width="16.140625" bestFit="1" customWidth="1"/>
    <col min="18" max="18" width="10.85546875" bestFit="1" customWidth="1"/>
    <col min="19" max="19" width="3.7109375" customWidth="1"/>
    <col min="20" max="20" width="14.28515625" bestFit="1" customWidth="1"/>
    <col min="21" max="21" width="13.28515625" bestFit="1" customWidth="1"/>
    <col min="22" max="22" width="14.42578125" bestFit="1" customWidth="1"/>
  </cols>
  <sheetData>
    <row r="1" spans="1:22" ht="15.75" customHeight="1" x14ac:dyDescent="0.25">
      <c r="A1" s="209" t="s">
        <v>156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</row>
    <row r="2" spans="1:22" ht="12.75" customHeight="1" x14ac:dyDescent="0.25">
      <c r="A2" s="71"/>
      <c r="B2" s="71"/>
      <c r="C2" s="71"/>
      <c r="D2" s="71"/>
      <c r="E2" s="10"/>
    </row>
    <row r="3" spans="1:22" ht="15.75" customHeight="1" x14ac:dyDescent="0.25">
      <c r="A3" s="209" t="s">
        <v>172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</row>
    <row r="4" spans="1:22" ht="15.75" x14ac:dyDescent="0.25">
      <c r="A4" s="71"/>
      <c r="B4" s="71"/>
      <c r="C4" s="71"/>
      <c r="D4" s="71"/>
      <c r="E4" s="10"/>
    </row>
    <row r="5" spans="1:22" ht="15.75" customHeight="1" x14ac:dyDescent="0.25">
      <c r="A5" s="209" t="s">
        <v>171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</row>
    <row r="6" spans="1:22" x14ac:dyDescent="0.25">
      <c r="A6" s="10"/>
      <c r="B6" s="10"/>
      <c r="C6" s="10"/>
      <c r="D6" s="10"/>
      <c r="E6" s="10"/>
    </row>
    <row r="7" spans="1:22" x14ac:dyDescent="0.25">
      <c r="A7" s="12"/>
      <c r="B7" s="60" t="s">
        <v>132</v>
      </c>
      <c r="C7" s="60" t="s">
        <v>221</v>
      </c>
      <c r="D7" s="60" t="s">
        <v>303</v>
      </c>
      <c r="E7" s="60" t="s">
        <v>304</v>
      </c>
      <c r="F7" s="60" t="s">
        <v>305</v>
      </c>
      <c r="G7" s="60" t="s">
        <v>306</v>
      </c>
      <c r="H7" s="60" t="s">
        <v>307</v>
      </c>
      <c r="I7" s="60" t="s">
        <v>308</v>
      </c>
      <c r="J7" s="60" t="s">
        <v>309</v>
      </c>
      <c r="K7" s="60" t="s">
        <v>310</v>
      </c>
      <c r="L7" s="60" t="s">
        <v>311</v>
      </c>
      <c r="M7" s="60" t="s">
        <v>312</v>
      </c>
      <c r="N7" s="60" t="s">
        <v>313</v>
      </c>
      <c r="O7" s="60" t="s">
        <v>314</v>
      </c>
      <c r="P7" s="60" t="s">
        <v>225</v>
      </c>
      <c r="Q7" s="13" t="s">
        <v>1</v>
      </c>
      <c r="R7" s="14" t="s">
        <v>2</v>
      </c>
      <c r="T7" s="98"/>
      <c r="V7" s="175">
        <v>2025</v>
      </c>
    </row>
    <row r="8" spans="1:22" x14ac:dyDescent="0.25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7"/>
      <c r="R8" s="18"/>
      <c r="T8" s="98"/>
    </row>
    <row r="9" spans="1:22" x14ac:dyDescent="0.25">
      <c r="A9" s="78" t="s">
        <v>4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20">
        <f>SUM(B9:P9)</f>
        <v>0</v>
      </c>
      <c r="R9" s="21">
        <v>1</v>
      </c>
      <c r="T9" s="98">
        <f>SUM(B9:P9)</f>
        <v>0</v>
      </c>
      <c r="U9" s="98">
        <f>Q9-T9</f>
        <v>0</v>
      </c>
      <c r="V9" s="98">
        <f>Q9-B9-C9</f>
        <v>0</v>
      </c>
    </row>
    <row r="10" spans="1:22" x14ac:dyDescent="0.25">
      <c r="A10" s="15" t="s">
        <v>5</v>
      </c>
      <c r="B10" s="19">
        <v>0</v>
      </c>
      <c r="C10" s="19">
        <v>0</v>
      </c>
      <c r="D10" s="19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20">
        <f>SUM(B10:P10)</f>
        <v>0</v>
      </c>
      <c r="R10" s="21"/>
      <c r="T10" s="98">
        <f t="shared" ref="T10:T51" si="0">SUM(B10:P10)</f>
        <v>0</v>
      </c>
      <c r="U10" s="98">
        <f t="shared" ref="U10:U11" si="1">Q10-T10</f>
        <v>0</v>
      </c>
      <c r="V10" s="98">
        <f t="shared" ref="V10:V52" si="2">Q10-B10-C10</f>
        <v>0</v>
      </c>
    </row>
    <row r="11" spans="1:22" x14ac:dyDescent="0.25">
      <c r="A11" s="23" t="s">
        <v>6</v>
      </c>
      <c r="B11" s="24">
        <f t="shared" ref="B11:G11" si="3">SUM(B9:B10)</f>
        <v>0</v>
      </c>
      <c r="C11" s="24">
        <f t="shared" ref="C11:D11" si="4">SUM(C9:C10)</f>
        <v>0</v>
      </c>
      <c r="D11" s="24">
        <f t="shared" si="4"/>
        <v>0</v>
      </c>
      <c r="E11" s="24">
        <f t="shared" si="3"/>
        <v>0</v>
      </c>
      <c r="F11" s="24">
        <f t="shared" si="3"/>
        <v>0</v>
      </c>
      <c r="G11" s="24">
        <f t="shared" si="3"/>
        <v>0</v>
      </c>
      <c r="H11" s="24">
        <f t="shared" ref="H11:P11" si="5">SUM(H9:H10)</f>
        <v>0</v>
      </c>
      <c r="I11" s="24">
        <f t="shared" si="5"/>
        <v>0</v>
      </c>
      <c r="J11" s="24">
        <f t="shared" si="5"/>
        <v>0</v>
      </c>
      <c r="K11" s="24">
        <f t="shared" si="5"/>
        <v>0</v>
      </c>
      <c r="L11" s="24">
        <f t="shared" si="5"/>
        <v>0</v>
      </c>
      <c r="M11" s="24">
        <f t="shared" si="5"/>
        <v>0</v>
      </c>
      <c r="N11" s="24">
        <f t="shared" si="5"/>
        <v>0</v>
      </c>
      <c r="O11" s="24">
        <f t="shared" si="5"/>
        <v>0</v>
      </c>
      <c r="P11" s="24">
        <f t="shared" si="5"/>
        <v>0</v>
      </c>
      <c r="Q11" s="24">
        <f>SUM(Q9:Q10)</f>
        <v>0</v>
      </c>
      <c r="R11" s="21">
        <v>1</v>
      </c>
      <c r="T11" s="98">
        <f t="shared" si="0"/>
        <v>0</v>
      </c>
      <c r="U11" s="98">
        <f t="shared" si="1"/>
        <v>0</v>
      </c>
      <c r="V11" s="98">
        <f t="shared" si="2"/>
        <v>0</v>
      </c>
    </row>
    <row r="12" spans="1:22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28"/>
      <c r="T12" s="98">
        <f t="shared" si="0"/>
        <v>0</v>
      </c>
      <c r="U12" s="98"/>
      <c r="V12" s="98">
        <f t="shared" si="2"/>
        <v>0</v>
      </c>
    </row>
    <row r="13" spans="1:22" x14ac:dyDescent="0.25">
      <c r="A13" s="29" t="s">
        <v>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30"/>
      <c r="R13" s="31"/>
      <c r="T13" s="98">
        <f t="shared" si="0"/>
        <v>0</v>
      </c>
      <c r="U13" s="98"/>
      <c r="V13" s="98">
        <f t="shared" si="2"/>
        <v>0</v>
      </c>
    </row>
    <row r="14" spans="1:22" x14ac:dyDescent="0.25">
      <c r="A14" s="15" t="s">
        <v>8</v>
      </c>
      <c r="B14" s="32">
        <v>-3774.85</v>
      </c>
      <c r="C14" s="32">
        <v>-27384.45</v>
      </c>
      <c r="D14" s="32">
        <v>-9987.16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20">
        <f>SUM(B14:P14)</f>
        <v>-41146.46</v>
      </c>
      <c r="R14" s="21"/>
      <c r="T14" s="98">
        <f>SUM(B14:P14)</f>
        <v>-41146.46</v>
      </c>
      <c r="U14" s="98">
        <f>Q14-T14</f>
        <v>0</v>
      </c>
      <c r="V14" s="98">
        <f t="shared" si="2"/>
        <v>-9987.16</v>
      </c>
    </row>
    <row r="15" spans="1:22" x14ac:dyDescent="0.25">
      <c r="A15" s="33" t="s">
        <v>9</v>
      </c>
      <c r="B15" s="32">
        <v>0</v>
      </c>
      <c r="C15" s="32">
        <v>0</v>
      </c>
      <c r="D15" s="32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20">
        <f t="shared" ref="Q15:Q39" si="6">SUM(B15:P15)</f>
        <v>0</v>
      </c>
      <c r="R15" s="21"/>
      <c r="T15" s="98">
        <f t="shared" si="0"/>
        <v>0</v>
      </c>
      <c r="U15" s="98">
        <f t="shared" ref="U15:U52" si="7">Q15-T15</f>
        <v>0</v>
      </c>
      <c r="V15" s="98">
        <f t="shared" si="2"/>
        <v>0</v>
      </c>
    </row>
    <row r="16" spans="1:22" x14ac:dyDescent="0.25">
      <c r="A16" s="15" t="s">
        <v>10</v>
      </c>
      <c r="B16" s="32">
        <v>0</v>
      </c>
      <c r="C16" s="32">
        <v>0</v>
      </c>
      <c r="D16" s="32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20">
        <f t="shared" si="6"/>
        <v>0</v>
      </c>
      <c r="R16" s="21"/>
      <c r="T16" s="98">
        <f t="shared" si="0"/>
        <v>0</v>
      </c>
      <c r="U16" s="98">
        <f t="shared" si="7"/>
        <v>0</v>
      </c>
      <c r="V16" s="98">
        <f t="shared" si="2"/>
        <v>0</v>
      </c>
    </row>
    <row r="17" spans="1:22" x14ac:dyDescent="0.25">
      <c r="A17" s="33" t="s">
        <v>11</v>
      </c>
      <c r="B17" s="32">
        <v>-39.03</v>
      </c>
      <c r="C17" s="32">
        <v>-802.57</v>
      </c>
      <c r="D17" s="32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20">
        <f t="shared" si="6"/>
        <v>-841.6</v>
      </c>
      <c r="R17" s="21"/>
      <c r="T17" s="98">
        <f t="shared" si="0"/>
        <v>-841.6</v>
      </c>
      <c r="U17" s="98">
        <f t="shared" si="7"/>
        <v>0</v>
      </c>
      <c r="V17" s="98">
        <f t="shared" si="2"/>
        <v>0</v>
      </c>
    </row>
    <row r="18" spans="1:22" x14ac:dyDescent="0.25">
      <c r="A18" s="15" t="s">
        <v>12</v>
      </c>
      <c r="B18" s="32">
        <v>-2988.98</v>
      </c>
      <c r="C18" s="32">
        <v>-19126</v>
      </c>
      <c r="D18" s="32">
        <v>-7362.16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20">
        <f t="shared" si="6"/>
        <v>-29477.14</v>
      </c>
      <c r="R18" s="21"/>
      <c r="T18" s="98">
        <f t="shared" si="0"/>
        <v>-29477.14</v>
      </c>
      <c r="U18" s="98">
        <f t="shared" si="7"/>
        <v>0</v>
      </c>
      <c r="V18" s="98">
        <f t="shared" si="2"/>
        <v>-7362.16</v>
      </c>
    </row>
    <row r="19" spans="1:22" x14ac:dyDescent="0.25">
      <c r="A19" s="15" t="s">
        <v>13</v>
      </c>
      <c r="B19" s="32">
        <v>-1814.11</v>
      </c>
      <c r="C19" s="32">
        <v>-12724.1</v>
      </c>
      <c r="D19" s="32">
        <v>-4473.3100000000004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20">
        <f t="shared" si="6"/>
        <v>-19011.52</v>
      </c>
      <c r="R19" s="21"/>
      <c r="T19" s="98">
        <f t="shared" si="0"/>
        <v>-19011.52</v>
      </c>
      <c r="U19" s="98">
        <f t="shared" si="7"/>
        <v>0</v>
      </c>
      <c r="V19" s="98">
        <f t="shared" si="2"/>
        <v>-4473.3099999999995</v>
      </c>
    </row>
    <row r="20" spans="1:22" x14ac:dyDescent="0.25">
      <c r="A20" s="15" t="s">
        <v>14</v>
      </c>
      <c r="B20" s="32">
        <v>-4741.68</v>
      </c>
      <c r="C20" s="32">
        <v>-20773.47</v>
      </c>
      <c r="D20" s="32">
        <v>-1990.33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20">
        <f t="shared" si="6"/>
        <v>-27505.480000000003</v>
      </c>
      <c r="R20" s="21"/>
      <c r="T20" s="98">
        <f t="shared" si="0"/>
        <v>-27505.480000000003</v>
      </c>
      <c r="U20" s="98">
        <f t="shared" si="7"/>
        <v>0</v>
      </c>
      <c r="V20" s="98">
        <f t="shared" si="2"/>
        <v>-1990.3300000000017</v>
      </c>
    </row>
    <row r="21" spans="1:22" x14ac:dyDescent="0.25">
      <c r="A21" s="15" t="s">
        <v>15</v>
      </c>
      <c r="B21" s="32">
        <v>0</v>
      </c>
      <c r="C21" s="32">
        <v>0</v>
      </c>
      <c r="D21" s="32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20">
        <f t="shared" si="6"/>
        <v>0</v>
      </c>
      <c r="R21" s="21"/>
      <c r="T21" s="98">
        <f t="shared" si="0"/>
        <v>0</v>
      </c>
      <c r="U21" s="98">
        <f t="shared" si="7"/>
        <v>0</v>
      </c>
      <c r="V21" s="98">
        <f t="shared" si="2"/>
        <v>0</v>
      </c>
    </row>
    <row r="22" spans="1:22" x14ac:dyDescent="0.25">
      <c r="A22" s="15" t="s">
        <v>16</v>
      </c>
      <c r="B22" s="32">
        <v>0</v>
      </c>
      <c r="C22" s="32">
        <v>-471.69</v>
      </c>
      <c r="D22" s="32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20">
        <f t="shared" si="6"/>
        <v>-471.69</v>
      </c>
      <c r="R22" s="21"/>
      <c r="T22" s="98">
        <f t="shared" si="0"/>
        <v>-471.69</v>
      </c>
      <c r="U22" s="98">
        <f t="shared" si="7"/>
        <v>0</v>
      </c>
      <c r="V22" s="98">
        <f t="shared" si="2"/>
        <v>0</v>
      </c>
    </row>
    <row r="23" spans="1:22" x14ac:dyDescent="0.25">
      <c r="A23" s="15" t="s">
        <v>17</v>
      </c>
      <c r="B23" s="32">
        <v>-2388.9</v>
      </c>
      <c r="C23" s="32">
        <v>-14575</v>
      </c>
      <c r="D23" s="32">
        <v>-7925.84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20">
        <f t="shared" si="6"/>
        <v>-24889.74</v>
      </c>
      <c r="R23" s="21"/>
      <c r="T23" s="98">
        <f t="shared" si="0"/>
        <v>-24889.74</v>
      </c>
      <c r="U23" s="98">
        <f t="shared" si="7"/>
        <v>0</v>
      </c>
      <c r="V23" s="98">
        <f t="shared" si="2"/>
        <v>-7925.84</v>
      </c>
    </row>
    <row r="24" spans="1:22" x14ac:dyDescent="0.25">
      <c r="A24" s="15" t="s">
        <v>18</v>
      </c>
      <c r="B24" s="32">
        <v>0</v>
      </c>
      <c r="C24" s="32">
        <v>-953.6</v>
      </c>
      <c r="D24" s="32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20">
        <f t="shared" si="6"/>
        <v>-953.6</v>
      </c>
      <c r="R24" s="21"/>
      <c r="T24" s="98">
        <f t="shared" si="0"/>
        <v>-953.6</v>
      </c>
      <c r="U24" s="98">
        <f t="shared" si="7"/>
        <v>0</v>
      </c>
      <c r="V24" s="98">
        <f t="shared" si="2"/>
        <v>0</v>
      </c>
    </row>
    <row r="25" spans="1:22" x14ac:dyDescent="0.25">
      <c r="A25" s="15" t="s">
        <v>19</v>
      </c>
      <c r="B25" s="32">
        <v>0</v>
      </c>
      <c r="C25" s="32">
        <v>0</v>
      </c>
      <c r="D25" s="32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20">
        <f t="shared" si="6"/>
        <v>0</v>
      </c>
      <c r="R25" s="21"/>
      <c r="T25" s="98">
        <f t="shared" si="0"/>
        <v>0</v>
      </c>
      <c r="U25" s="98">
        <f t="shared" si="7"/>
        <v>0</v>
      </c>
      <c r="V25" s="98">
        <f t="shared" si="2"/>
        <v>0</v>
      </c>
    </row>
    <row r="26" spans="1:22" x14ac:dyDescent="0.25">
      <c r="A26" s="15" t="s">
        <v>20</v>
      </c>
      <c r="B26" s="32">
        <v>0</v>
      </c>
      <c r="C26" s="32">
        <v>0</v>
      </c>
      <c r="D26" s="32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20">
        <f t="shared" si="6"/>
        <v>0</v>
      </c>
      <c r="R26" s="21"/>
      <c r="T26" s="98">
        <f t="shared" si="0"/>
        <v>0</v>
      </c>
      <c r="U26" s="98">
        <f t="shared" si="7"/>
        <v>0</v>
      </c>
      <c r="V26" s="98">
        <f t="shared" si="2"/>
        <v>0</v>
      </c>
    </row>
    <row r="27" spans="1:22" x14ac:dyDescent="0.25">
      <c r="A27" s="15" t="s">
        <v>59</v>
      </c>
      <c r="B27" s="32">
        <v>0</v>
      </c>
      <c r="C27" s="32">
        <v>0</v>
      </c>
      <c r="D27" s="32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20">
        <f t="shared" si="6"/>
        <v>0</v>
      </c>
      <c r="R27" s="21"/>
      <c r="T27" s="98">
        <f t="shared" si="0"/>
        <v>0</v>
      </c>
      <c r="U27" s="98">
        <f t="shared" si="7"/>
        <v>0</v>
      </c>
      <c r="V27" s="98">
        <f t="shared" si="2"/>
        <v>0</v>
      </c>
    </row>
    <row r="28" spans="1:22" x14ac:dyDescent="0.25">
      <c r="A28" s="15" t="s">
        <v>21</v>
      </c>
      <c r="B28" s="32">
        <v>-810</v>
      </c>
      <c r="C28" s="32">
        <v>-2205</v>
      </c>
      <c r="D28" s="32">
        <v>-135</v>
      </c>
      <c r="E28" s="76">
        <v>0</v>
      </c>
      <c r="F28" s="76">
        <v>-2480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20">
        <f t="shared" si="6"/>
        <v>-5630</v>
      </c>
      <c r="R28" s="21"/>
      <c r="T28" s="98">
        <f t="shared" si="0"/>
        <v>-5630</v>
      </c>
      <c r="U28" s="98">
        <f t="shared" si="7"/>
        <v>0</v>
      </c>
      <c r="V28" s="98">
        <f t="shared" si="2"/>
        <v>-2615</v>
      </c>
    </row>
    <row r="29" spans="1:22" x14ac:dyDescent="0.25">
      <c r="A29" s="15" t="s">
        <v>22</v>
      </c>
      <c r="B29" s="32">
        <v>0</v>
      </c>
      <c r="C29" s="32">
        <v>0</v>
      </c>
      <c r="D29" s="32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20">
        <f t="shared" si="6"/>
        <v>0</v>
      </c>
      <c r="R29" s="21"/>
      <c r="T29" s="98">
        <f t="shared" si="0"/>
        <v>0</v>
      </c>
      <c r="U29" s="98">
        <f t="shared" si="7"/>
        <v>0</v>
      </c>
      <c r="V29" s="98">
        <f t="shared" si="2"/>
        <v>0</v>
      </c>
    </row>
    <row r="30" spans="1:22" x14ac:dyDescent="0.25">
      <c r="A30" s="33" t="s">
        <v>23</v>
      </c>
      <c r="B30" s="32">
        <v>-189.96</v>
      </c>
      <c r="C30" s="32">
        <v>-46.28</v>
      </c>
      <c r="D30" s="32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20">
        <f t="shared" si="6"/>
        <v>-236.24</v>
      </c>
      <c r="R30" s="21"/>
      <c r="T30" s="98">
        <f t="shared" si="0"/>
        <v>-236.24</v>
      </c>
      <c r="U30" s="98">
        <f t="shared" si="7"/>
        <v>0</v>
      </c>
      <c r="V30" s="98">
        <f t="shared" si="2"/>
        <v>0</v>
      </c>
    </row>
    <row r="31" spans="1:22" x14ac:dyDescent="0.25">
      <c r="A31" s="15" t="s">
        <v>24</v>
      </c>
      <c r="B31" s="32">
        <v>-2705</v>
      </c>
      <c r="C31" s="32">
        <v>-34755.07</v>
      </c>
      <c r="D31" s="32">
        <v>-23797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20">
        <f t="shared" si="6"/>
        <v>-61257.07</v>
      </c>
      <c r="R31" s="21"/>
      <c r="T31" s="98">
        <f t="shared" si="0"/>
        <v>-61257.07</v>
      </c>
      <c r="U31" s="98">
        <f t="shared" si="7"/>
        <v>0</v>
      </c>
      <c r="V31" s="98">
        <f t="shared" si="2"/>
        <v>-23797</v>
      </c>
    </row>
    <row r="32" spans="1:22" x14ac:dyDescent="0.25">
      <c r="A32" s="34" t="s">
        <v>25</v>
      </c>
      <c r="B32" s="32">
        <v>-20506.849999999999</v>
      </c>
      <c r="C32" s="32">
        <v>-133183.4</v>
      </c>
      <c r="D32" s="32">
        <v>-42798.48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20">
        <f t="shared" si="6"/>
        <v>-196488.73</v>
      </c>
      <c r="R32" s="21"/>
      <c r="T32" s="98">
        <f t="shared" si="0"/>
        <v>-196488.73</v>
      </c>
      <c r="U32" s="98">
        <f t="shared" si="7"/>
        <v>0</v>
      </c>
      <c r="V32" s="98">
        <f t="shared" si="2"/>
        <v>-42798.48000000001</v>
      </c>
    </row>
    <row r="33" spans="1:22" x14ac:dyDescent="0.25">
      <c r="A33" s="15" t="s">
        <v>26</v>
      </c>
      <c r="B33" s="32">
        <v>0</v>
      </c>
      <c r="C33" s="32">
        <v>0</v>
      </c>
      <c r="D33" s="32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20">
        <f t="shared" si="6"/>
        <v>0</v>
      </c>
      <c r="R33" s="21"/>
      <c r="T33" s="98">
        <f t="shared" si="0"/>
        <v>0</v>
      </c>
      <c r="U33" s="98">
        <f t="shared" si="7"/>
        <v>0</v>
      </c>
      <c r="V33" s="98">
        <f t="shared" si="2"/>
        <v>0</v>
      </c>
    </row>
    <row r="34" spans="1:22" x14ac:dyDescent="0.25">
      <c r="A34" s="15" t="s">
        <v>27</v>
      </c>
      <c r="B34" s="32">
        <v>0</v>
      </c>
      <c r="C34" s="32">
        <v>0</v>
      </c>
      <c r="D34" s="32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20">
        <f t="shared" si="6"/>
        <v>0</v>
      </c>
      <c r="R34" s="21"/>
      <c r="T34" s="98">
        <f t="shared" si="0"/>
        <v>0</v>
      </c>
      <c r="U34" s="98">
        <f t="shared" si="7"/>
        <v>0</v>
      </c>
      <c r="V34" s="98">
        <f t="shared" si="2"/>
        <v>0</v>
      </c>
    </row>
    <row r="35" spans="1:22" x14ac:dyDescent="0.25">
      <c r="A35" s="33" t="s">
        <v>28</v>
      </c>
      <c r="B35" s="32">
        <v>-418.2</v>
      </c>
      <c r="C35" s="32">
        <v>-1475.99</v>
      </c>
      <c r="D35" s="32">
        <v>-339.61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20">
        <f t="shared" si="6"/>
        <v>-2233.8000000000002</v>
      </c>
      <c r="R35" s="21"/>
      <c r="T35" s="98">
        <f t="shared" si="0"/>
        <v>-2233.8000000000002</v>
      </c>
      <c r="U35" s="98">
        <f t="shared" si="7"/>
        <v>0</v>
      </c>
      <c r="V35" s="98">
        <f t="shared" si="2"/>
        <v>-339.61000000000013</v>
      </c>
    </row>
    <row r="36" spans="1:22" x14ac:dyDescent="0.25">
      <c r="A36" s="15" t="s">
        <v>29</v>
      </c>
      <c r="B36" s="32">
        <v>-600.14</v>
      </c>
      <c r="C36" s="32">
        <v>-11503.26</v>
      </c>
      <c r="D36" s="32">
        <v>-4734.49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20">
        <f t="shared" si="6"/>
        <v>-16837.89</v>
      </c>
      <c r="R36" s="21"/>
      <c r="T36" s="98">
        <f t="shared" si="0"/>
        <v>-16837.89</v>
      </c>
      <c r="U36" s="98">
        <f t="shared" si="7"/>
        <v>0</v>
      </c>
      <c r="V36" s="98">
        <f t="shared" si="2"/>
        <v>-4734.49</v>
      </c>
    </row>
    <row r="37" spans="1:22" x14ac:dyDescent="0.25">
      <c r="A37" s="15" t="s">
        <v>276</v>
      </c>
      <c r="B37" s="32">
        <v>-1236.79</v>
      </c>
      <c r="C37" s="32">
        <v>-12573.9</v>
      </c>
      <c r="D37" s="32">
        <v>-5320.09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20">
        <f t="shared" si="6"/>
        <v>-19130.78</v>
      </c>
      <c r="R37" s="21"/>
      <c r="T37" s="98">
        <f t="shared" si="0"/>
        <v>-19130.78</v>
      </c>
      <c r="U37" s="98">
        <f t="shared" si="7"/>
        <v>0</v>
      </c>
      <c r="V37" s="98">
        <f t="shared" si="2"/>
        <v>-5320.0899999999983</v>
      </c>
    </row>
    <row r="38" spans="1:22" x14ac:dyDescent="0.25">
      <c r="A38" s="15" t="s">
        <v>97</v>
      </c>
      <c r="B38" s="32">
        <v>0</v>
      </c>
      <c r="C38" s="32">
        <v>0</v>
      </c>
      <c r="D38" s="32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20">
        <f t="shared" si="6"/>
        <v>0</v>
      </c>
      <c r="R38" s="21"/>
      <c r="T38" s="98">
        <f t="shared" si="0"/>
        <v>0</v>
      </c>
      <c r="U38" s="98">
        <f t="shared" si="7"/>
        <v>0</v>
      </c>
      <c r="V38" s="98">
        <f t="shared" si="2"/>
        <v>0</v>
      </c>
    </row>
    <row r="39" spans="1:22" x14ac:dyDescent="0.25">
      <c r="A39" s="15" t="s">
        <v>114</v>
      </c>
      <c r="B39" s="32">
        <v>0</v>
      </c>
      <c r="C39" s="32">
        <v>0</v>
      </c>
      <c r="D39" s="32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20">
        <f t="shared" si="6"/>
        <v>0</v>
      </c>
      <c r="R39" s="21"/>
      <c r="T39" s="98">
        <f t="shared" si="0"/>
        <v>0</v>
      </c>
      <c r="U39" s="98">
        <f t="shared" si="7"/>
        <v>0</v>
      </c>
      <c r="V39" s="98">
        <f t="shared" si="2"/>
        <v>0</v>
      </c>
    </row>
    <row r="40" spans="1:22" x14ac:dyDescent="0.25">
      <c r="A40" s="35" t="s">
        <v>31</v>
      </c>
      <c r="B40" s="36">
        <f>SUM(B14:B39)</f>
        <v>-42214.49</v>
      </c>
      <c r="C40" s="36">
        <f>SUM(C14:C39)</f>
        <v>-292553.78000000003</v>
      </c>
      <c r="D40" s="36">
        <f>SUM(D14:D39)</f>
        <v>-108863.47</v>
      </c>
      <c r="E40" s="36">
        <f t="shared" ref="E40:P40" si="8">SUM(E14:E39)</f>
        <v>0</v>
      </c>
      <c r="F40" s="36">
        <f t="shared" si="8"/>
        <v>-2480</v>
      </c>
      <c r="G40" s="36">
        <f t="shared" si="8"/>
        <v>0</v>
      </c>
      <c r="H40" s="36">
        <f t="shared" si="8"/>
        <v>0</v>
      </c>
      <c r="I40" s="36">
        <f t="shared" si="8"/>
        <v>0</v>
      </c>
      <c r="J40" s="36">
        <f t="shared" si="8"/>
        <v>0</v>
      </c>
      <c r="K40" s="36">
        <f t="shared" si="8"/>
        <v>0</v>
      </c>
      <c r="L40" s="36">
        <f t="shared" si="8"/>
        <v>0</v>
      </c>
      <c r="M40" s="36">
        <f t="shared" si="8"/>
        <v>0</v>
      </c>
      <c r="N40" s="36">
        <f t="shared" si="8"/>
        <v>0</v>
      </c>
      <c r="O40" s="36">
        <f>SUM(O14:O39)</f>
        <v>0</v>
      </c>
      <c r="P40" s="36">
        <f t="shared" si="8"/>
        <v>0</v>
      </c>
      <c r="Q40" s="36">
        <f>SUM(Q14:Q39)</f>
        <v>-446111.74</v>
      </c>
      <c r="R40" s="21"/>
      <c r="T40" s="98">
        <f>SUM(B40:P40)</f>
        <v>-446111.74</v>
      </c>
      <c r="U40" s="98">
        <f t="shared" si="7"/>
        <v>0</v>
      </c>
      <c r="V40" s="98">
        <f t="shared" si="2"/>
        <v>-111343.46999999997</v>
      </c>
    </row>
    <row r="41" spans="1:22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18"/>
      <c r="T41" s="98">
        <f t="shared" si="0"/>
        <v>0</v>
      </c>
      <c r="U41" s="98">
        <f t="shared" si="7"/>
        <v>0</v>
      </c>
      <c r="V41" s="98">
        <f t="shared" si="2"/>
        <v>0</v>
      </c>
    </row>
    <row r="42" spans="1:22" x14ac:dyDescent="0.25">
      <c r="A42" s="39" t="s">
        <v>32</v>
      </c>
      <c r="B42" s="58">
        <f t="shared" ref="B42:P42" si="9">B11+B40</f>
        <v>-42214.49</v>
      </c>
      <c r="C42" s="58">
        <f t="shared" ref="C42:D42" si="10">C11+C40</f>
        <v>-292553.78000000003</v>
      </c>
      <c r="D42" s="58">
        <f t="shared" si="10"/>
        <v>-108863.47</v>
      </c>
      <c r="E42" s="58">
        <f t="shared" si="9"/>
        <v>0</v>
      </c>
      <c r="F42" s="58">
        <f t="shared" si="9"/>
        <v>-2480</v>
      </c>
      <c r="G42" s="58">
        <f t="shared" si="9"/>
        <v>0</v>
      </c>
      <c r="H42" s="58">
        <f t="shared" si="9"/>
        <v>0</v>
      </c>
      <c r="I42" s="58">
        <f t="shared" si="9"/>
        <v>0</v>
      </c>
      <c r="J42" s="58">
        <f t="shared" si="9"/>
        <v>0</v>
      </c>
      <c r="K42" s="58">
        <f t="shared" si="9"/>
        <v>0</v>
      </c>
      <c r="L42" s="58">
        <f t="shared" si="9"/>
        <v>0</v>
      </c>
      <c r="M42" s="58">
        <f t="shared" si="9"/>
        <v>0</v>
      </c>
      <c r="N42" s="58">
        <f t="shared" si="9"/>
        <v>0</v>
      </c>
      <c r="O42" s="58">
        <f t="shared" si="9"/>
        <v>0</v>
      </c>
      <c r="P42" s="58">
        <f t="shared" si="9"/>
        <v>0</v>
      </c>
      <c r="Q42" s="154">
        <f>SUM(B42:P42)</f>
        <v>-446111.74</v>
      </c>
      <c r="R42" s="21"/>
      <c r="T42" s="98">
        <f>SUM(B42:P42)</f>
        <v>-446111.74</v>
      </c>
      <c r="U42" s="98">
        <f t="shared" si="7"/>
        <v>0</v>
      </c>
      <c r="V42" s="98">
        <f t="shared" si="2"/>
        <v>-111343.46999999997</v>
      </c>
    </row>
    <row r="43" spans="1:22" x14ac:dyDescent="0.25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4"/>
      <c r="T43" s="98">
        <f t="shared" si="0"/>
        <v>0</v>
      </c>
      <c r="U43" s="98">
        <f t="shared" si="7"/>
        <v>0</v>
      </c>
      <c r="V43" s="98">
        <f t="shared" si="2"/>
        <v>0</v>
      </c>
    </row>
    <row r="44" spans="1:22" x14ac:dyDescent="0.25">
      <c r="A44" s="29" t="s">
        <v>56</v>
      </c>
      <c r="B44" s="45">
        <f t="shared" ref="B44:M44" si="11">-B9*13.15%</f>
        <v>0</v>
      </c>
      <c r="C44" s="45">
        <f t="shared" ref="C44:D44" si="12">-C9*13.15%</f>
        <v>0</v>
      </c>
      <c r="D44" s="45">
        <f t="shared" si="12"/>
        <v>0</v>
      </c>
      <c r="E44" s="45">
        <f t="shared" si="11"/>
        <v>0</v>
      </c>
      <c r="F44" s="45">
        <f t="shared" si="11"/>
        <v>0</v>
      </c>
      <c r="G44" s="45">
        <f t="shared" si="11"/>
        <v>0</v>
      </c>
      <c r="H44" s="45">
        <f t="shared" si="11"/>
        <v>0</v>
      </c>
      <c r="I44" s="45">
        <f t="shared" si="11"/>
        <v>0</v>
      </c>
      <c r="J44" s="45">
        <f t="shared" si="11"/>
        <v>0</v>
      </c>
      <c r="K44" s="45">
        <f t="shared" si="11"/>
        <v>0</v>
      </c>
      <c r="L44" s="45">
        <f t="shared" si="11"/>
        <v>0</v>
      </c>
      <c r="M44" s="45">
        <f t="shared" si="11"/>
        <v>0</v>
      </c>
      <c r="N44" s="45">
        <f>-N9*13.15%</f>
        <v>0</v>
      </c>
      <c r="O44" s="45">
        <f t="shared" ref="O44:P44" si="13">-O9*13.15%</f>
        <v>0</v>
      </c>
      <c r="P44" s="45">
        <f t="shared" si="13"/>
        <v>0</v>
      </c>
      <c r="Q44" s="20">
        <f t="shared" ref="Q44" si="14">SUM(B44:P44)</f>
        <v>0</v>
      </c>
      <c r="R44" s="21"/>
      <c r="T44" s="98">
        <f t="shared" si="0"/>
        <v>0</v>
      </c>
      <c r="U44" s="98">
        <f t="shared" si="7"/>
        <v>0</v>
      </c>
      <c r="V44" s="98">
        <f t="shared" si="2"/>
        <v>0</v>
      </c>
    </row>
    <row r="45" spans="1:22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4"/>
      <c r="T45" s="98">
        <f t="shared" si="0"/>
        <v>0</v>
      </c>
      <c r="U45" s="98">
        <f t="shared" si="7"/>
        <v>0</v>
      </c>
      <c r="V45" s="98">
        <f t="shared" si="2"/>
        <v>0</v>
      </c>
    </row>
    <row r="46" spans="1:22" x14ac:dyDescent="0.25">
      <c r="A46" s="29" t="s">
        <v>33</v>
      </c>
      <c r="B46" s="45">
        <f t="shared" ref="B46:P46" si="15">-B9*1.22%</f>
        <v>0</v>
      </c>
      <c r="C46" s="45">
        <f t="shared" ref="C46:D46" si="16">-C9*1.22%</f>
        <v>0</v>
      </c>
      <c r="D46" s="45">
        <f t="shared" si="16"/>
        <v>0</v>
      </c>
      <c r="E46" s="45">
        <f t="shared" si="15"/>
        <v>0</v>
      </c>
      <c r="F46" s="45">
        <f t="shared" si="15"/>
        <v>0</v>
      </c>
      <c r="G46" s="45">
        <f t="shared" si="15"/>
        <v>0</v>
      </c>
      <c r="H46" s="45">
        <f t="shared" si="15"/>
        <v>0</v>
      </c>
      <c r="I46" s="45">
        <f t="shared" si="15"/>
        <v>0</v>
      </c>
      <c r="J46" s="45">
        <f t="shared" si="15"/>
        <v>0</v>
      </c>
      <c r="K46" s="45">
        <f t="shared" si="15"/>
        <v>0</v>
      </c>
      <c r="L46" s="45">
        <f t="shared" si="15"/>
        <v>0</v>
      </c>
      <c r="M46" s="45">
        <f t="shared" si="15"/>
        <v>0</v>
      </c>
      <c r="N46" s="45">
        <f t="shared" si="15"/>
        <v>0</v>
      </c>
      <c r="O46" s="45">
        <f t="shared" si="15"/>
        <v>0</v>
      </c>
      <c r="P46" s="45">
        <f t="shared" si="15"/>
        <v>0</v>
      </c>
      <c r="Q46" s="20">
        <f t="shared" ref="Q46" si="17">SUM(B46:P46)</f>
        <v>0</v>
      </c>
      <c r="R46" s="21"/>
      <c r="T46" s="98">
        <f t="shared" si="0"/>
        <v>0</v>
      </c>
      <c r="U46" s="98">
        <f t="shared" si="7"/>
        <v>0</v>
      </c>
      <c r="V46" s="98">
        <f t="shared" si="2"/>
        <v>0</v>
      </c>
    </row>
    <row r="47" spans="1:22" x14ac:dyDescent="0.2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4"/>
      <c r="T47" s="98">
        <f t="shared" si="0"/>
        <v>0</v>
      </c>
      <c r="U47" s="98">
        <f t="shared" si="7"/>
        <v>0</v>
      </c>
      <c r="V47" s="98">
        <f t="shared" si="2"/>
        <v>0</v>
      </c>
    </row>
    <row r="48" spans="1:22" x14ac:dyDescent="0.25">
      <c r="A48" s="48" t="s">
        <v>57</v>
      </c>
      <c r="B48" s="49">
        <f t="shared" ref="B48:O48" si="18">B40*5.56%</f>
        <v>-2347.1256439999997</v>
      </c>
      <c r="C48" s="49">
        <f t="shared" ref="C48:D48" si="19">C40*5.56%</f>
        <v>-16265.990168</v>
      </c>
      <c r="D48" s="49">
        <f t="shared" si="19"/>
        <v>-6052.8089319999999</v>
      </c>
      <c r="E48" s="49">
        <f t="shared" si="18"/>
        <v>0</v>
      </c>
      <c r="F48" s="49">
        <f t="shared" si="18"/>
        <v>-137.88800000000001</v>
      </c>
      <c r="G48" s="49">
        <f t="shared" si="18"/>
        <v>0</v>
      </c>
      <c r="H48" s="49">
        <f t="shared" si="18"/>
        <v>0</v>
      </c>
      <c r="I48" s="49">
        <f>I40*5.56%</f>
        <v>0</v>
      </c>
      <c r="J48" s="49">
        <f t="shared" si="18"/>
        <v>0</v>
      </c>
      <c r="K48" s="49">
        <f t="shared" si="18"/>
        <v>0</v>
      </c>
      <c r="L48" s="49">
        <f t="shared" si="18"/>
        <v>0</v>
      </c>
      <c r="M48" s="49">
        <f t="shared" si="18"/>
        <v>0</v>
      </c>
      <c r="N48" s="49">
        <f t="shared" si="18"/>
        <v>0</v>
      </c>
      <c r="O48" s="49">
        <f t="shared" si="18"/>
        <v>0</v>
      </c>
      <c r="P48" s="49">
        <f>P40*5.56%</f>
        <v>0</v>
      </c>
      <c r="Q48" s="20">
        <f t="shared" ref="Q48" si="20">SUM(B48:P48)</f>
        <v>-24803.812743999999</v>
      </c>
      <c r="R48" s="21"/>
      <c r="T48" s="98">
        <f>SUM(B48:P48)</f>
        <v>-24803.812743999999</v>
      </c>
      <c r="U48" s="98">
        <f t="shared" si="7"/>
        <v>0</v>
      </c>
      <c r="V48" s="98">
        <f t="shared" si="2"/>
        <v>-6190.6969319999989</v>
      </c>
    </row>
    <row r="49" spans="1:22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4"/>
      <c r="T49" s="98">
        <f t="shared" si="0"/>
        <v>0</v>
      </c>
      <c r="U49" s="98">
        <f t="shared" si="7"/>
        <v>0</v>
      </c>
      <c r="V49" s="98">
        <f t="shared" si="2"/>
        <v>0</v>
      </c>
    </row>
    <row r="50" spans="1:22" x14ac:dyDescent="0.25">
      <c r="A50" s="48" t="s">
        <v>58</v>
      </c>
      <c r="B50" s="49">
        <f t="shared" ref="B50:M50" si="21">B40*0.01%</f>
        <v>-4.2214489999999998</v>
      </c>
      <c r="C50" s="49">
        <f t="shared" ref="C50:D50" si="22">C40*0.01%</f>
        <v>-29.255378000000004</v>
      </c>
      <c r="D50" s="49">
        <f t="shared" si="22"/>
        <v>-10.886347000000001</v>
      </c>
      <c r="E50" s="49">
        <f t="shared" si="21"/>
        <v>0</v>
      </c>
      <c r="F50" s="49">
        <f t="shared" si="21"/>
        <v>-0.248</v>
      </c>
      <c r="G50" s="49">
        <f t="shared" si="21"/>
        <v>0</v>
      </c>
      <c r="H50" s="49">
        <f t="shared" si="21"/>
        <v>0</v>
      </c>
      <c r="I50" s="49">
        <f t="shared" si="21"/>
        <v>0</v>
      </c>
      <c r="J50" s="49">
        <f t="shared" si="21"/>
        <v>0</v>
      </c>
      <c r="K50" s="49">
        <f t="shared" si="21"/>
        <v>0</v>
      </c>
      <c r="L50" s="49">
        <f t="shared" si="21"/>
        <v>0</v>
      </c>
      <c r="M50" s="49">
        <f t="shared" si="21"/>
        <v>0</v>
      </c>
      <c r="N50" s="49">
        <f>N40*0.01%</f>
        <v>0</v>
      </c>
      <c r="O50" s="49">
        <f t="shared" ref="O50" si="23">O40*0.01%</f>
        <v>0</v>
      </c>
      <c r="P50" s="49">
        <f>P40*0.01%</f>
        <v>0</v>
      </c>
      <c r="Q50" s="20">
        <f t="shared" ref="Q50" si="24">SUM(B50:P50)</f>
        <v>-44.611173999999998</v>
      </c>
      <c r="R50" s="21"/>
      <c r="T50" s="98">
        <f>SUM(B50:P50)</f>
        <v>-44.611173999999998</v>
      </c>
      <c r="U50" s="98">
        <f t="shared" si="7"/>
        <v>0</v>
      </c>
      <c r="V50" s="98">
        <f t="shared" si="2"/>
        <v>-11.134346999999995</v>
      </c>
    </row>
    <row r="51" spans="1:22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4"/>
      <c r="T51" s="98">
        <f t="shared" si="0"/>
        <v>0</v>
      </c>
      <c r="U51" s="98">
        <f t="shared" si="7"/>
        <v>0</v>
      </c>
      <c r="V51" s="98">
        <f t="shared" si="2"/>
        <v>0</v>
      </c>
    </row>
    <row r="52" spans="1:22" x14ac:dyDescent="0.25">
      <c r="A52" s="39" t="s">
        <v>100</v>
      </c>
      <c r="B52" s="58">
        <f t="shared" ref="B52:G52" si="25">B42+B48+B50+B44+B46</f>
        <v>-44565.837092999995</v>
      </c>
      <c r="C52" s="58">
        <f t="shared" si="25"/>
        <v>-308849.02554599999</v>
      </c>
      <c r="D52" s="58">
        <f t="shared" si="25"/>
        <v>-114927.16527900001</v>
      </c>
      <c r="E52" s="58">
        <f t="shared" si="25"/>
        <v>0</v>
      </c>
      <c r="F52" s="58">
        <f t="shared" si="25"/>
        <v>-2618.136</v>
      </c>
      <c r="G52" s="58">
        <f t="shared" si="25"/>
        <v>0</v>
      </c>
      <c r="H52" s="58">
        <f t="shared" ref="H52:O52" si="26">H42+H48+H50+H44+H46</f>
        <v>0</v>
      </c>
      <c r="I52" s="58">
        <f t="shared" si="26"/>
        <v>0</v>
      </c>
      <c r="J52" s="58">
        <f t="shared" si="26"/>
        <v>0</v>
      </c>
      <c r="K52" s="58">
        <f t="shared" si="26"/>
        <v>0</v>
      </c>
      <c r="L52" s="58">
        <f t="shared" si="26"/>
        <v>0</v>
      </c>
      <c r="M52" s="58">
        <f t="shared" si="26"/>
        <v>0</v>
      </c>
      <c r="N52" s="58">
        <f t="shared" si="26"/>
        <v>0</v>
      </c>
      <c r="O52" s="58">
        <f t="shared" si="26"/>
        <v>0</v>
      </c>
      <c r="P52" s="58">
        <f>P42+P48+P50+P44+P46</f>
        <v>0</v>
      </c>
      <c r="Q52" s="154">
        <f>SUM(B52:P52)</f>
        <v>-470960.16391800001</v>
      </c>
      <c r="R52" s="21"/>
      <c r="T52" s="98">
        <f>SUM(B52:P52)</f>
        <v>-470960.16391800001</v>
      </c>
      <c r="U52" s="98">
        <f t="shared" si="7"/>
        <v>0</v>
      </c>
      <c r="V52" s="98">
        <f t="shared" si="2"/>
        <v>-117545.30127900001</v>
      </c>
    </row>
    <row r="53" spans="1:22" x14ac:dyDescent="0.2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</row>
    <row r="54" spans="1:22" x14ac:dyDescent="0.25">
      <c r="A54" s="52" t="s">
        <v>35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53"/>
      <c r="R54" s="50"/>
    </row>
    <row r="55" spans="1:22" x14ac:dyDescent="0.25">
      <c r="A55" s="8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</row>
    <row r="56" spans="1:22" x14ac:dyDescent="0.25">
      <c r="A56" s="54" t="s">
        <v>36</v>
      </c>
      <c r="B56" s="50"/>
      <c r="C56" s="50"/>
      <c r="D56" s="50"/>
      <c r="E56" s="83"/>
      <c r="R56" s="89">
        <v>46081</v>
      </c>
    </row>
    <row r="57" spans="1:22" x14ac:dyDescent="0.25">
      <c r="B57" s="98">
        <f>B11+B40+B44+B46+B48+B50</f>
        <v>-44565.837092999995</v>
      </c>
      <c r="C57" s="98">
        <f>C11+C40+C44+C46+C48+C50</f>
        <v>-308849.02554599999</v>
      </c>
      <c r="D57" s="98">
        <f>D11+D40+D44+D46+D48+D50</f>
        <v>-114927.16527900001</v>
      </c>
      <c r="E57" s="98">
        <f t="shared" ref="E57:Q57" si="27">E11+E40+E44+E46+E48+E50</f>
        <v>0</v>
      </c>
      <c r="F57" s="98">
        <f t="shared" si="27"/>
        <v>-2618.136</v>
      </c>
      <c r="G57" s="98">
        <f t="shared" si="27"/>
        <v>0</v>
      </c>
      <c r="H57" s="98">
        <f t="shared" si="27"/>
        <v>0</v>
      </c>
      <c r="I57" s="98">
        <f t="shared" si="27"/>
        <v>0</v>
      </c>
      <c r="J57" s="98">
        <f t="shared" si="27"/>
        <v>0</v>
      </c>
      <c r="K57" s="98">
        <f t="shared" si="27"/>
        <v>0</v>
      </c>
      <c r="L57" s="98">
        <f t="shared" si="27"/>
        <v>0</v>
      </c>
      <c r="M57" s="98">
        <f t="shared" si="27"/>
        <v>0</v>
      </c>
      <c r="N57" s="98">
        <f t="shared" si="27"/>
        <v>0</v>
      </c>
      <c r="O57" s="98">
        <f t="shared" si="27"/>
        <v>0</v>
      </c>
      <c r="P57" s="98">
        <f t="shared" si="27"/>
        <v>0</v>
      </c>
      <c r="Q57" s="98">
        <f t="shared" si="27"/>
        <v>-470960.16391800001</v>
      </c>
    </row>
    <row r="59" spans="1:22" x14ac:dyDescent="0.25">
      <c r="B59" s="98">
        <f>B52-B57</f>
        <v>0</v>
      </c>
      <c r="C59" s="98">
        <f>C52-C57</f>
        <v>0</v>
      </c>
      <c r="D59" s="98">
        <f>D52-D57</f>
        <v>0</v>
      </c>
      <c r="E59" s="98">
        <f t="shared" ref="E59:P59" si="28">E52-E57</f>
        <v>0</v>
      </c>
      <c r="F59" s="98">
        <f t="shared" si="28"/>
        <v>0</v>
      </c>
      <c r="G59" s="98">
        <f t="shared" si="28"/>
        <v>0</v>
      </c>
      <c r="H59" s="98">
        <f>H52-H57</f>
        <v>0</v>
      </c>
      <c r="I59" s="98">
        <f t="shared" si="28"/>
        <v>0</v>
      </c>
      <c r="J59" s="98">
        <f t="shared" si="28"/>
        <v>0</v>
      </c>
      <c r="K59" s="98">
        <f t="shared" si="28"/>
        <v>0</v>
      </c>
      <c r="L59" s="98">
        <f t="shared" si="28"/>
        <v>0</v>
      </c>
      <c r="M59" s="98">
        <f t="shared" si="28"/>
        <v>0</v>
      </c>
      <c r="N59" s="98">
        <f t="shared" si="28"/>
        <v>0</v>
      </c>
      <c r="O59" s="98">
        <f t="shared" si="28"/>
        <v>0</v>
      </c>
      <c r="P59" s="98">
        <f t="shared" si="28"/>
        <v>0</v>
      </c>
      <c r="Q59" s="98">
        <f>Q52-Q57</f>
        <v>0</v>
      </c>
    </row>
  </sheetData>
  <mergeCells count="3">
    <mergeCell ref="A1:Q1"/>
    <mergeCell ref="A3:Q3"/>
    <mergeCell ref="A5:Q5"/>
  </mergeCells>
  <phoneticPr fontId="12" type="noConversion"/>
  <conditionalFormatting sqref="H52">
    <cfRule type="cellIs" dxfId="89" priority="5" operator="lessThan">
      <formula>0</formula>
    </cfRule>
    <cfRule type="cellIs" dxfId="88" priority="6" operator="greaterThan">
      <formula>0</formula>
    </cfRule>
  </conditionalFormatting>
  <conditionalFormatting sqref="J52:K52">
    <cfRule type="cellIs" dxfId="87" priority="3" operator="lessThan">
      <formula>0</formula>
    </cfRule>
    <cfRule type="cellIs" dxfId="86" priority="4" operator="greaterThan">
      <formula>0</formula>
    </cfRule>
  </conditionalFormatting>
  <conditionalFormatting sqref="M52">
    <cfRule type="cellIs" dxfId="85" priority="1" operator="lessThan">
      <formula>0</formula>
    </cfRule>
    <cfRule type="cellIs" dxfId="84" priority="2" operator="greaterThan">
      <formula>0</formula>
    </cfRule>
  </conditionalFormatting>
  <printOptions horizontalCentered="1" verticalCentered="1"/>
  <pageMargins left="0" right="0" top="0.31496062992125984" bottom="0" header="0.19685039370078741" footer="0"/>
  <pageSetup paperSize="9" scale="69" orientation="landscape" r:id="rId1"/>
  <headerFooter>
    <oddHeader>&amp;C&amp;"-,Negrito"&amp;14 BELA NOVA CONSTRUTORA LTDA</oddHeader>
  </headerFooter>
  <colBreaks count="1" manualBreakCount="1">
    <brk id="18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T59"/>
  <sheetViews>
    <sheetView zoomScale="85" zoomScaleNormal="85" workbookViewId="0">
      <selection activeCell="D8" sqref="D8"/>
    </sheetView>
  </sheetViews>
  <sheetFormatPr defaultRowHeight="15" x14ac:dyDescent="0.25"/>
  <cols>
    <col min="1" max="1" width="61.5703125" bestFit="1" customWidth="1"/>
    <col min="2" max="2" width="17.7109375" bestFit="1" customWidth="1"/>
    <col min="3" max="3" width="17.7109375" customWidth="1"/>
    <col min="4" max="4" width="16.140625" bestFit="1" customWidth="1"/>
    <col min="5" max="5" width="16.28515625" hidden="1" customWidth="1"/>
    <col min="6" max="7" width="16.140625" hidden="1" customWidth="1"/>
    <col min="8" max="8" width="16" hidden="1" customWidth="1"/>
    <col min="9" max="9" width="17" hidden="1" customWidth="1"/>
    <col min="10" max="10" width="17.42578125" hidden="1" customWidth="1"/>
    <col min="11" max="11" width="14.28515625" hidden="1" customWidth="1"/>
    <col min="12" max="12" width="16.140625" hidden="1" customWidth="1"/>
    <col min="13" max="13" width="14.7109375" hidden="1" customWidth="1"/>
    <col min="14" max="14" width="16.85546875" hidden="1" customWidth="1"/>
    <col min="15" max="15" width="16.7109375" hidden="1" customWidth="1"/>
    <col min="16" max="16" width="17.7109375" customWidth="1"/>
    <col min="17" max="17" width="10.7109375" bestFit="1" customWidth="1"/>
    <col min="19" max="19" width="16.28515625" customWidth="1"/>
    <col min="20" max="20" width="14.28515625" bestFit="1" customWidth="1"/>
  </cols>
  <sheetData>
    <row r="1" spans="1:20" ht="15.75" customHeight="1" x14ac:dyDescent="0.25">
      <c r="A1" s="209" t="s">
        <v>187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</row>
    <row r="2" spans="1:20" ht="9.75" customHeight="1" x14ac:dyDescent="0.25">
      <c r="A2" s="71"/>
      <c r="B2" s="10"/>
      <c r="C2" s="10"/>
    </row>
    <row r="3" spans="1:20" ht="15.75" customHeight="1" x14ac:dyDescent="0.25">
      <c r="A3" s="209" t="s">
        <v>103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</row>
    <row r="4" spans="1:20" ht="9" customHeight="1" x14ac:dyDescent="0.25">
      <c r="A4" s="71"/>
      <c r="B4" s="10"/>
      <c r="C4" s="10"/>
    </row>
    <row r="5" spans="1:20" ht="15.75" customHeight="1" x14ac:dyDescent="0.25">
      <c r="A5" s="209" t="s">
        <v>169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20" x14ac:dyDescent="0.25">
      <c r="A6" s="10"/>
      <c r="B6" s="10"/>
      <c r="C6" s="10"/>
    </row>
    <row r="7" spans="1:20" x14ac:dyDescent="0.25">
      <c r="A7" s="12"/>
      <c r="B7" s="60" t="s">
        <v>132</v>
      </c>
      <c r="C7" s="60" t="s">
        <v>221</v>
      </c>
      <c r="D7" s="60" t="s">
        <v>209</v>
      </c>
      <c r="E7" s="60" t="s">
        <v>118</v>
      </c>
      <c r="F7" s="60" t="s">
        <v>119</v>
      </c>
      <c r="G7" s="60" t="s">
        <v>120</v>
      </c>
      <c r="H7" s="60" t="s">
        <v>121</v>
      </c>
      <c r="I7" s="60" t="s">
        <v>123</v>
      </c>
      <c r="J7" s="60" t="s">
        <v>124</v>
      </c>
      <c r="K7" s="60" t="s">
        <v>125</v>
      </c>
      <c r="L7" s="60" t="s">
        <v>126</v>
      </c>
      <c r="M7" s="60" t="s">
        <v>127</v>
      </c>
      <c r="N7" s="60" t="s">
        <v>128</v>
      </c>
      <c r="O7" s="60" t="s">
        <v>129</v>
      </c>
      <c r="P7" s="13" t="s">
        <v>1</v>
      </c>
      <c r="Q7" s="14" t="s">
        <v>2</v>
      </c>
    </row>
    <row r="8" spans="1:20" x14ac:dyDescent="0.25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7"/>
      <c r="Q8" s="18"/>
    </row>
    <row r="9" spans="1:20" x14ac:dyDescent="0.25">
      <c r="A9" s="78" t="s">
        <v>4</v>
      </c>
      <c r="B9" s="19">
        <v>302912.52</v>
      </c>
      <c r="C9" s="19">
        <v>633344.41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20">
        <f>B9+C9+D9+E9+F9+G9+H9+I9+J9+K9+L9+M9+N9+O9</f>
        <v>936256.93</v>
      </c>
      <c r="Q9" s="21">
        <v>1</v>
      </c>
      <c r="S9" s="98">
        <f>SUM(B9:O9)</f>
        <v>936256.93</v>
      </c>
      <c r="T9" s="98">
        <f>P9-S9</f>
        <v>0</v>
      </c>
    </row>
    <row r="10" spans="1:20" x14ac:dyDescent="0.25">
      <c r="A10" s="15" t="s">
        <v>5</v>
      </c>
      <c r="B10" s="19">
        <v>0</v>
      </c>
      <c r="C10" s="19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B10+C10+D10+E10+F10+G10+H10+I10+J10+K10+L10+M10+N10+O10</f>
        <v>0</v>
      </c>
      <c r="Q10" s="21"/>
      <c r="S10" s="98">
        <f t="shared" ref="S10:S51" si="0">SUM(B10:O10)</f>
        <v>0</v>
      </c>
      <c r="T10" s="98">
        <f t="shared" ref="T10:T52" si="1">P10-S10</f>
        <v>0</v>
      </c>
    </row>
    <row r="11" spans="1:20" x14ac:dyDescent="0.25">
      <c r="A11" s="23" t="s">
        <v>6</v>
      </c>
      <c r="B11" s="24">
        <f t="shared" ref="B11:F11" si="2">SUM(B9:B10)</f>
        <v>302912.52</v>
      </c>
      <c r="C11" s="24">
        <f t="shared" ref="C11" si="3">SUM(C9:C10)</f>
        <v>633344.41</v>
      </c>
      <c r="D11" s="24">
        <f t="shared" si="2"/>
        <v>0</v>
      </c>
      <c r="E11" s="24">
        <f t="shared" si="2"/>
        <v>0</v>
      </c>
      <c r="F11" s="24">
        <f t="shared" si="2"/>
        <v>0</v>
      </c>
      <c r="G11" s="24">
        <f t="shared" ref="G11:O11" si="4">SUM(G9:G10)</f>
        <v>0</v>
      </c>
      <c r="H11" s="24">
        <f t="shared" si="4"/>
        <v>0</v>
      </c>
      <c r="I11" s="24">
        <f t="shared" si="4"/>
        <v>0</v>
      </c>
      <c r="J11" s="24">
        <f t="shared" si="4"/>
        <v>0</v>
      </c>
      <c r="K11" s="24">
        <f t="shared" si="4"/>
        <v>0</v>
      </c>
      <c r="L11" s="24">
        <f t="shared" si="4"/>
        <v>0</v>
      </c>
      <c r="M11" s="24">
        <f t="shared" si="4"/>
        <v>0</v>
      </c>
      <c r="N11" s="24">
        <f t="shared" si="4"/>
        <v>0</v>
      </c>
      <c r="O11" s="24">
        <f t="shared" si="4"/>
        <v>0</v>
      </c>
      <c r="P11" s="24">
        <f>SUM(P9:P10)</f>
        <v>936256.93</v>
      </c>
      <c r="Q11" s="21">
        <v>1</v>
      </c>
      <c r="S11" s="98">
        <f>SUM(B11:O11)</f>
        <v>936256.93</v>
      </c>
      <c r="T11" s="98">
        <f t="shared" si="1"/>
        <v>0</v>
      </c>
    </row>
    <row r="12" spans="1:20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8"/>
      <c r="S12" s="98">
        <f t="shared" si="0"/>
        <v>0</v>
      </c>
      <c r="T12" s="98"/>
    </row>
    <row r="13" spans="1:20" x14ac:dyDescent="0.25">
      <c r="A13" s="29" t="s">
        <v>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31"/>
      <c r="S13" s="98">
        <f t="shared" si="0"/>
        <v>0</v>
      </c>
      <c r="T13" s="98"/>
    </row>
    <row r="14" spans="1:20" x14ac:dyDescent="0.25">
      <c r="A14" s="15" t="s">
        <v>8</v>
      </c>
      <c r="B14" s="32">
        <v>-32774.85</v>
      </c>
      <c r="C14" s="32">
        <v>-106115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20">
        <f>B14+C14+D14+E14+F14+G14+H14+I14+J14+K14+L14+M14+N14+O14</f>
        <v>-138889.85</v>
      </c>
      <c r="Q14" s="21">
        <f>-P14/$P$11</f>
        <v>0.14834587125566057</v>
      </c>
      <c r="S14" s="98">
        <f>SUM(B14:O14)</f>
        <v>-138889.85</v>
      </c>
      <c r="T14" s="98">
        <f>P14-S14</f>
        <v>0</v>
      </c>
    </row>
    <row r="15" spans="1:20" x14ac:dyDescent="0.25">
      <c r="A15" s="33" t="s">
        <v>9</v>
      </c>
      <c r="B15" s="32">
        <v>0</v>
      </c>
      <c r="C15" s="32">
        <v>0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20">
        <f t="shared" ref="P15:P39" si="5">B15+C15+D15+E15+F15+G15+H15+I15+J15+K15+L15+M15+N15+O15</f>
        <v>0</v>
      </c>
      <c r="Q15" s="21">
        <f t="shared" ref="Q15:Q52" si="6">-P15/$P$11</f>
        <v>0</v>
      </c>
      <c r="S15" s="98">
        <f t="shared" si="0"/>
        <v>0</v>
      </c>
      <c r="T15" s="98">
        <f t="shared" si="1"/>
        <v>0</v>
      </c>
    </row>
    <row r="16" spans="1:20" x14ac:dyDescent="0.25">
      <c r="A16" s="15" t="s">
        <v>10</v>
      </c>
      <c r="B16" s="32">
        <v>-273.60000000000002</v>
      </c>
      <c r="C16" s="32">
        <v>-1562.23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20">
        <f t="shared" si="5"/>
        <v>-1835.83</v>
      </c>
      <c r="Q16" s="21">
        <f t="shared" si="6"/>
        <v>1.960818597091719E-3</v>
      </c>
      <c r="S16" s="98">
        <f>SUM(B16:O16)</f>
        <v>-1835.83</v>
      </c>
      <c r="T16" s="98">
        <f t="shared" si="1"/>
        <v>0</v>
      </c>
    </row>
    <row r="17" spans="1:20" x14ac:dyDescent="0.25">
      <c r="A17" s="33" t="s">
        <v>11</v>
      </c>
      <c r="B17" s="32">
        <v>-3828.45</v>
      </c>
      <c r="C17" s="32">
        <v>-6037.1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20">
        <f t="shared" si="5"/>
        <v>-9865.5499999999993</v>
      </c>
      <c r="Q17" s="21">
        <f t="shared" si="6"/>
        <v>1.0537225075599706E-2</v>
      </c>
      <c r="S17" s="98">
        <f t="shared" si="0"/>
        <v>-9865.5499999999993</v>
      </c>
      <c r="T17" s="98">
        <f t="shared" si="1"/>
        <v>0</v>
      </c>
    </row>
    <row r="18" spans="1:20" x14ac:dyDescent="0.25">
      <c r="A18" s="15" t="s">
        <v>12</v>
      </c>
      <c r="B18" s="32">
        <v>-22411.06</v>
      </c>
      <c r="C18" s="32">
        <v>-43053.23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20">
        <f t="shared" si="5"/>
        <v>-65464.290000000008</v>
      </c>
      <c r="Q18" s="21">
        <f t="shared" si="6"/>
        <v>6.9921287525209569E-2</v>
      </c>
      <c r="S18" s="98">
        <f t="shared" si="0"/>
        <v>-65464.290000000008</v>
      </c>
      <c r="T18" s="98">
        <f t="shared" si="1"/>
        <v>0</v>
      </c>
    </row>
    <row r="19" spans="1:20" x14ac:dyDescent="0.25">
      <c r="A19" s="15" t="s">
        <v>13</v>
      </c>
      <c r="B19" s="32">
        <v>-15174.86</v>
      </c>
      <c r="C19" s="32">
        <v>-29062.47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20">
        <f t="shared" si="5"/>
        <v>-44237.33</v>
      </c>
      <c r="Q19" s="21">
        <f t="shared" si="6"/>
        <v>4.724913491428042E-2</v>
      </c>
      <c r="S19" s="98">
        <f t="shared" si="0"/>
        <v>-44237.33</v>
      </c>
      <c r="T19" s="98">
        <f t="shared" si="1"/>
        <v>0</v>
      </c>
    </row>
    <row r="20" spans="1:20" x14ac:dyDescent="0.25">
      <c r="A20" s="15" t="s">
        <v>14</v>
      </c>
      <c r="B20" s="32">
        <v>-13399.01</v>
      </c>
      <c r="C20" s="32">
        <v>-39316.14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20">
        <f t="shared" si="5"/>
        <v>-52715.15</v>
      </c>
      <c r="Q20" s="21">
        <f t="shared" si="6"/>
        <v>5.6304149332171032E-2</v>
      </c>
      <c r="S20" s="98">
        <f t="shared" si="0"/>
        <v>-52715.15</v>
      </c>
      <c r="T20" s="98">
        <f t="shared" si="1"/>
        <v>0</v>
      </c>
    </row>
    <row r="21" spans="1:20" x14ac:dyDescent="0.25">
      <c r="A21" s="15" t="s">
        <v>15</v>
      </c>
      <c r="B21" s="32">
        <v>-2042.94</v>
      </c>
      <c r="C21" s="32">
        <v>0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20">
        <f t="shared" si="5"/>
        <v>-2042.94</v>
      </c>
      <c r="Q21" s="21">
        <f t="shared" si="6"/>
        <v>2.1820292427635222E-3</v>
      </c>
      <c r="S21" s="98">
        <f t="shared" si="0"/>
        <v>-2042.94</v>
      </c>
      <c r="T21" s="98">
        <f t="shared" si="1"/>
        <v>0</v>
      </c>
    </row>
    <row r="22" spans="1:20" x14ac:dyDescent="0.25">
      <c r="A22" s="15" t="s">
        <v>16</v>
      </c>
      <c r="B22" s="32">
        <v>0</v>
      </c>
      <c r="C22" s="32">
        <v>-1238.46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20">
        <f t="shared" si="5"/>
        <v>-1238.46</v>
      </c>
      <c r="Q22" s="21">
        <f t="shared" si="6"/>
        <v>1.3227779259268073E-3</v>
      </c>
      <c r="S22" s="98">
        <f t="shared" si="0"/>
        <v>-1238.46</v>
      </c>
      <c r="T22" s="98">
        <f t="shared" si="1"/>
        <v>0</v>
      </c>
    </row>
    <row r="23" spans="1:20" x14ac:dyDescent="0.25">
      <c r="A23" s="15" t="s">
        <v>17</v>
      </c>
      <c r="B23" s="32">
        <v>-16029.88</v>
      </c>
      <c r="C23" s="32">
        <v>-32288.83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20">
        <f t="shared" si="5"/>
        <v>-48318.71</v>
      </c>
      <c r="Q23" s="21">
        <f t="shared" si="6"/>
        <v>5.1608387026838877E-2</v>
      </c>
      <c r="S23" s="98">
        <f t="shared" si="0"/>
        <v>-48318.71</v>
      </c>
      <c r="T23" s="98">
        <f t="shared" si="1"/>
        <v>0</v>
      </c>
    </row>
    <row r="24" spans="1:20" x14ac:dyDescent="0.25">
      <c r="A24" s="15" t="s">
        <v>18</v>
      </c>
      <c r="B24" s="32">
        <v>-1075.44</v>
      </c>
      <c r="C24" s="32">
        <v>-6458.08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20">
        <f t="shared" si="5"/>
        <v>-7533.52</v>
      </c>
      <c r="Q24" s="21">
        <f t="shared" si="6"/>
        <v>8.0464237525056295E-3</v>
      </c>
      <c r="S24" s="98">
        <f t="shared" si="0"/>
        <v>-7533.52</v>
      </c>
      <c r="T24" s="98">
        <f t="shared" si="1"/>
        <v>0</v>
      </c>
    </row>
    <row r="25" spans="1:20" x14ac:dyDescent="0.25">
      <c r="A25" s="15" t="s">
        <v>19</v>
      </c>
      <c r="B25" s="32">
        <v>-10186.08</v>
      </c>
      <c r="C25" s="32">
        <v>-34255.39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20">
        <f t="shared" si="5"/>
        <v>-44441.47</v>
      </c>
      <c r="Q25" s="21">
        <f t="shared" si="6"/>
        <v>4.7467173353792955E-2</v>
      </c>
      <c r="S25" s="98">
        <f t="shared" si="0"/>
        <v>-44441.47</v>
      </c>
      <c r="T25" s="98">
        <f t="shared" si="1"/>
        <v>0</v>
      </c>
    </row>
    <row r="26" spans="1:20" x14ac:dyDescent="0.25">
      <c r="A26" s="15" t="s">
        <v>20</v>
      </c>
      <c r="B26" s="32">
        <v>0</v>
      </c>
      <c r="C26" s="32">
        <v>0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20">
        <f t="shared" si="5"/>
        <v>0</v>
      </c>
      <c r="Q26" s="21">
        <f t="shared" si="6"/>
        <v>0</v>
      </c>
      <c r="S26" s="98">
        <f t="shared" si="0"/>
        <v>0</v>
      </c>
      <c r="T26" s="98">
        <f t="shared" si="1"/>
        <v>0</v>
      </c>
    </row>
    <row r="27" spans="1:20" x14ac:dyDescent="0.25">
      <c r="A27" s="15" t="s">
        <v>59</v>
      </c>
      <c r="B27" s="32">
        <v>0</v>
      </c>
      <c r="C27" s="32">
        <v>0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20">
        <f t="shared" si="5"/>
        <v>0</v>
      </c>
      <c r="Q27" s="21">
        <f t="shared" si="6"/>
        <v>0</v>
      </c>
      <c r="S27" s="98">
        <f t="shared" si="0"/>
        <v>0</v>
      </c>
      <c r="T27" s="98">
        <f t="shared" si="1"/>
        <v>0</v>
      </c>
    </row>
    <row r="28" spans="1:20" x14ac:dyDescent="0.25">
      <c r="A28" s="15" t="s">
        <v>21</v>
      </c>
      <c r="B28" s="32">
        <v>-2203</v>
      </c>
      <c r="C28" s="32">
        <v>-2970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20">
        <f t="shared" si="5"/>
        <v>-5173</v>
      </c>
      <c r="Q28" s="21">
        <f t="shared" si="6"/>
        <v>5.5251927481060137E-3</v>
      </c>
      <c r="S28" s="98">
        <f t="shared" si="0"/>
        <v>-5173</v>
      </c>
      <c r="T28" s="98">
        <f t="shared" si="1"/>
        <v>0</v>
      </c>
    </row>
    <row r="29" spans="1:20" x14ac:dyDescent="0.25">
      <c r="A29" s="15" t="s">
        <v>22</v>
      </c>
      <c r="B29" s="32">
        <v>0</v>
      </c>
      <c r="C29" s="32">
        <v>0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20">
        <f t="shared" si="5"/>
        <v>0</v>
      </c>
      <c r="Q29" s="21">
        <f t="shared" si="6"/>
        <v>0</v>
      </c>
      <c r="S29" s="98">
        <f t="shared" si="0"/>
        <v>0</v>
      </c>
      <c r="T29" s="98">
        <f t="shared" si="1"/>
        <v>0</v>
      </c>
    </row>
    <row r="30" spans="1:20" x14ac:dyDescent="0.25">
      <c r="A30" s="33" t="s">
        <v>23</v>
      </c>
      <c r="B30" s="32">
        <v>-8878.23</v>
      </c>
      <c r="C30" s="32">
        <v>-2413.48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20">
        <f t="shared" si="5"/>
        <v>-11291.71</v>
      </c>
      <c r="Q30" s="21">
        <f t="shared" si="6"/>
        <v>1.2060482158460497E-2</v>
      </c>
      <c r="S30" s="98">
        <f t="shared" si="0"/>
        <v>-11291.71</v>
      </c>
      <c r="T30" s="98">
        <f t="shared" si="1"/>
        <v>0</v>
      </c>
    </row>
    <row r="31" spans="1:20" x14ac:dyDescent="0.25">
      <c r="A31" s="15" t="s">
        <v>24</v>
      </c>
      <c r="B31" s="32">
        <v>-53530</v>
      </c>
      <c r="C31" s="32">
        <v>-115812.06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20">
        <f t="shared" si="5"/>
        <v>-169342.06</v>
      </c>
      <c r="Q31" s="21">
        <f t="shared" si="6"/>
        <v>0.1808713554729042</v>
      </c>
      <c r="S31" s="98">
        <f t="shared" si="0"/>
        <v>-169342.06</v>
      </c>
      <c r="T31" s="98">
        <f t="shared" si="1"/>
        <v>0</v>
      </c>
    </row>
    <row r="32" spans="1:20" x14ac:dyDescent="0.25">
      <c r="A32" s="34" t="s">
        <v>25</v>
      </c>
      <c r="B32" s="32">
        <v>-160407.62</v>
      </c>
      <c r="C32" s="32">
        <v>-309026.18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20">
        <f t="shared" si="5"/>
        <v>-469433.8</v>
      </c>
      <c r="Q32" s="21">
        <f t="shared" si="6"/>
        <v>0.50139420596865436</v>
      </c>
      <c r="S32" s="98">
        <f t="shared" si="0"/>
        <v>-469433.8</v>
      </c>
      <c r="T32" s="98">
        <f t="shared" si="1"/>
        <v>0</v>
      </c>
    </row>
    <row r="33" spans="1:20" x14ac:dyDescent="0.25">
      <c r="A33" s="15" t="s">
        <v>26</v>
      </c>
      <c r="B33" s="32">
        <v>-3015.3</v>
      </c>
      <c r="C33" s="32">
        <v>-8617.6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20">
        <f t="shared" si="5"/>
        <v>-11632.900000000001</v>
      </c>
      <c r="Q33" s="21">
        <f t="shared" si="6"/>
        <v>1.2424901356938422E-2</v>
      </c>
      <c r="S33" s="98">
        <f t="shared" si="0"/>
        <v>-11632.900000000001</v>
      </c>
      <c r="T33" s="98">
        <f t="shared" si="1"/>
        <v>0</v>
      </c>
    </row>
    <row r="34" spans="1:20" x14ac:dyDescent="0.25">
      <c r="A34" s="15" t="s">
        <v>27</v>
      </c>
      <c r="B34" s="32">
        <v>0</v>
      </c>
      <c r="C34" s="32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20">
        <f t="shared" si="5"/>
        <v>0</v>
      </c>
      <c r="Q34" s="21">
        <f t="shared" si="6"/>
        <v>0</v>
      </c>
      <c r="S34" s="98">
        <f t="shared" si="0"/>
        <v>0</v>
      </c>
      <c r="T34" s="98">
        <f t="shared" si="1"/>
        <v>0</v>
      </c>
    </row>
    <row r="35" spans="1:20" x14ac:dyDescent="0.25">
      <c r="A35" s="33" t="s">
        <v>28</v>
      </c>
      <c r="B35" s="32">
        <v>-3044.3</v>
      </c>
      <c r="C35" s="32">
        <v>-3527.65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20">
        <f t="shared" si="5"/>
        <v>-6571.9500000000007</v>
      </c>
      <c r="Q35" s="21">
        <f t="shared" si="6"/>
        <v>7.0193872957501104E-3</v>
      </c>
      <c r="S35" s="98">
        <f t="shared" si="0"/>
        <v>-6571.9500000000007</v>
      </c>
      <c r="T35" s="98">
        <f t="shared" si="1"/>
        <v>0</v>
      </c>
    </row>
    <row r="36" spans="1:20" x14ac:dyDescent="0.25">
      <c r="A36" s="15" t="s">
        <v>29</v>
      </c>
      <c r="B36" s="32">
        <v>-9362.93</v>
      </c>
      <c r="C36" s="32">
        <v>-39440.33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20">
        <f t="shared" si="5"/>
        <v>-48803.26</v>
      </c>
      <c r="Q36" s="21">
        <f t="shared" si="6"/>
        <v>5.2125926587267023E-2</v>
      </c>
      <c r="S36" s="98">
        <f t="shared" si="0"/>
        <v>-48803.26</v>
      </c>
      <c r="T36" s="98">
        <f t="shared" si="1"/>
        <v>0</v>
      </c>
    </row>
    <row r="37" spans="1:20" x14ac:dyDescent="0.25">
      <c r="A37" s="15" t="s">
        <v>30</v>
      </c>
      <c r="B37" s="32">
        <v>-17440.43</v>
      </c>
      <c r="C37" s="32">
        <v>-32055.82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20">
        <f t="shared" si="5"/>
        <v>-49496.25</v>
      </c>
      <c r="Q37" s="21">
        <f t="shared" si="6"/>
        <v>5.2866097343599899E-2</v>
      </c>
      <c r="S37" s="98">
        <f t="shared" si="0"/>
        <v>-49496.25</v>
      </c>
      <c r="T37" s="98">
        <f t="shared" si="1"/>
        <v>0</v>
      </c>
    </row>
    <row r="38" spans="1:20" x14ac:dyDescent="0.25">
      <c r="A38" s="15" t="s">
        <v>97</v>
      </c>
      <c r="B38" s="32">
        <v>0</v>
      </c>
      <c r="C38" s="32">
        <v>0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20">
        <f t="shared" si="5"/>
        <v>0</v>
      </c>
      <c r="Q38" s="21">
        <f t="shared" si="6"/>
        <v>0</v>
      </c>
      <c r="S38" s="98">
        <f t="shared" si="0"/>
        <v>0</v>
      </c>
      <c r="T38" s="98">
        <f t="shared" si="1"/>
        <v>0</v>
      </c>
    </row>
    <row r="39" spans="1:20" x14ac:dyDescent="0.25">
      <c r="A39" s="15" t="s">
        <v>114</v>
      </c>
      <c r="B39" s="32">
        <v>0</v>
      </c>
      <c r="C39" s="32">
        <v>0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20">
        <f t="shared" si="5"/>
        <v>0</v>
      </c>
      <c r="Q39" s="21">
        <f t="shared" si="6"/>
        <v>0</v>
      </c>
      <c r="S39" s="98">
        <f t="shared" si="0"/>
        <v>0</v>
      </c>
      <c r="T39" s="98">
        <f t="shared" si="1"/>
        <v>0</v>
      </c>
    </row>
    <row r="40" spans="1:20" x14ac:dyDescent="0.25">
      <c r="A40" s="35" t="s">
        <v>31</v>
      </c>
      <c r="B40" s="36">
        <f>SUM(B14:B39)</f>
        <v>-375077.98</v>
      </c>
      <c r="C40" s="36">
        <f>SUM(C14:C39)</f>
        <v>-813250.04999999981</v>
      </c>
      <c r="D40" s="36">
        <f t="shared" ref="D40:O40" si="7">SUM(D14:D39)</f>
        <v>0</v>
      </c>
      <c r="E40" s="36">
        <f t="shared" si="7"/>
        <v>0</v>
      </c>
      <c r="F40" s="36">
        <f t="shared" si="7"/>
        <v>0</v>
      </c>
      <c r="G40" s="36">
        <f t="shared" si="7"/>
        <v>0</v>
      </c>
      <c r="H40" s="36">
        <f t="shared" si="7"/>
        <v>0</v>
      </c>
      <c r="I40" s="36">
        <f t="shared" si="7"/>
        <v>0</v>
      </c>
      <c r="J40" s="36">
        <f t="shared" si="7"/>
        <v>0</v>
      </c>
      <c r="K40" s="36">
        <f t="shared" si="7"/>
        <v>0</v>
      </c>
      <c r="L40" s="36">
        <f t="shared" si="7"/>
        <v>0</v>
      </c>
      <c r="M40" s="36">
        <f t="shared" si="7"/>
        <v>0</v>
      </c>
      <c r="N40" s="36">
        <f t="shared" si="7"/>
        <v>0</v>
      </c>
      <c r="O40" s="36">
        <f t="shared" si="7"/>
        <v>0</v>
      </c>
      <c r="P40" s="36">
        <f>SUM(P14:P39)</f>
        <v>-1188328.03</v>
      </c>
      <c r="Q40" s="21">
        <f t="shared" si="6"/>
        <v>1.2692328269335214</v>
      </c>
      <c r="S40" s="98">
        <f>SUM(B40:O40)</f>
        <v>-1188328.0299999998</v>
      </c>
      <c r="T40" s="98">
        <f t="shared" si="1"/>
        <v>0</v>
      </c>
    </row>
    <row r="41" spans="1:20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18"/>
      <c r="S41" s="98">
        <f t="shared" si="0"/>
        <v>0</v>
      </c>
      <c r="T41" s="98">
        <f t="shared" si="1"/>
        <v>0</v>
      </c>
    </row>
    <row r="42" spans="1:20" x14ac:dyDescent="0.25">
      <c r="A42" s="39" t="s">
        <v>32</v>
      </c>
      <c r="B42" s="58">
        <f t="shared" ref="B42:O42" si="8">B11+B40</f>
        <v>-72165.459999999963</v>
      </c>
      <c r="C42" s="58">
        <f t="shared" ref="C42" si="9">C11+C40</f>
        <v>-179905.63999999978</v>
      </c>
      <c r="D42" s="58">
        <f t="shared" si="8"/>
        <v>0</v>
      </c>
      <c r="E42" s="58">
        <f t="shared" si="8"/>
        <v>0</v>
      </c>
      <c r="F42" s="58">
        <f t="shared" si="8"/>
        <v>0</v>
      </c>
      <c r="G42" s="58">
        <f t="shared" si="8"/>
        <v>0</v>
      </c>
      <c r="H42" s="40">
        <f>H11+H40</f>
        <v>0</v>
      </c>
      <c r="I42" s="58">
        <f t="shared" si="8"/>
        <v>0</v>
      </c>
      <c r="J42" s="58">
        <f t="shared" si="8"/>
        <v>0</v>
      </c>
      <c r="K42" s="58">
        <f t="shared" si="8"/>
        <v>0</v>
      </c>
      <c r="L42" s="58">
        <f t="shared" si="8"/>
        <v>0</v>
      </c>
      <c r="M42" s="58">
        <f t="shared" si="8"/>
        <v>0</v>
      </c>
      <c r="N42" s="58">
        <f t="shared" si="8"/>
        <v>0</v>
      </c>
      <c r="O42" s="58">
        <f t="shared" si="8"/>
        <v>0</v>
      </c>
      <c r="P42" s="154">
        <f t="shared" ref="P42" si="10">B42+C42+D42+E42+F42+G42+H42+I42+J42+K42+L42+M42+N42+O42</f>
        <v>-252071.09999999974</v>
      </c>
      <c r="Q42" s="21">
        <f t="shared" si="6"/>
        <v>0.26923282693352107</v>
      </c>
      <c r="S42" s="98">
        <f>SUM(B42:O42)</f>
        <v>-252071.09999999974</v>
      </c>
      <c r="T42" s="98">
        <f t="shared" si="1"/>
        <v>0</v>
      </c>
    </row>
    <row r="43" spans="1:20" x14ac:dyDescent="0.25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4"/>
      <c r="S43" s="98">
        <f t="shared" si="0"/>
        <v>0</v>
      </c>
      <c r="T43" s="98">
        <f t="shared" si="1"/>
        <v>0</v>
      </c>
    </row>
    <row r="44" spans="1:20" x14ac:dyDescent="0.25">
      <c r="A44" s="29" t="s">
        <v>56</v>
      </c>
      <c r="B44" s="45">
        <f t="shared" ref="B44:L44" si="11">-B9*13.15%</f>
        <v>-39832.996380000004</v>
      </c>
      <c r="C44" s="45">
        <f t="shared" ref="C44" si="12">-C9*13.15%</f>
        <v>-83284.789915000001</v>
      </c>
      <c r="D44" s="45">
        <f t="shared" si="11"/>
        <v>0</v>
      </c>
      <c r="E44" s="45">
        <f t="shared" si="11"/>
        <v>0</v>
      </c>
      <c r="F44" s="45">
        <f t="shared" si="11"/>
        <v>0</v>
      </c>
      <c r="G44" s="45">
        <f t="shared" si="11"/>
        <v>0</v>
      </c>
      <c r="H44" s="45">
        <f t="shared" si="11"/>
        <v>0</v>
      </c>
      <c r="I44" s="45">
        <f t="shared" si="11"/>
        <v>0</v>
      </c>
      <c r="J44" s="45">
        <f t="shared" si="11"/>
        <v>0</v>
      </c>
      <c r="K44" s="45">
        <f t="shared" si="11"/>
        <v>0</v>
      </c>
      <c r="L44" s="45">
        <f t="shared" si="11"/>
        <v>0</v>
      </c>
      <c r="M44" s="45">
        <f>-M9*13.15%</f>
        <v>0</v>
      </c>
      <c r="N44" s="45">
        <f t="shared" ref="N44:O44" si="13">-N9*13.15%</f>
        <v>0</v>
      </c>
      <c r="O44" s="45">
        <f t="shared" si="13"/>
        <v>0</v>
      </c>
      <c r="P44" s="20">
        <f t="shared" ref="P44" si="14">B44+C44+D44+E44+F44+G44+H44+I44+J44+K44+L44+M44+N44+O44</f>
        <v>-123117.786295</v>
      </c>
      <c r="Q44" s="21">
        <f t="shared" si="6"/>
        <v>0.13149999999999998</v>
      </c>
      <c r="S44" s="98">
        <f>SUM(B44:O44)</f>
        <v>-123117.786295</v>
      </c>
      <c r="T44" s="98">
        <f t="shared" si="1"/>
        <v>0</v>
      </c>
    </row>
    <row r="45" spans="1:20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4"/>
      <c r="S45" s="98">
        <f t="shared" si="0"/>
        <v>0</v>
      </c>
      <c r="T45" s="98">
        <f t="shared" si="1"/>
        <v>0</v>
      </c>
    </row>
    <row r="46" spans="1:20" x14ac:dyDescent="0.25">
      <c r="A46" s="29" t="s">
        <v>33</v>
      </c>
      <c r="B46" s="45">
        <f t="shared" ref="B46:O46" si="15">-B9*1.22%</f>
        <v>-3695.5327440000001</v>
      </c>
      <c r="C46" s="45">
        <f t="shared" ref="C46" si="16">-C9*1.22%</f>
        <v>-7726.801802</v>
      </c>
      <c r="D46" s="45">
        <f t="shared" si="15"/>
        <v>0</v>
      </c>
      <c r="E46" s="45">
        <f t="shared" si="15"/>
        <v>0</v>
      </c>
      <c r="F46" s="45">
        <f t="shared" si="15"/>
        <v>0</v>
      </c>
      <c r="G46" s="45">
        <f t="shared" si="15"/>
        <v>0</v>
      </c>
      <c r="H46" s="45">
        <f t="shared" si="15"/>
        <v>0</v>
      </c>
      <c r="I46" s="45">
        <f t="shared" si="15"/>
        <v>0</v>
      </c>
      <c r="J46" s="45">
        <f t="shared" si="15"/>
        <v>0</v>
      </c>
      <c r="K46" s="45">
        <f t="shared" si="15"/>
        <v>0</v>
      </c>
      <c r="L46" s="45">
        <f t="shared" si="15"/>
        <v>0</v>
      </c>
      <c r="M46" s="45">
        <f t="shared" si="15"/>
        <v>0</v>
      </c>
      <c r="N46" s="45">
        <f t="shared" si="15"/>
        <v>0</v>
      </c>
      <c r="O46" s="45">
        <f t="shared" si="15"/>
        <v>0</v>
      </c>
      <c r="P46" s="20">
        <f t="shared" ref="P46" si="17">B46+C46+D46+E46+F46+G46+H46+I46+J46+K46+L46+M46+N46+O46</f>
        <v>-11422.334546</v>
      </c>
      <c r="Q46" s="21">
        <f t="shared" si="6"/>
        <v>1.2199999999999999E-2</v>
      </c>
      <c r="S46" s="98">
        <f>SUM(B46:O46)</f>
        <v>-11422.334546</v>
      </c>
      <c r="T46" s="98">
        <f t="shared" si="1"/>
        <v>0</v>
      </c>
    </row>
    <row r="47" spans="1:20" x14ac:dyDescent="0.2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4"/>
      <c r="S47" s="98">
        <f t="shared" si="0"/>
        <v>0</v>
      </c>
      <c r="T47" s="98">
        <f t="shared" si="1"/>
        <v>0</v>
      </c>
    </row>
    <row r="48" spans="1:20" x14ac:dyDescent="0.25">
      <c r="A48" s="48" t="s">
        <v>57</v>
      </c>
      <c r="B48" s="49">
        <f t="shared" ref="B48:N48" si="18">B40*5.56%</f>
        <v>-20854.335687999999</v>
      </c>
      <c r="C48" s="49">
        <f t="shared" ref="C48" si="19">C40*5.56%</f>
        <v>-45216.702779999985</v>
      </c>
      <c r="D48" s="49">
        <f t="shared" si="18"/>
        <v>0</v>
      </c>
      <c r="E48" s="49">
        <f t="shared" si="18"/>
        <v>0</v>
      </c>
      <c r="F48" s="49">
        <f t="shared" si="18"/>
        <v>0</v>
      </c>
      <c r="G48" s="49">
        <f t="shared" si="18"/>
        <v>0</v>
      </c>
      <c r="H48" s="49">
        <f>H40*5.56%</f>
        <v>0</v>
      </c>
      <c r="I48" s="49">
        <f t="shared" si="18"/>
        <v>0</v>
      </c>
      <c r="J48" s="49">
        <f t="shared" si="18"/>
        <v>0</v>
      </c>
      <c r="K48" s="49">
        <f t="shared" si="18"/>
        <v>0</v>
      </c>
      <c r="L48" s="49">
        <f t="shared" si="18"/>
        <v>0</v>
      </c>
      <c r="M48" s="49">
        <f t="shared" si="18"/>
        <v>0</v>
      </c>
      <c r="N48" s="49">
        <f t="shared" si="18"/>
        <v>0</v>
      </c>
      <c r="O48" s="49">
        <f>O40*5.56%</f>
        <v>0</v>
      </c>
      <c r="P48" s="20">
        <f t="shared" ref="P48" si="20">B48+C48+D48+E48+F48+G48+H48+I48+J48+K48+L48+M48+N48+O48</f>
        <v>-66071.038467999984</v>
      </c>
      <c r="Q48" s="21">
        <f t="shared" si="6"/>
        <v>7.0569345177503767E-2</v>
      </c>
      <c r="S48" s="98">
        <f>SUM(B48:O48)</f>
        <v>-66071.038467999984</v>
      </c>
      <c r="T48" s="98">
        <f t="shared" si="1"/>
        <v>0</v>
      </c>
    </row>
    <row r="49" spans="1:20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4"/>
      <c r="S49" s="98">
        <f t="shared" si="0"/>
        <v>0</v>
      </c>
      <c r="T49" s="98">
        <f t="shared" si="1"/>
        <v>0</v>
      </c>
    </row>
    <row r="50" spans="1:20" x14ac:dyDescent="0.25">
      <c r="A50" s="48" t="s">
        <v>58</v>
      </c>
      <c r="B50" s="49">
        <f t="shared" ref="B50:L50" si="21">B40*0.01%</f>
        <v>-37.507798000000001</v>
      </c>
      <c r="C50" s="49">
        <f t="shared" ref="C50" si="22">C40*0.01%</f>
        <v>-81.32500499999999</v>
      </c>
      <c r="D50" s="49">
        <f t="shared" si="21"/>
        <v>0</v>
      </c>
      <c r="E50" s="49">
        <f t="shared" si="21"/>
        <v>0</v>
      </c>
      <c r="F50" s="49">
        <f t="shared" si="21"/>
        <v>0</v>
      </c>
      <c r="G50" s="49">
        <f t="shared" si="21"/>
        <v>0</v>
      </c>
      <c r="H50" s="49">
        <f t="shared" si="21"/>
        <v>0</v>
      </c>
      <c r="I50" s="49">
        <f t="shared" si="21"/>
        <v>0</v>
      </c>
      <c r="J50" s="49">
        <f t="shared" si="21"/>
        <v>0</v>
      </c>
      <c r="K50" s="49">
        <f t="shared" si="21"/>
        <v>0</v>
      </c>
      <c r="L50" s="49">
        <f t="shared" si="21"/>
        <v>0</v>
      </c>
      <c r="M50" s="49">
        <f>M40*0.01%</f>
        <v>0</v>
      </c>
      <c r="N50" s="49">
        <f t="shared" ref="N50" si="23">N40*0.01%</f>
        <v>0</v>
      </c>
      <c r="O50" s="49">
        <f>O40*0.01%</f>
        <v>0</v>
      </c>
      <c r="P50" s="20">
        <f t="shared" ref="P50" si="24">B50+C50+D50+E50+F50+G50+H50+I50+J50+K50+L50+M50+N50+O50</f>
        <v>-118.83280299999998</v>
      </c>
      <c r="Q50" s="21">
        <f t="shared" si="6"/>
        <v>1.269232826933521E-4</v>
      </c>
      <c r="S50" s="98">
        <f t="shared" si="0"/>
        <v>-118.83280299999998</v>
      </c>
      <c r="T50" s="98">
        <f t="shared" si="1"/>
        <v>0</v>
      </c>
    </row>
    <row r="51" spans="1:20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4"/>
      <c r="S51" s="98">
        <f t="shared" si="0"/>
        <v>0</v>
      </c>
      <c r="T51" s="98">
        <f t="shared" si="1"/>
        <v>0</v>
      </c>
    </row>
    <row r="52" spans="1:20" x14ac:dyDescent="0.25">
      <c r="A52" s="39" t="s">
        <v>104</v>
      </c>
      <c r="B52" s="58">
        <f>B42+B48+B50+B44+B46</f>
        <v>-136585.83260999995</v>
      </c>
      <c r="C52" s="58">
        <f>C42+C48+C50+C44+C46</f>
        <v>-316215.25950199977</v>
      </c>
      <c r="D52" s="58">
        <f>D42+D48+D50+D44+D46</f>
        <v>0</v>
      </c>
      <c r="E52" s="58">
        <f>E42+E48+E50+E44+E46</f>
        <v>0</v>
      </c>
      <c r="F52" s="58">
        <f>F42+F48+F50+F44+F46</f>
        <v>0</v>
      </c>
      <c r="G52" s="58">
        <f t="shared" ref="G52:N52" si="25">G42+G48+G50+G44+G46</f>
        <v>0</v>
      </c>
      <c r="H52" s="40">
        <f>H42+H48+H50+H44+H46</f>
        <v>0</v>
      </c>
      <c r="I52" s="58">
        <f t="shared" si="25"/>
        <v>0</v>
      </c>
      <c r="J52" s="58">
        <f t="shared" si="25"/>
        <v>0</v>
      </c>
      <c r="K52" s="58">
        <f t="shared" si="25"/>
        <v>0</v>
      </c>
      <c r="L52" s="58">
        <f t="shared" si="25"/>
        <v>0</v>
      </c>
      <c r="M52" s="58">
        <f t="shared" si="25"/>
        <v>0</v>
      </c>
      <c r="N52" s="58">
        <f t="shared" si="25"/>
        <v>0</v>
      </c>
      <c r="O52" s="58">
        <f>O42+O48+O50+O44+O46</f>
        <v>0</v>
      </c>
      <c r="P52" s="154">
        <f t="shared" ref="P52" si="26">B52+C52+D52+E52+F52+G52+H52+I52+J52+K52+L52+M52+N52+O52</f>
        <v>-452801.09211199975</v>
      </c>
      <c r="Q52" s="21">
        <f t="shared" si="6"/>
        <v>0.48362909539371818</v>
      </c>
      <c r="S52" s="98">
        <f>SUM(B52:O52)</f>
        <v>-452801.09211199975</v>
      </c>
      <c r="T52" s="98">
        <f t="shared" si="1"/>
        <v>0</v>
      </c>
    </row>
    <row r="53" spans="1:20" x14ac:dyDescent="0.2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</row>
    <row r="54" spans="1:20" x14ac:dyDescent="0.25">
      <c r="A54" s="52" t="s">
        <v>35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53"/>
      <c r="Q54" s="50"/>
    </row>
    <row r="55" spans="1:20" x14ac:dyDescent="0.25">
      <c r="A55" s="81"/>
      <c r="B55" s="102"/>
      <c r="C55" s="102"/>
      <c r="D55" s="102"/>
      <c r="E55" s="102"/>
      <c r="F55" s="102"/>
      <c r="G55" s="102"/>
      <c r="H55" s="102"/>
      <c r="I55" s="102"/>
      <c r="J55" s="102"/>
      <c r="K55" s="213"/>
      <c r="L55" s="213"/>
      <c r="M55" s="213"/>
      <c r="N55" s="213"/>
      <c r="O55" s="213"/>
      <c r="P55" s="213"/>
    </row>
    <row r="56" spans="1:20" x14ac:dyDescent="0.25">
      <c r="A56" s="54" t="s">
        <v>36</v>
      </c>
      <c r="B56" s="83"/>
      <c r="C56" s="83"/>
      <c r="Q56" s="89">
        <v>45688</v>
      </c>
    </row>
    <row r="57" spans="1:20" x14ac:dyDescent="0.25">
      <c r="B57" s="98">
        <f>B11+B40+B44+B46+B48+B50</f>
        <v>-136585.83260999995</v>
      </c>
      <c r="C57" s="98">
        <f>C11+C40+C44+C46+C48+C50</f>
        <v>-316215.25950199971</v>
      </c>
      <c r="D57" s="98">
        <f t="shared" ref="D57:P57" si="27">D11+D40+D44+D46+D48+D50</f>
        <v>0</v>
      </c>
      <c r="E57" s="98">
        <f t="shared" si="27"/>
        <v>0</v>
      </c>
      <c r="F57" s="98">
        <f t="shared" si="27"/>
        <v>0</v>
      </c>
      <c r="G57" s="98">
        <f t="shared" si="27"/>
        <v>0</v>
      </c>
      <c r="H57" s="98">
        <f t="shared" si="27"/>
        <v>0</v>
      </c>
      <c r="I57" s="98">
        <f t="shared" si="27"/>
        <v>0</v>
      </c>
      <c r="J57" s="98">
        <f t="shared" si="27"/>
        <v>0</v>
      </c>
      <c r="K57" s="98">
        <f t="shared" si="27"/>
        <v>0</v>
      </c>
      <c r="L57" s="98">
        <f t="shared" si="27"/>
        <v>0</v>
      </c>
      <c r="M57" s="98">
        <f t="shared" si="27"/>
        <v>0</v>
      </c>
      <c r="N57" s="98">
        <f t="shared" si="27"/>
        <v>0</v>
      </c>
      <c r="O57" s="98">
        <f t="shared" si="27"/>
        <v>0</v>
      </c>
      <c r="P57" s="98">
        <f t="shared" si="27"/>
        <v>-452801.09211199998</v>
      </c>
    </row>
    <row r="59" spans="1:20" x14ac:dyDescent="0.25">
      <c r="B59" s="98">
        <f>B52-B57</f>
        <v>0</v>
      </c>
      <c r="C59" s="98">
        <f>C52-C57</f>
        <v>0</v>
      </c>
      <c r="D59" s="98">
        <f t="shared" ref="D59:P59" si="28">D52-D57</f>
        <v>0</v>
      </c>
      <c r="E59" s="98">
        <f t="shared" si="28"/>
        <v>0</v>
      </c>
      <c r="F59" s="98">
        <f t="shared" si="28"/>
        <v>0</v>
      </c>
      <c r="G59" s="98">
        <f t="shared" si="28"/>
        <v>0</v>
      </c>
      <c r="H59" s="98">
        <f t="shared" si="28"/>
        <v>0</v>
      </c>
      <c r="I59" s="98">
        <f t="shared" si="28"/>
        <v>0</v>
      </c>
      <c r="J59" s="98">
        <f t="shared" si="28"/>
        <v>0</v>
      </c>
      <c r="K59" s="98">
        <f t="shared" si="28"/>
        <v>0</v>
      </c>
      <c r="L59" s="98">
        <f t="shared" si="28"/>
        <v>0</v>
      </c>
      <c r="M59" s="98">
        <f t="shared" si="28"/>
        <v>0</v>
      </c>
      <c r="N59" s="98">
        <f t="shared" si="28"/>
        <v>0</v>
      </c>
      <c r="O59" s="98">
        <f t="shared" si="28"/>
        <v>0</v>
      </c>
      <c r="P59" s="98">
        <f t="shared" si="28"/>
        <v>0</v>
      </c>
    </row>
  </sheetData>
  <mergeCells count="4">
    <mergeCell ref="K55:P55"/>
    <mergeCell ref="A1:P1"/>
    <mergeCell ref="A3:P3"/>
    <mergeCell ref="A5:P5"/>
  </mergeCells>
  <phoneticPr fontId="12" type="noConversion"/>
  <conditionalFormatting sqref="G52">
    <cfRule type="cellIs" dxfId="83" priority="5" operator="lessThan">
      <formula>0</formula>
    </cfRule>
    <cfRule type="cellIs" dxfId="82" priority="6" operator="greaterThan">
      <formula>0</formula>
    </cfRule>
  </conditionalFormatting>
  <conditionalFormatting sqref="I52:J52">
    <cfRule type="cellIs" dxfId="81" priority="3" operator="lessThan">
      <formula>0</formula>
    </cfRule>
    <cfRule type="cellIs" dxfId="80" priority="4" operator="greaterThan">
      <formula>0</formula>
    </cfRule>
  </conditionalFormatting>
  <conditionalFormatting sqref="L52">
    <cfRule type="cellIs" dxfId="79" priority="1" operator="lessThan">
      <formula>0</formula>
    </cfRule>
    <cfRule type="cellIs" dxfId="78" priority="2" operator="greaterThan">
      <formula>0</formula>
    </cfRule>
  </conditionalFormatting>
  <printOptions horizontalCentered="1" verticalCentered="1"/>
  <pageMargins left="0" right="0" top="0.39370078740157483" bottom="0.39370078740157483" header="0.19685039370078741" footer="0.39370078740157483"/>
  <pageSetup paperSize="9" scale="66" orientation="landscape" r:id="rId1"/>
  <headerFooter>
    <oddHeader>&amp;C&amp;"-,Negrito"&amp;14  BELA NOVA CONSTRUTORA LTDA</oddHeader>
  </headerFooter>
  <ignoredErrors>
    <ignoredError sqref="S53:S57" formulaRange="1"/>
  </ignoredError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</sheetPr>
  <dimension ref="A1:T60"/>
  <sheetViews>
    <sheetView zoomScale="112" zoomScaleNormal="112" workbookViewId="0">
      <selection activeCell="E8" sqref="E8"/>
    </sheetView>
  </sheetViews>
  <sheetFormatPr defaultRowHeight="15" x14ac:dyDescent="0.25"/>
  <cols>
    <col min="1" max="1" width="51.85546875" customWidth="1"/>
    <col min="2" max="2" width="16" bestFit="1" customWidth="1"/>
    <col min="3" max="3" width="18" bestFit="1" customWidth="1"/>
    <col min="4" max="4" width="15" bestFit="1" customWidth="1"/>
    <col min="5" max="5" width="16.28515625" customWidth="1"/>
    <col min="6" max="8" width="16.140625" hidden="1" customWidth="1"/>
    <col min="9" max="11" width="16" hidden="1" customWidth="1"/>
    <col min="12" max="12" width="18" hidden="1" customWidth="1"/>
    <col min="13" max="13" width="14.7109375" hidden="1" customWidth="1"/>
    <col min="14" max="14" width="16.85546875" hidden="1" customWidth="1"/>
    <col min="15" max="15" width="16.7109375" hidden="1" customWidth="1"/>
    <col min="16" max="16" width="18" bestFit="1" customWidth="1"/>
    <col min="17" max="17" width="10.7109375" bestFit="1" customWidth="1"/>
    <col min="19" max="19" width="15.85546875" bestFit="1" customWidth="1"/>
    <col min="20" max="20" width="15.42578125" customWidth="1"/>
  </cols>
  <sheetData>
    <row r="1" spans="1:20" ht="15.75" customHeight="1" x14ac:dyDescent="0.25">
      <c r="A1" s="209" t="s">
        <v>173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</row>
    <row r="2" spans="1:20" ht="8.25" customHeight="1" x14ac:dyDescent="0.25">
      <c r="A2" s="71"/>
      <c r="B2" s="71"/>
      <c r="C2" s="71"/>
      <c r="D2" s="10"/>
    </row>
    <row r="3" spans="1:20" ht="15.75" customHeight="1" x14ac:dyDescent="0.25">
      <c r="A3" s="209" t="s">
        <v>174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</row>
    <row r="4" spans="1:20" ht="11.25" customHeight="1" x14ac:dyDescent="0.25">
      <c r="A4" s="71"/>
      <c r="B4" s="71"/>
      <c r="C4" s="71"/>
      <c r="D4" s="10"/>
    </row>
    <row r="5" spans="1:20" ht="15.75" customHeight="1" x14ac:dyDescent="0.25">
      <c r="A5" s="209" t="s">
        <v>253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20" ht="12" customHeight="1" x14ac:dyDescent="0.25">
      <c r="A6" s="10"/>
      <c r="B6" s="10"/>
      <c r="C6" s="10"/>
      <c r="D6" s="10"/>
    </row>
    <row r="7" spans="1:20" x14ac:dyDescent="0.25">
      <c r="A7" s="12"/>
      <c r="B7" s="60" t="s">
        <v>137</v>
      </c>
      <c r="C7" s="60" t="s">
        <v>221</v>
      </c>
      <c r="D7" s="60" t="s">
        <v>209</v>
      </c>
      <c r="E7" s="60" t="s">
        <v>210</v>
      </c>
      <c r="F7" s="60" t="s">
        <v>119</v>
      </c>
      <c r="G7" s="60" t="s">
        <v>120</v>
      </c>
      <c r="H7" s="60" t="s">
        <v>121</v>
      </c>
      <c r="I7" s="60" t="s">
        <v>123</v>
      </c>
      <c r="J7" s="60" t="s">
        <v>124</v>
      </c>
      <c r="K7" s="60" t="s">
        <v>125</v>
      </c>
      <c r="L7" s="60" t="s">
        <v>126</v>
      </c>
      <c r="M7" s="60" t="s">
        <v>127</v>
      </c>
      <c r="N7" s="60" t="s">
        <v>128</v>
      </c>
      <c r="O7" s="60" t="s">
        <v>129</v>
      </c>
      <c r="P7" s="13" t="s">
        <v>1</v>
      </c>
      <c r="Q7" s="14" t="s">
        <v>2</v>
      </c>
    </row>
    <row r="8" spans="1:20" x14ac:dyDescent="0.25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7"/>
      <c r="Q8" s="18"/>
    </row>
    <row r="9" spans="1:20" x14ac:dyDescent="0.25">
      <c r="A9" s="78" t="s">
        <v>4</v>
      </c>
      <c r="B9" s="19">
        <v>74203.56</v>
      </c>
      <c r="C9" s="19">
        <v>1251653.07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20">
        <f>B9+C9+D9+E9+F9+G9+H9+I9+J9+K9+L9+M9+N9+O9</f>
        <v>1325856.6300000001</v>
      </c>
      <c r="Q9" s="21">
        <v>1</v>
      </c>
      <c r="S9" s="98">
        <f>SUM(B9:O9)</f>
        <v>1325856.6300000001</v>
      </c>
      <c r="T9" s="98">
        <f>P9-S9</f>
        <v>0</v>
      </c>
    </row>
    <row r="10" spans="1:20" x14ac:dyDescent="0.25">
      <c r="A10" s="15" t="s">
        <v>5</v>
      </c>
      <c r="B10" s="19">
        <v>0</v>
      </c>
      <c r="C10" s="19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B10+C10+D10+E10+F10+G10+H10+I10+J10+K10+L10+M10+N10+O10</f>
        <v>0</v>
      </c>
      <c r="Q10" s="21"/>
      <c r="S10" s="98">
        <f t="shared" ref="S10:S51" si="0">SUM(B10:O10)</f>
        <v>0</v>
      </c>
      <c r="T10" s="98">
        <f t="shared" ref="T10:T52" si="1">P10-S10</f>
        <v>0</v>
      </c>
    </row>
    <row r="11" spans="1:20" x14ac:dyDescent="0.25">
      <c r="A11" s="23" t="s">
        <v>6</v>
      </c>
      <c r="B11" s="24">
        <f t="shared" ref="B11:F11" si="2">SUM(B9:B10)</f>
        <v>74203.56</v>
      </c>
      <c r="C11" s="24">
        <f t="shared" ref="C11" si="3">SUM(C9:C10)</f>
        <v>1251653.07</v>
      </c>
      <c r="D11" s="24">
        <f t="shared" si="2"/>
        <v>0</v>
      </c>
      <c r="E11" s="24">
        <f t="shared" si="2"/>
        <v>0</v>
      </c>
      <c r="F11" s="24">
        <f t="shared" si="2"/>
        <v>0</v>
      </c>
      <c r="G11" s="24">
        <f t="shared" ref="G11:O11" si="4">SUM(G9:G10)</f>
        <v>0</v>
      </c>
      <c r="H11" s="24">
        <f t="shared" si="4"/>
        <v>0</v>
      </c>
      <c r="I11" s="24">
        <f t="shared" si="4"/>
        <v>0</v>
      </c>
      <c r="J11" s="24">
        <f t="shared" si="4"/>
        <v>0</v>
      </c>
      <c r="K11" s="24">
        <f t="shared" si="4"/>
        <v>0</v>
      </c>
      <c r="L11" s="24">
        <f t="shared" si="4"/>
        <v>0</v>
      </c>
      <c r="M11" s="24">
        <f t="shared" si="4"/>
        <v>0</v>
      </c>
      <c r="N11" s="24">
        <f t="shared" si="4"/>
        <v>0</v>
      </c>
      <c r="O11" s="24">
        <f t="shared" si="4"/>
        <v>0</v>
      </c>
      <c r="P11" s="24">
        <f>SUM(P9:P10)</f>
        <v>1325856.6300000001</v>
      </c>
      <c r="Q11" s="21">
        <v>1</v>
      </c>
      <c r="S11" s="98">
        <f>SUM(B11:O11)</f>
        <v>1325856.6300000001</v>
      </c>
      <c r="T11" s="98">
        <f t="shared" si="1"/>
        <v>0</v>
      </c>
    </row>
    <row r="12" spans="1:20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8"/>
      <c r="S12" s="98">
        <f t="shared" si="0"/>
        <v>0</v>
      </c>
      <c r="T12" s="98">
        <f t="shared" si="1"/>
        <v>0</v>
      </c>
    </row>
    <row r="13" spans="1:20" x14ac:dyDescent="0.25">
      <c r="A13" s="29" t="s">
        <v>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31"/>
      <c r="S13" s="98">
        <f t="shared" si="0"/>
        <v>0</v>
      </c>
      <c r="T13" s="98">
        <f t="shared" si="1"/>
        <v>0</v>
      </c>
    </row>
    <row r="14" spans="1:20" x14ac:dyDescent="0.25">
      <c r="A14" s="15" t="s">
        <v>8</v>
      </c>
      <c r="B14" s="32">
        <v>-10730</v>
      </c>
      <c r="C14" s="32">
        <v>-65957.3</v>
      </c>
      <c r="D14" s="76">
        <v>-900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20">
        <f>B14+C14+D14+E14+F14+G14+H14+I14+J14+K14+L14+M14+N14+O14</f>
        <v>-77587.3</v>
      </c>
      <c r="Q14" s="21">
        <f>-P14/$P$11</f>
        <v>5.8518619769620188E-2</v>
      </c>
      <c r="S14" s="98">
        <f t="shared" si="0"/>
        <v>-77587.3</v>
      </c>
      <c r="T14" s="98">
        <f>P14-S14</f>
        <v>0</v>
      </c>
    </row>
    <row r="15" spans="1:20" x14ac:dyDescent="0.25">
      <c r="A15" s="33" t="s">
        <v>9</v>
      </c>
      <c r="B15" s="32">
        <v>0</v>
      </c>
      <c r="C15" s="32">
        <v>0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20">
        <f t="shared" ref="P15:P39" si="5">B15+C15+D15+E15+F15+G15+H15+I15+J15+K15+L15+M15+N15+O15</f>
        <v>0</v>
      </c>
      <c r="Q15" s="21">
        <f t="shared" ref="Q15:Q50" si="6">-P15/$P$11</f>
        <v>0</v>
      </c>
      <c r="S15" s="98">
        <f t="shared" si="0"/>
        <v>0</v>
      </c>
      <c r="T15" s="98">
        <f t="shared" si="1"/>
        <v>0</v>
      </c>
    </row>
    <row r="16" spans="1:20" x14ac:dyDescent="0.25">
      <c r="A16" s="15" t="s">
        <v>10</v>
      </c>
      <c r="B16" s="32">
        <v>-228</v>
      </c>
      <c r="C16" s="32">
        <v>-1368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20">
        <f t="shared" si="5"/>
        <v>-1596</v>
      </c>
      <c r="Q16" s="21">
        <f t="shared" si="6"/>
        <v>1.2037500615733993E-3</v>
      </c>
      <c r="S16" s="98">
        <f t="shared" si="0"/>
        <v>-1596</v>
      </c>
      <c r="T16" s="98">
        <f t="shared" si="1"/>
        <v>0</v>
      </c>
    </row>
    <row r="17" spans="1:20" x14ac:dyDescent="0.25">
      <c r="A17" s="33" t="s">
        <v>11</v>
      </c>
      <c r="B17" s="32">
        <v>-2709.21</v>
      </c>
      <c r="C17" s="32">
        <v>-3878.5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20">
        <f t="shared" si="5"/>
        <v>-6587.71</v>
      </c>
      <c r="Q17" s="21">
        <f t="shared" si="6"/>
        <v>4.9686443096038212E-3</v>
      </c>
      <c r="S17" s="98">
        <f t="shared" si="0"/>
        <v>-6587.71</v>
      </c>
      <c r="T17" s="98">
        <f t="shared" si="1"/>
        <v>0</v>
      </c>
    </row>
    <row r="18" spans="1:20" x14ac:dyDescent="0.25">
      <c r="A18" s="15" t="s">
        <v>12</v>
      </c>
      <c r="B18" s="32">
        <v>-6834.3</v>
      </c>
      <c r="C18" s="32">
        <v>-23084.36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20">
        <f t="shared" si="5"/>
        <v>-29918.66</v>
      </c>
      <c r="Q18" s="21">
        <f t="shared" si="6"/>
        <v>2.2565531840346868E-2</v>
      </c>
      <c r="S18" s="98">
        <f t="shared" si="0"/>
        <v>-29918.66</v>
      </c>
      <c r="T18" s="98">
        <f t="shared" si="1"/>
        <v>0</v>
      </c>
    </row>
    <row r="19" spans="1:20" x14ac:dyDescent="0.25">
      <c r="A19" s="15" t="s">
        <v>13</v>
      </c>
      <c r="B19" s="32">
        <v>-4354.5600000000004</v>
      </c>
      <c r="C19" s="32">
        <v>-16143.18</v>
      </c>
      <c r="D19" s="76">
        <v>-1621.77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20">
        <f t="shared" si="5"/>
        <v>-22119.510000000002</v>
      </c>
      <c r="Q19" s="21">
        <f t="shared" si="6"/>
        <v>1.6683183912577334E-2</v>
      </c>
      <c r="S19" s="98">
        <f t="shared" si="0"/>
        <v>-22119.510000000002</v>
      </c>
      <c r="T19" s="98">
        <f t="shared" si="1"/>
        <v>0</v>
      </c>
    </row>
    <row r="20" spans="1:20" x14ac:dyDescent="0.25">
      <c r="A20" s="15" t="s">
        <v>14</v>
      </c>
      <c r="B20" s="32">
        <v>-3319.55</v>
      </c>
      <c r="C20" s="32">
        <v>-21500.400000000001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20">
        <f t="shared" si="5"/>
        <v>-24819.95</v>
      </c>
      <c r="Q20" s="21">
        <f t="shared" si="6"/>
        <v>1.8719935050594421E-2</v>
      </c>
      <c r="S20" s="98">
        <f t="shared" si="0"/>
        <v>-24819.95</v>
      </c>
      <c r="T20" s="98">
        <f t="shared" si="1"/>
        <v>0</v>
      </c>
    </row>
    <row r="21" spans="1:20" x14ac:dyDescent="0.25">
      <c r="A21" s="15" t="s">
        <v>15</v>
      </c>
      <c r="B21" s="32">
        <v>0</v>
      </c>
      <c r="C21" s="32">
        <v>0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20">
        <f t="shared" si="5"/>
        <v>0</v>
      </c>
      <c r="Q21" s="21">
        <f t="shared" si="6"/>
        <v>0</v>
      </c>
      <c r="S21" s="98">
        <f t="shared" si="0"/>
        <v>0</v>
      </c>
      <c r="T21" s="98">
        <f t="shared" si="1"/>
        <v>0</v>
      </c>
    </row>
    <row r="22" spans="1:20" x14ac:dyDescent="0.25">
      <c r="A22" s="15" t="s">
        <v>16</v>
      </c>
      <c r="B22" s="32">
        <v>0</v>
      </c>
      <c r="C22" s="32">
        <v>0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20">
        <f t="shared" si="5"/>
        <v>0</v>
      </c>
      <c r="Q22" s="21">
        <f t="shared" si="6"/>
        <v>0</v>
      </c>
      <c r="S22" s="98">
        <f t="shared" si="0"/>
        <v>0</v>
      </c>
      <c r="T22" s="98">
        <f t="shared" si="1"/>
        <v>0</v>
      </c>
    </row>
    <row r="23" spans="1:20" x14ac:dyDescent="0.25">
      <c r="A23" s="15" t="s">
        <v>17</v>
      </c>
      <c r="B23" s="32">
        <v>-4786.29</v>
      </c>
      <c r="C23" s="32">
        <v>-18343.36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20">
        <f t="shared" si="5"/>
        <v>-23129.65</v>
      </c>
      <c r="Q23" s="21">
        <f t="shared" si="6"/>
        <v>1.7445061160194973E-2</v>
      </c>
      <c r="S23" s="98">
        <f t="shared" si="0"/>
        <v>-23129.65</v>
      </c>
      <c r="T23" s="98">
        <f t="shared" si="1"/>
        <v>0</v>
      </c>
    </row>
    <row r="24" spans="1:20" x14ac:dyDescent="0.25">
      <c r="A24" s="15" t="s">
        <v>18</v>
      </c>
      <c r="B24" s="32">
        <v>-920</v>
      </c>
      <c r="C24" s="32">
        <v>-10108.530000000001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20">
        <f t="shared" si="5"/>
        <v>-11028.53</v>
      </c>
      <c r="Q24" s="21">
        <f t="shared" si="6"/>
        <v>8.3180411444637118E-3</v>
      </c>
      <c r="S24" s="98">
        <f t="shared" si="0"/>
        <v>-11028.53</v>
      </c>
      <c r="T24" s="98">
        <f t="shared" si="1"/>
        <v>0</v>
      </c>
    </row>
    <row r="25" spans="1:20" x14ac:dyDescent="0.25">
      <c r="A25" s="15" t="s">
        <v>19</v>
      </c>
      <c r="B25" s="32">
        <v>-4420</v>
      </c>
      <c r="C25" s="32">
        <v>-26316.81</v>
      </c>
      <c r="D25" s="76">
        <v>-591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20">
        <f t="shared" si="5"/>
        <v>-31327.81</v>
      </c>
      <c r="Q25" s="21">
        <f t="shared" si="6"/>
        <v>2.3628354145651478E-2</v>
      </c>
      <c r="S25" s="98">
        <f t="shared" si="0"/>
        <v>-31327.81</v>
      </c>
      <c r="T25" s="98">
        <f t="shared" si="1"/>
        <v>0</v>
      </c>
    </row>
    <row r="26" spans="1:20" x14ac:dyDescent="0.25">
      <c r="A26" s="15" t="s">
        <v>20</v>
      </c>
      <c r="B26" s="32">
        <v>0</v>
      </c>
      <c r="C26" s="32">
        <v>0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20">
        <f t="shared" si="5"/>
        <v>0</v>
      </c>
      <c r="Q26" s="21">
        <f t="shared" si="6"/>
        <v>0</v>
      </c>
      <c r="S26" s="98">
        <f t="shared" si="0"/>
        <v>0</v>
      </c>
      <c r="T26" s="98">
        <f t="shared" si="1"/>
        <v>0</v>
      </c>
    </row>
    <row r="27" spans="1:20" x14ac:dyDescent="0.25">
      <c r="A27" s="15" t="s">
        <v>59</v>
      </c>
      <c r="B27" s="32">
        <v>0</v>
      </c>
      <c r="C27" s="32">
        <v>0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20">
        <f t="shared" si="5"/>
        <v>0</v>
      </c>
      <c r="Q27" s="21">
        <f t="shared" si="6"/>
        <v>0</v>
      </c>
      <c r="S27" s="98">
        <f t="shared" si="0"/>
        <v>0</v>
      </c>
      <c r="T27" s="98">
        <f t="shared" si="1"/>
        <v>0</v>
      </c>
    </row>
    <row r="28" spans="1:20" x14ac:dyDescent="0.25">
      <c r="A28" s="15" t="s">
        <v>21</v>
      </c>
      <c r="B28" s="32">
        <v>-405</v>
      </c>
      <c r="C28" s="32">
        <v>-1513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20">
        <f t="shared" si="5"/>
        <v>-1918</v>
      </c>
      <c r="Q28" s="21">
        <f t="shared" si="6"/>
        <v>1.446611916101366E-3</v>
      </c>
      <c r="S28" s="98">
        <f>SUM(B28:O28)</f>
        <v>-1918</v>
      </c>
      <c r="T28" s="98">
        <f t="shared" si="1"/>
        <v>0</v>
      </c>
    </row>
    <row r="29" spans="1:20" x14ac:dyDescent="0.25">
      <c r="A29" s="15" t="s">
        <v>22</v>
      </c>
      <c r="B29" s="32">
        <v>0</v>
      </c>
      <c r="C29" s="32">
        <v>0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20">
        <f t="shared" si="5"/>
        <v>0</v>
      </c>
      <c r="Q29" s="21">
        <f t="shared" si="6"/>
        <v>0</v>
      </c>
      <c r="S29" s="98">
        <f t="shared" si="0"/>
        <v>0</v>
      </c>
      <c r="T29" s="98">
        <f t="shared" si="1"/>
        <v>0</v>
      </c>
    </row>
    <row r="30" spans="1:20" x14ac:dyDescent="0.25">
      <c r="A30" s="33" t="s">
        <v>23</v>
      </c>
      <c r="B30" s="32">
        <v>-6021.66</v>
      </c>
      <c r="C30" s="32">
        <v>-1614.39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20">
        <f t="shared" si="5"/>
        <v>-7636.05</v>
      </c>
      <c r="Q30" s="21">
        <f t="shared" si="6"/>
        <v>5.7593331188455872E-3</v>
      </c>
      <c r="S30" s="98">
        <f t="shared" si="0"/>
        <v>-7636.05</v>
      </c>
      <c r="T30" s="98">
        <f t="shared" si="1"/>
        <v>0</v>
      </c>
    </row>
    <row r="31" spans="1:20" x14ac:dyDescent="0.25">
      <c r="A31" s="15" t="s">
        <v>24</v>
      </c>
      <c r="B31" s="32">
        <v>-21427.48</v>
      </c>
      <c r="C31" s="32">
        <v>-70985.679999999993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20">
        <f t="shared" si="5"/>
        <v>-92413.159999999989</v>
      </c>
      <c r="Q31" s="21">
        <f t="shared" si="6"/>
        <v>6.970071869686241E-2</v>
      </c>
      <c r="S31" s="98">
        <f t="shared" si="0"/>
        <v>-92413.159999999989</v>
      </c>
      <c r="T31" s="98">
        <f t="shared" si="1"/>
        <v>0</v>
      </c>
    </row>
    <row r="32" spans="1:20" x14ac:dyDescent="0.25">
      <c r="A32" s="34" t="s">
        <v>25</v>
      </c>
      <c r="B32" s="32">
        <v>-48690.22</v>
      </c>
      <c r="C32" s="32">
        <v>-172839.35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20">
        <f t="shared" si="5"/>
        <v>-221529.57</v>
      </c>
      <c r="Q32" s="21">
        <f t="shared" si="6"/>
        <v>0.16708410622044406</v>
      </c>
      <c r="S32" s="98">
        <f t="shared" si="0"/>
        <v>-221529.57</v>
      </c>
      <c r="T32" s="98">
        <f t="shared" si="1"/>
        <v>0</v>
      </c>
    </row>
    <row r="33" spans="1:20" x14ac:dyDescent="0.25">
      <c r="A33" s="15" t="s">
        <v>26</v>
      </c>
      <c r="B33" s="32">
        <v>0</v>
      </c>
      <c r="C33" s="32">
        <v>-1320</v>
      </c>
      <c r="D33" s="76">
        <v>-330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20">
        <f t="shared" si="5"/>
        <v>-1650</v>
      </c>
      <c r="Q33" s="21">
        <f t="shared" si="6"/>
        <v>1.2444784471153565E-3</v>
      </c>
      <c r="S33" s="98">
        <f t="shared" si="0"/>
        <v>-1650</v>
      </c>
      <c r="T33" s="98">
        <f t="shared" si="1"/>
        <v>0</v>
      </c>
    </row>
    <row r="34" spans="1:20" x14ac:dyDescent="0.25">
      <c r="A34" s="15" t="s">
        <v>27</v>
      </c>
      <c r="B34" s="32">
        <v>0</v>
      </c>
      <c r="C34" s="32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20">
        <f t="shared" si="5"/>
        <v>0</v>
      </c>
      <c r="Q34" s="21">
        <f t="shared" si="6"/>
        <v>0</v>
      </c>
      <c r="S34" s="98">
        <f t="shared" si="0"/>
        <v>0</v>
      </c>
      <c r="T34" s="98">
        <f t="shared" si="1"/>
        <v>0</v>
      </c>
    </row>
    <row r="35" spans="1:20" x14ac:dyDescent="0.25">
      <c r="A35" s="33" t="s">
        <v>28</v>
      </c>
      <c r="B35" s="32">
        <v>-999.22</v>
      </c>
      <c r="C35" s="32">
        <v>-1867.41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20">
        <f t="shared" si="5"/>
        <v>-2866.63</v>
      </c>
      <c r="Q35" s="21">
        <f t="shared" si="6"/>
        <v>2.1620965156692695E-3</v>
      </c>
      <c r="S35" s="98">
        <f t="shared" si="0"/>
        <v>-2866.63</v>
      </c>
      <c r="T35" s="98">
        <f t="shared" si="1"/>
        <v>0</v>
      </c>
    </row>
    <row r="36" spans="1:20" x14ac:dyDescent="0.25">
      <c r="A36" s="15" t="s">
        <v>29</v>
      </c>
      <c r="B36" s="32">
        <v>-1292.77</v>
      </c>
      <c r="C36" s="32">
        <v>-21566.76</v>
      </c>
      <c r="D36" s="76">
        <v>-696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20">
        <f t="shared" si="5"/>
        <v>-23555.53</v>
      </c>
      <c r="Q36" s="21">
        <f t="shared" si="6"/>
        <v>1.7766272360835875E-2</v>
      </c>
      <c r="S36" s="98">
        <f t="shared" si="0"/>
        <v>-23555.53</v>
      </c>
      <c r="T36" s="98">
        <f t="shared" si="1"/>
        <v>0</v>
      </c>
    </row>
    <row r="37" spans="1:20" x14ac:dyDescent="0.25">
      <c r="A37" s="15" t="s">
        <v>30</v>
      </c>
      <c r="B37" s="32">
        <v>-5173.7</v>
      </c>
      <c r="C37" s="32">
        <v>-15845.25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20">
        <f t="shared" si="5"/>
        <v>-21018.95</v>
      </c>
      <c r="Q37" s="21">
        <f t="shared" si="6"/>
        <v>1.5853109246057772E-2</v>
      </c>
      <c r="S37" s="98">
        <f t="shared" si="0"/>
        <v>-21018.95</v>
      </c>
      <c r="T37" s="98">
        <f t="shared" si="1"/>
        <v>0</v>
      </c>
    </row>
    <row r="38" spans="1:20" x14ac:dyDescent="0.25">
      <c r="A38" s="15" t="s">
        <v>97</v>
      </c>
      <c r="B38" s="32">
        <v>0</v>
      </c>
      <c r="C38" s="32">
        <v>0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20">
        <f t="shared" si="5"/>
        <v>0</v>
      </c>
      <c r="Q38" s="21">
        <f t="shared" si="6"/>
        <v>0</v>
      </c>
      <c r="S38" s="98">
        <f t="shared" si="0"/>
        <v>0</v>
      </c>
      <c r="T38" s="98">
        <f t="shared" si="1"/>
        <v>0</v>
      </c>
    </row>
    <row r="39" spans="1:20" x14ac:dyDescent="0.25">
      <c r="A39" s="15" t="s">
        <v>114</v>
      </c>
      <c r="B39" s="32">
        <v>0</v>
      </c>
      <c r="C39" s="32">
        <v>0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20">
        <f t="shared" si="5"/>
        <v>0</v>
      </c>
      <c r="Q39" s="21">
        <f t="shared" si="6"/>
        <v>0</v>
      </c>
      <c r="S39" s="98">
        <f t="shared" si="0"/>
        <v>0</v>
      </c>
      <c r="T39" s="98">
        <f t="shared" si="1"/>
        <v>0</v>
      </c>
    </row>
    <row r="40" spans="1:20" x14ac:dyDescent="0.25">
      <c r="A40" s="35" t="s">
        <v>31</v>
      </c>
      <c r="B40" s="36">
        <f>SUM(B14:B39)</f>
        <v>-122311.95999999999</v>
      </c>
      <c r="C40" s="36">
        <f t="shared" ref="C40:O40" si="7">SUM(C14:C39)</f>
        <v>-474252.27999999997</v>
      </c>
      <c r="D40" s="36">
        <f t="shared" si="7"/>
        <v>-4138.7700000000004</v>
      </c>
      <c r="E40" s="36">
        <f t="shared" si="7"/>
        <v>0</v>
      </c>
      <c r="F40" s="36">
        <f t="shared" si="7"/>
        <v>0</v>
      </c>
      <c r="G40" s="36">
        <f t="shared" si="7"/>
        <v>0</v>
      </c>
      <c r="H40" s="36">
        <f t="shared" si="7"/>
        <v>0</v>
      </c>
      <c r="I40" s="36">
        <f t="shared" si="7"/>
        <v>0</v>
      </c>
      <c r="J40" s="36">
        <f t="shared" si="7"/>
        <v>0</v>
      </c>
      <c r="K40" s="36">
        <f t="shared" si="7"/>
        <v>0</v>
      </c>
      <c r="L40" s="36">
        <f t="shared" si="7"/>
        <v>0</v>
      </c>
      <c r="M40" s="36">
        <f t="shared" si="7"/>
        <v>0</v>
      </c>
      <c r="N40" s="36">
        <f t="shared" si="7"/>
        <v>0</v>
      </c>
      <c r="O40" s="36">
        <f t="shared" si="7"/>
        <v>0</v>
      </c>
      <c r="P40" s="36">
        <f>SUM(P14:P39)</f>
        <v>-600703.01</v>
      </c>
      <c r="Q40" s="21">
        <f t="shared" si="6"/>
        <v>0.45306784791655791</v>
      </c>
      <c r="S40" s="98">
        <f>SUM(B40:O40)</f>
        <v>-600703.01</v>
      </c>
      <c r="T40" s="98">
        <f t="shared" si="1"/>
        <v>0</v>
      </c>
    </row>
    <row r="41" spans="1:20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18"/>
      <c r="S41" s="98">
        <f t="shared" si="0"/>
        <v>0</v>
      </c>
      <c r="T41" s="98">
        <f t="shared" si="1"/>
        <v>0</v>
      </c>
    </row>
    <row r="42" spans="1:20" x14ac:dyDescent="0.25">
      <c r="A42" s="39" t="s">
        <v>32</v>
      </c>
      <c r="B42" s="58">
        <f t="shared" ref="B42:O42" si="8">B11+B40</f>
        <v>-48108.399999999994</v>
      </c>
      <c r="C42" s="40">
        <f t="shared" ref="C42" si="9">C11+C40</f>
        <v>777400.79</v>
      </c>
      <c r="D42" s="58">
        <f t="shared" si="8"/>
        <v>-4138.7700000000004</v>
      </c>
      <c r="E42" s="40">
        <f t="shared" si="8"/>
        <v>0</v>
      </c>
      <c r="F42" s="40">
        <f t="shared" si="8"/>
        <v>0</v>
      </c>
      <c r="G42" s="40">
        <f t="shared" si="8"/>
        <v>0</v>
      </c>
      <c r="H42" s="40">
        <f t="shared" si="8"/>
        <v>0</v>
      </c>
      <c r="I42" s="40">
        <f t="shared" si="8"/>
        <v>0</v>
      </c>
      <c r="J42" s="40">
        <f t="shared" si="8"/>
        <v>0</v>
      </c>
      <c r="K42" s="40">
        <f t="shared" si="8"/>
        <v>0</v>
      </c>
      <c r="L42" s="40">
        <f t="shared" si="8"/>
        <v>0</v>
      </c>
      <c r="M42" s="40">
        <f t="shared" si="8"/>
        <v>0</v>
      </c>
      <c r="N42" s="40">
        <f t="shared" si="8"/>
        <v>0</v>
      </c>
      <c r="O42" s="40">
        <f t="shared" si="8"/>
        <v>0</v>
      </c>
      <c r="P42" s="155">
        <f t="shared" ref="P42" si="10">B42+C42+D42+E42+F42+G42+H42+I42+J42+K42+L42+M42+N42+O42</f>
        <v>725153.62</v>
      </c>
      <c r="Q42" s="21">
        <f>P42/$P$11</f>
        <v>0.54693215208344204</v>
      </c>
      <c r="S42" s="98">
        <f>SUM(B42:O42)</f>
        <v>725153.62</v>
      </c>
      <c r="T42" s="98">
        <f t="shared" si="1"/>
        <v>0</v>
      </c>
    </row>
    <row r="43" spans="1:20" x14ac:dyDescent="0.25">
      <c r="A43" s="41"/>
      <c r="B43" s="42"/>
      <c r="C43" s="42"/>
      <c r="D43" s="42"/>
      <c r="E43" s="42"/>
      <c r="F43" s="42"/>
      <c r="G43" s="42"/>
      <c r="H43" s="42"/>
      <c r="I43" s="42"/>
      <c r="J43" s="42">
        <f t="shared" ref="J43:O43" si="11">SUM(J11,J40)</f>
        <v>0</v>
      </c>
      <c r="K43" s="42">
        <f t="shared" si="11"/>
        <v>0</v>
      </c>
      <c r="L43" s="42">
        <f t="shared" si="11"/>
        <v>0</v>
      </c>
      <c r="M43" s="42">
        <f t="shared" si="11"/>
        <v>0</v>
      </c>
      <c r="N43" s="42">
        <f t="shared" si="11"/>
        <v>0</v>
      </c>
      <c r="O43" s="42">
        <f t="shared" si="11"/>
        <v>0</v>
      </c>
      <c r="P43" s="42"/>
      <c r="Q43" s="44"/>
      <c r="S43" s="98">
        <f t="shared" si="0"/>
        <v>0</v>
      </c>
      <c r="T43" s="98">
        <f t="shared" si="1"/>
        <v>0</v>
      </c>
    </row>
    <row r="44" spans="1:20" x14ac:dyDescent="0.25">
      <c r="A44" s="29" t="s">
        <v>56</v>
      </c>
      <c r="B44" s="45">
        <f t="shared" ref="B44:L44" si="12">-B9*13.15%</f>
        <v>-9757.7681400000001</v>
      </c>
      <c r="C44" s="45">
        <f t="shared" ref="C44" si="13">-C9*13.15%</f>
        <v>-164592.37870500001</v>
      </c>
      <c r="D44" s="45">
        <f t="shared" si="12"/>
        <v>0</v>
      </c>
      <c r="E44" s="45">
        <f t="shared" si="12"/>
        <v>0</v>
      </c>
      <c r="F44" s="45">
        <f t="shared" si="12"/>
        <v>0</v>
      </c>
      <c r="G44" s="45">
        <f t="shared" si="12"/>
        <v>0</v>
      </c>
      <c r="H44" s="45">
        <f t="shared" si="12"/>
        <v>0</v>
      </c>
      <c r="I44" s="45">
        <f t="shared" si="12"/>
        <v>0</v>
      </c>
      <c r="J44" s="45">
        <f t="shared" si="12"/>
        <v>0</v>
      </c>
      <c r="K44" s="45">
        <f t="shared" si="12"/>
        <v>0</v>
      </c>
      <c r="L44" s="45">
        <f t="shared" si="12"/>
        <v>0</v>
      </c>
      <c r="M44" s="45">
        <f>-M9*13.15%</f>
        <v>0</v>
      </c>
      <c r="N44" s="45">
        <f t="shared" ref="N44:O44" si="14">-N9*13.15%</f>
        <v>0</v>
      </c>
      <c r="O44" s="45">
        <f t="shared" si="14"/>
        <v>0</v>
      </c>
      <c r="P44" s="20">
        <f t="shared" ref="P44" si="15">B44+C44+D44+E44+F44+G44+H44+I44+J44+K44+L44+M44+N44+O44</f>
        <v>-174350.14684500001</v>
      </c>
      <c r="Q44" s="21">
        <f t="shared" si="6"/>
        <v>0.13150000000000001</v>
      </c>
      <c r="S44" s="98">
        <f>SUM(B44:O44)</f>
        <v>-174350.14684500001</v>
      </c>
      <c r="T44" s="98">
        <f t="shared" si="1"/>
        <v>0</v>
      </c>
    </row>
    <row r="45" spans="1:20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4"/>
      <c r="S45" s="98">
        <f t="shared" si="0"/>
        <v>0</v>
      </c>
      <c r="T45" s="98">
        <f t="shared" si="1"/>
        <v>0</v>
      </c>
    </row>
    <row r="46" spans="1:20" x14ac:dyDescent="0.25">
      <c r="A46" s="29" t="s">
        <v>33</v>
      </c>
      <c r="B46" s="45">
        <f t="shared" ref="B46:O46" si="16">-B9*1.22%</f>
        <v>-905.28343199999995</v>
      </c>
      <c r="C46" s="45">
        <f t="shared" ref="C46" si="17">-C9*1.22%</f>
        <v>-15270.167454</v>
      </c>
      <c r="D46" s="45">
        <f t="shared" si="16"/>
        <v>0</v>
      </c>
      <c r="E46" s="45">
        <f t="shared" si="16"/>
        <v>0</v>
      </c>
      <c r="F46" s="45">
        <f t="shared" si="16"/>
        <v>0</v>
      </c>
      <c r="G46" s="45">
        <f t="shared" si="16"/>
        <v>0</v>
      </c>
      <c r="H46" s="45">
        <f t="shared" si="16"/>
        <v>0</v>
      </c>
      <c r="I46" s="45">
        <f t="shared" si="16"/>
        <v>0</v>
      </c>
      <c r="J46" s="45">
        <f t="shared" si="16"/>
        <v>0</v>
      </c>
      <c r="K46" s="45">
        <f t="shared" si="16"/>
        <v>0</v>
      </c>
      <c r="L46" s="45">
        <f t="shared" si="16"/>
        <v>0</v>
      </c>
      <c r="M46" s="45">
        <f t="shared" si="16"/>
        <v>0</v>
      </c>
      <c r="N46" s="45">
        <f t="shared" si="16"/>
        <v>0</v>
      </c>
      <c r="O46" s="45">
        <f t="shared" si="16"/>
        <v>0</v>
      </c>
      <c r="P46" s="20">
        <f t="shared" ref="P46" si="18">B46+C46+D46+E46+F46+G46+H46+I46+J46+K46+L46+M46+N46+O46</f>
        <v>-16175.450886000001</v>
      </c>
      <c r="Q46" s="21">
        <f t="shared" si="6"/>
        <v>1.2199999999999999E-2</v>
      </c>
      <c r="S46" s="98">
        <f t="shared" si="0"/>
        <v>-16175.450886000001</v>
      </c>
      <c r="T46" s="98">
        <f t="shared" si="1"/>
        <v>0</v>
      </c>
    </row>
    <row r="47" spans="1:20" x14ac:dyDescent="0.2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4"/>
      <c r="S47" s="98">
        <f t="shared" si="0"/>
        <v>0</v>
      </c>
      <c r="T47" s="98">
        <f t="shared" si="1"/>
        <v>0</v>
      </c>
    </row>
    <row r="48" spans="1:20" x14ac:dyDescent="0.25">
      <c r="A48" s="48" t="s">
        <v>57</v>
      </c>
      <c r="B48" s="49">
        <f t="shared" ref="B48:N48" si="19">B40*5.56%</f>
        <v>-6800.5449759999992</v>
      </c>
      <c r="C48" s="49">
        <f t="shared" ref="C48" si="20">C40*5.56%</f>
        <v>-26368.426767999998</v>
      </c>
      <c r="D48" s="49">
        <f t="shared" si="19"/>
        <v>-230.115612</v>
      </c>
      <c r="E48" s="49">
        <f t="shared" si="19"/>
        <v>0</v>
      </c>
      <c r="F48" s="49">
        <f t="shared" si="19"/>
        <v>0</v>
      </c>
      <c r="G48" s="49">
        <f t="shared" si="19"/>
        <v>0</v>
      </c>
      <c r="H48" s="49">
        <f>H40*5.56%</f>
        <v>0</v>
      </c>
      <c r="I48" s="49">
        <f t="shared" si="19"/>
        <v>0</v>
      </c>
      <c r="J48" s="49">
        <f t="shared" si="19"/>
        <v>0</v>
      </c>
      <c r="K48" s="49">
        <f t="shared" si="19"/>
        <v>0</v>
      </c>
      <c r="L48" s="49">
        <f t="shared" si="19"/>
        <v>0</v>
      </c>
      <c r="M48" s="49">
        <f t="shared" si="19"/>
        <v>0</v>
      </c>
      <c r="N48" s="49">
        <f t="shared" si="19"/>
        <v>0</v>
      </c>
      <c r="O48" s="49">
        <f>O40*5.56%</f>
        <v>0</v>
      </c>
      <c r="P48" s="20">
        <f t="shared" ref="P48" si="21">B48+C48+D48+E48+F48+G48+H48+I48+J48+K48+L48+M48+N48+O48</f>
        <v>-33399.087355999996</v>
      </c>
      <c r="Q48" s="21">
        <f t="shared" si="6"/>
        <v>2.5190572344160615E-2</v>
      </c>
      <c r="S48" s="98">
        <f t="shared" si="0"/>
        <v>-33399.087355999996</v>
      </c>
      <c r="T48" s="98">
        <f t="shared" si="1"/>
        <v>0</v>
      </c>
    </row>
    <row r="49" spans="1:20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4"/>
      <c r="S49" s="98">
        <f t="shared" si="0"/>
        <v>0</v>
      </c>
      <c r="T49" s="98">
        <f t="shared" si="1"/>
        <v>0</v>
      </c>
    </row>
    <row r="50" spans="1:20" x14ac:dyDescent="0.25">
      <c r="A50" s="48" t="s">
        <v>58</v>
      </c>
      <c r="B50" s="49">
        <f t="shared" ref="B50:L50" si="22">B40*0.01%</f>
        <v>-12.231196000000001</v>
      </c>
      <c r="C50" s="49">
        <f t="shared" ref="C50" si="23">C40*0.01%</f>
        <v>-47.425227999999997</v>
      </c>
      <c r="D50" s="49">
        <f t="shared" si="22"/>
        <v>-0.41387700000000005</v>
      </c>
      <c r="E50" s="49">
        <f t="shared" si="22"/>
        <v>0</v>
      </c>
      <c r="F50" s="49">
        <f t="shared" si="22"/>
        <v>0</v>
      </c>
      <c r="G50" s="49">
        <f t="shared" si="22"/>
        <v>0</v>
      </c>
      <c r="H50" s="49">
        <f t="shared" si="22"/>
        <v>0</v>
      </c>
      <c r="I50" s="49">
        <f t="shared" si="22"/>
        <v>0</v>
      </c>
      <c r="J50" s="49">
        <f t="shared" si="22"/>
        <v>0</v>
      </c>
      <c r="K50" s="49">
        <f t="shared" si="22"/>
        <v>0</v>
      </c>
      <c r="L50" s="49">
        <f t="shared" si="22"/>
        <v>0</v>
      </c>
      <c r="M50" s="49">
        <f>M40*0.01%</f>
        <v>0</v>
      </c>
      <c r="N50" s="49">
        <f t="shared" ref="N50" si="24">N40*0.01%</f>
        <v>0</v>
      </c>
      <c r="O50" s="49">
        <f>O40*0.01%</f>
        <v>0</v>
      </c>
      <c r="P50" s="20">
        <f t="shared" ref="P50" si="25">B50+C50+D50+E50+F50+G50+H50+I50+J50+K50+L50+M50+N50+O50</f>
        <v>-60.070301000000001</v>
      </c>
      <c r="Q50" s="21">
        <f t="shared" si="6"/>
        <v>4.5306784791655791E-5</v>
      </c>
      <c r="S50" s="98">
        <f t="shared" si="0"/>
        <v>-60.070301000000001</v>
      </c>
      <c r="T50" s="98">
        <f t="shared" si="1"/>
        <v>0</v>
      </c>
    </row>
    <row r="51" spans="1:20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4"/>
      <c r="S51" s="98">
        <f t="shared" si="0"/>
        <v>0</v>
      </c>
      <c r="T51" s="98">
        <f t="shared" si="1"/>
        <v>0</v>
      </c>
    </row>
    <row r="52" spans="1:20" x14ac:dyDescent="0.25">
      <c r="A52" s="39" t="s">
        <v>111</v>
      </c>
      <c r="B52" s="58">
        <f>B42+B48+B50+B44+B46</f>
        <v>-65584.227743999989</v>
      </c>
      <c r="C52" s="58">
        <f>C42+C48+C50+C44+C46</f>
        <v>571122.39184499998</v>
      </c>
      <c r="D52" s="58">
        <f>D42+D48+D50+D44+D46</f>
        <v>-4369.299489</v>
      </c>
      <c r="E52" s="40">
        <f>E42+E48+E50+E44+E46</f>
        <v>0</v>
      </c>
      <c r="F52" s="40">
        <f>F42+F48+F50+F44+F46</f>
        <v>0</v>
      </c>
      <c r="G52" s="58">
        <f t="shared" ref="G52:N52" si="26">G42+G48+G50+G44+G46</f>
        <v>0</v>
      </c>
      <c r="H52" s="40">
        <f t="shared" si="26"/>
        <v>0</v>
      </c>
      <c r="I52" s="58">
        <f t="shared" si="26"/>
        <v>0</v>
      </c>
      <c r="J52" s="58">
        <f t="shared" si="26"/>
        <v>0</v>
      </c>
      <c r="K52" s="40">
        <f t="shared" si="26"/>
        <v>0</v>
      </c>
      <c r="L52" s="58">
        <f t="shared" si="26"/>
        <v>0</v>
      </c>
      <c r="M52" s="58">
        <f t="shared" si="26"/>
        <v>0</v>
      </c>
      <c r="N52" s="58">
        <f t="shared" si="26"/>
        <v>0</v>
      </c>
      <c r="O52" s="58">
        <f>O42+O48+O50+O44+O46</f>
        <v>0</v>
      </c>
      <c r="P52" s="155">
        <f t="shared" ref="P52" si="27">B52+C52+D52+E52+F52+G52+H52+I52+J52+K52+L52+M52+N52+O52</f>
        <v>501168.864612</v>
      </c>
      <c r="Q52" s="21">
        <f>P52/$P$11</f>
        <v>0.37799627295448979</v>
      </c>
      <c r="S52" s="98">
        <f>SUM(B52:O52)</f>
        <v>501168.864612</v>
      </c>
      <c r="T52" s="98">
        <f t="shared" si="1"/>
        <v>0</v>
      </c>
    </row>
    <row r="53" spans="1:20" x14ac:dyDescent="0.2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</row>
    <row r="54" spans="1:20" x14ac:dyDescent="0.25">
      <c r="A54" s="52" t="s">
        <v>35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53"/>
      <c r="Q54" s="50"/>
    </row>
    <row r="55" spans="1:20" x14ac:dyDescent="0.25">
      <c r="A55" s="8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89"/>
    </row>
    <row r="56" spans="1:20" x14ac:dyDescent="0.25">
      <c r="A56" s="54" t="s">
        <v>36</v>
      </c>
      <c r="B56" s="50"/>
      <c r="C56" s="50"/>
      <c r="D56" s="83"/>
      <c r="Q56" s="89">
        <v>45688</v>
      </c>
    </row>
    <row r="58" spans="1:20" x14ac:dyDescent="0.25">
      <c r="B58" s="98">
        <f>B11+B40+B44+B46+B48+B50</f>
        <v>-65584.227743999989</v>
      </c>
      <c r="C58" s="98">
        <f>C11+C40+C44+C46+C48+C50</f>
        <v>571122.39184499998</v>
      </c>
      <c r="D58" s="98">
        <f t="shared" ref="D58:P58" si="28">D11+D40+D44+D46+D48+D50</f>
        <v>-4369.299489</v>
      </c>
      <c r="E58" s="98">
        <f t="shared" si="28"/>
        <v>0</v>
      </c>
      <c r="F58" s="98">
        <f t="shared" si="28"/>
        <v>0</v>
      </c>
      <c r="G58" s="98">
        <f t="shared" si="28"/>
        <v>0</v>
      </c>
      <c r="H58" s="98">
        <f t="shared" si="28"/>
        <v>0</v>
      </c>
      <c r="I58" s="98">
        <f t="shared" si="28"/>
        <v>0</v>
      </c>
      <c r="J58" s="98">
        <f t="shared" si="28"/>
        <v>0</v>
      </c>
      <c r="K58" s="98">
        <f t="shared" si="28"/>
        <v>0</v>
      </c>
      <c r="L58" s="98">
        <f t="shared" si="28"/>
        <v>0</v>
      </c>
      <c r="M58" s="98">
        <f t="shared" si="28"/>
        <v>0</v>
      </c>
      <c r="N58" s="98">
        <f t="shared" si="28"/>
        <v>0</v>
      </c>
      <c r="O58" s="98">
        <f t="shared" si="28"/>
        <v>0</v>
      </c>
      <c r="P58" s="98">
        <f t="shared" si="28"/>
        <v>501168.86461200018</v>
      </c>
    </row>
    <row r="60" spans="1:20" x14ac:dyDescent="0.25">
      <c r="B60" s="98">
        <f>B52-B58</f>
        <v>0</v>
      </c>
      <c r="C60" s="98">
        <f>C52-C58</f>
        <v>0</v>
      </c>
      <c r="D60" s="98">
        <f t="shared" ref="D60:P60" si="29">D52-D58</f>
        <v>0</v>
      </c>
      <c r="E60" s="98">
        <f t="shared" si="29"/>
        <v>0</v>
      </c>
      <c r="F60" s="98">
        <f t="shared" si="29"/>
        <v>0</v>
      </c>
      <c r="G60" s="98">
        <f t="shared" si="29"/>
        <v>0</v>
      </c>
      <c r="H60" s="98">
        <f t="shared" si="29"/>
        <v>0</v>
      </c>
      <c r="I60" s="98">
        <f t="shared" si="29"/>
        <v>0</v>
      </c>
      <c r="J60" s="98">
        <f t="shared" si="29"/>
        <v>0</v>
      </c>
      <c r="K60" s="98">
        <f t="shared" si="29"/>
        <v>0</v>
      </c>
      <c r="L60" s="98">
        <f t="shared" si="29"/>
        <v>0</v>
      </c>
      <c r="M60" s="98">
        <f t="shared" si="29"/>
        <v>0</v>
      </c>
      <c r="N60" s="98">
        <f t="shared" si="29"/>
        <v>0</v>
      </c>
      <c r="O60" s="98">
        <f t="shared" si="29"/>
        <v>0</v>
      </c>
      <c r="P60" s="98">
        <f t="shared" si="29"/>
        <v>0</v>
      </c>
    </row>
  </sheetData>
  <mergeCells count="3">
    <mergeCell ref="A1:P1"/>
    <mergeCell ref="A3:P3"/>
    <mergeCell ref="A5:P5"/>
  </mergeCells>
  <phoneticPr fontId="12" type="noConversion"/>
  <conditionalFormatting sqref="B52:C52">
    <cfRule type="cellIs" dxfId="77" priority="7" operator="lessThan">
      <formula>0</formula>
    </cfRule>
    <cfRule type="cellIs" dxfId="76" priority="8" operator="greaterThan">
      <formula>0</formula>
    </cfRule>
  </conditionalFormatting>
  <conditionalFormatting sqref="G52">
    <cfRule type="cellIs" dxfId="75" priority="5" operator="lessThan">
      <formula>0</formula>
    </cfRule>
    <cfRule type="cellIs" dxfId="74" priority="6" operator="greaterThan">
      <formula>0</formula>
    </cfRule>
  </conditionalFormatting>
  <conditionalFormatting sqref="I52:J52">
    <cfRule type="cellIs" dxfId="73" priority="3" operator="lessThan">
      <formula>0</formula>
    </cfRule>
    <cfRule type="cellIs" dxfId="72" priority="4" operator="greaterThan">
      <formula>0</formula>
    </cfRule>
  </conditionalFormatting>
  <conditionalFormatting sqref="L52">
    <cfRule type="cellIs" dxfId="71" priority="1" operator="lessThan">
      <formula>0</formula>
    </cfRule>
    <cfRule type="cellIs" dxfId="70" priority="2" operator="greaterThan">
      <formula>0</formula>
    </cfRule>
  </conditionalFormatting>
  <printOptions horizontalCentered="1" verticalCentered="1"/>
  <pageMargins left="0.31496062992125984" right="0.11811023622047245" top="0" bottom="0" header="0" footer="0"/>
  <pageSetup paperSize="9" scale="69" orientation="landscape" r:id="rId1"/>
  <headerFooter>
    <oddHeader>&amp;C&amp;"-,Negrito"&amp;14     BELA NOVA CONSTRUTORA LTDA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T60"/>
  <sheetViews>
    <sheetView zoomScale="85" zoomScaleNormal="85" workbookViewId="0">
      <pane xSplit="1" topLeftCell="B1" activePane="topRight" state="frozen"/>
      <selection pane="topRight" sqref="A1:Q57"/>
    </sheetView>
  </sheetViews>
  <sheetFormatPr defaultRowHeight="15" x14ac:dyDescent="0.25"/>
  <cols>
    <col min="1" max="1" width="49.85546875" customWidth="1"/>
    <col min="2" max="2" width="16.7109375" bestFit="1" customWidth="1"/>
    <col min="3" max="3" width="16.7109375" customWidth="1"/>
    <col min="4" max="4" width="13.85546875" bestFit="1" customWidth="1"/>
    <col min="5" max="5" width="16.28515625" customWidth="1"/>
    <col min="6" max="6" width="14" customWidth="1"/>
    <col min="7" max="7" width="13.140625" customWidth="1"/>
    <col min="8" max="8" width="12" customWidth="1"/>
    <col min="9" max="9" width="12.42578125" customWidth="1"/>
    <col min="10" max="10" width="13.42578125" customWidth="1"/>
    <col min="11" max="11" width="13.28515625" customWidth="1"/>
    <col min="12" max="13" width="16.140625" customWidth="1"/>
    <col min="14" max="14" width="16.85546875" customWidth="1"/>
    <col min="15" max="15" width="16.7109375" customWidth="1"/>
    <col min="16" max="16" width="16.140625" bestFit="1" customWidth="1"/>
    <col min="17" max="17" width="11.28515625" bestFit="1" customWidth="1"/>
    <col min="18" max="18" width="5" customWidth="1"/>
    <col min="19" max="19" width="15" bestFit="1" customWidth="1"/>
    <col min="20" max="20" width="14.28515625" bestFit="1" customWidth="1"/>
    <col min="21" max="21" width="8.42578125" customWidth="1"/>
  </cols>
  <sheetData>
    <row r="1" spans="1:20" ht="15.75" customHeight="1" x14ac:dyDescent="0.25">
      <c r="A1" s="209" t="s">
        <v>65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</row>
    <row r="2" spans="1:20" ht="11.25" customHeight="1" x14ac:dyDescent="0.25">
      <c r="A2" s="71"/>
      <c r="B2" s="71"/>
      <c r="C2" s="71"/>
      <c r="D2" s="10"/>
    </row>
    <row r="3" spans="1:20" ht="15.75" customHeight="1" x14ac:dyDescent="0.25">
      <c r="A3" s="209" t="s">
        <v>159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</row>
    <row r="4" spans="1:20" ht="12.75" customHeight="1" x14ac:dyDescent="0.25">
      <c r="A4" s="71"/>
      <c r="B4" s="71"/>
      <c r="C4" s="71"/>
      <c r="D4" s="10"/>
    </row>
    <row r="5" spans="1:20" ht="15.75" customHeight="1" x14ac:dyDescent="0.25">
      <c r="A5" s="209" t="s">
        <v>169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</row>
    <row r="6" spans="1:20" x14ac:dyDescent="0.25">
      <c r="A6" s="10"/>
      <c r="B6" s="10"/>
      <c r="C6" s="10"/>
      <c r="D6" s="10"/>
    </row>
    <row r="7" spans="1:20" x14ac:dyDescent="0.25">
      <c r="A7" s="12"/>
      <c r="B7" s="60" t="s">
        <v>138</v>
      </c>
      <c r="C7" s="60" t="s">
        <v>221</v>
      </c>
      <c r="D7" s="60" t="s">
        <v>209</v>
      </c>
      <c r="E7" s="60" t="s">
        <v>210</v>
      </c>
      <c r="F7" s="60" t="s">
        <v>211</v>
      </c>
      <c r="G7" s="60" t="s">
        <v>212</v>
      </c>
      <c r="H7" s="60" t="s">
        <v>213</v>
      </c>
      <c r="I7" s="60" t="s">
        <v>214</v>
      </c>
      <c r="J7" s="60" t="s">
        <v>215</v>
      </c>
      <c r="K7" s="60" t="s">
        <v>216</v>
      </c>
      <c r="L7" s="60" t="s">
        <v>217</v>
      </c>
      <c r="M7" s="60" t="s">
        <v>218</v>
      </c>
      <c r="N7" s="60" t="s">
        <v>219</v>
      </c>
      <c r="O7" s="60" t="s">
        <v>220</v>
      </c>
      <c r="P7" s="13" t="s">
        <v>1</v>
      </c>
      <c r="Q7" s="14" t="s">
        <v>2</v>
      </c>
    </row>
    <row r="8" spans="1:20" x14ac:dyDescent="0.25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7"/>
      <c r="Q8" s="18"/>
    </row>
    <row r="9" spans="1:20" x14ac:dyDescent="0.25">
      <c r="A9" s="78" t="s">
        <v>4</v>
      </c>
      <c r="B9" s="19">
        <v>0</v>
      </c>
      <c r="C9" s="19">
        <v>650000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20">
        <f>B9+C9+D9+E9+F9+G9+H9+I9+J9+K9+L9+M9+N9+O9</f>
        <v>650000</v>
      </c>
      <c r="Q9" s="21">
        <v>1</v>
      </c>
      <c r="S9" s="98">
        <f>SUM(B9:O9)</f>
        <v>650000</v>
      </c>
      <c r="T9" s="98">
        <f>S9-P9</f>
        <v>0</v>
      </c>
    </row>
    <row r="10" spans="1:20" x14ac:dyDescent="0.25">
      <c r="A10" s="15" t="s">
        <v>5</v>
      </c>
      <c r="B10" s="19">
        <v>0</v>
      </c>
      <c r="C10" s="19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B10+C10+D10+E10+F10+G10+H10+I10+J10+K10+L10+M10+N10+O10</f>
        <v>0</v>
      </c>
      <c r="Q10" s="21"/>
      <c r="S10" s="98">
        <f t="shared" ref="S10:S51" si="0">SUM(B10:O10)</f>
        <v>0</v>
      </c>
      <c r="T10" s="98">
        <f t="shared" ref="T10:T13" si="1">S10-P10</f>
        <v>0</v>
      </c>
    </row>
    <row r="11" spans="1:20" x14ac:dyDescent="0.25">
      <c r="A11" s="23" t="s">
        <v>6</v>
      </c>
      <c r="B11" s="24">
        <f t="shared" ref="B11:F11" si="2">SUM(B9:B10)</f>
        <v>0</v>
      </c>
      <c r="C11" s="24">
        <f t="shared" ref="C11" si="3">SUM(C9:C10)</f>
        <v>650000</v>
      </c>
      <c r="D11" s="24">
        <f t="shared" si="2"/>
        <v>0</v>
      </c>
      <c r="E11" s="24">
        <f t="shared" si="2"/>
        <v>0</v>
      </c>
      <c r="F11" s="24">
        <f t="shared" si="2"/>
        <v>0</v>
      </c>
      <c r="G11" s="24">
        <f t="shared" ref="G11:O11" si="4">SUM(G9:G10)</f>
        <v>0</v>
      </c>
      <c r="H11" s="24">
        <f t="shared" si="4"/>
        <v>0</v>
      </c>
      <c r="I11" s="24">
        <f t="shared" si="4"/>
        <v>0</v>
      </c>
      <c r="J11" s="24">
        <f t="shared" si="4"/>
        <v>0</v>
      </c>
      <c r="K11" s="24">
        <f t="shared" si="4"/>
        <v>0</v>
      </c>
      <c r="L11" s="24">
        <f t="shared" si="4"/>
        <v>0</v>
      </c>
      <c r="M11" s="24">
        <f t="shared" si="4"/>
        <v>0</v>
      </c>
      <c r="N11" s="24">
        <f t="shared" si="4"/>
        <v>0</v>
      </c>
      <c r="O11" s="24">
        <f t="shared" si="4"/>
        <v>0</v>
      </c>
      <c r="P11" s="24">
        <f>SUM(P9:P10)</f>
        <v>650000</v>
      </c>
      <c r="Q11" s="21">
        <v>1</v>
      </c>
      <c r="S11" s="98">
        <f>SUM(B11:O11)</f>
        <v>650000</v>
      </c>
      <c r="T11" s="98">
        <f t="shared" si="1"/>
        <v>0</v>
      </c>
    </row>
    <row r="12" spans="1:20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8"/>
      <c r="S12" s="98">
        <f t="shared" si="0"/>
        <v>0</v>
      </c>
      <c r="T12" s="98">
        <f t="shared" si="1"/>
        <v>0</v>
      </c>
    </row>
    <row r="13" spans="1:20" x14ac:dyDescent="0.25">
      <c r="A13" s="29" t="s">
        <v>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31"/>
      <c r="S13" s="98">
        <f t="shared" si="0"/>
        <v>0</v>
      </c>
      <c r="T13" s="98">
        <f t="shared" si="1"/>
        <v>0</v>
      </c>
    </row>
    <row r="14" spans="1:20" x14ac:dyDescent="0.25">
      <c r="A14" s="15" t="s">
        <v>8</v>
      </c>
      <c r="B14" s="32">
        <v>-754.98</v>
      </c>
      <c r="C14" s="32">
        <v>-58.51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20">
        <f>B14+C14+D14+E14+F14+G14+H14+I14+J14+K14+L14+M14+N14+O14</f>
        <v>-813.49</v>
      </c>
      <c r="Q14" s="21">
        <f>-P14/$P$11</f>
        <v>1.2515230769230769E-3</v>
      </c>
      <c r="S14" s="98">
        <f>SUM(B14:O14)</f>
        <v>-813.49</v>
      </c>
      <c r="T14" s="98">
        <f>S14-P14</f>
        <v>0</v>
      </c>
    </row>
    <row r="15" spans="1:20" x14ac:dyDescent="0.25">
      <c r="A15" s="33" t="s">
        <v>9</v>
      </c>
      <c r="B15" s="32">
        <v>0</v>
      </c>
      <c r="C15" s="32">
        <v>0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20">
        <f t="shared" ref="P15:P39" si="5">B15+C15+D15+E15+F15+G15+H15+I15+J15+K15+L15+M15+N15+O15</f>
        <v>0</v>
      </c>
      <c r="Q15" s="21">
        <f t="shared" ref="Q15:Q50" si="6">-P15/$P$11</f>
        <v>0</v>
      </c>
      <c r="S15" s="98">
        <f t="shared" si="0"/>
        <v>0</v>
      </c>
      <c r="T15" s="98">
        <f t="shared" ref="T15:T52" si="7">S15-P15</f>
        <v>0</v>
      </c>
    </row>
    <row r="16" spans="1:20" x14ac:dyDescent="0.25">
      <c r="A16" s="15" t="s">
        <v>10</v>
      </c>
      <c r="B16" s="32">
        <v>0</v>
      </c>
      <c r="C16" s="32">
        <v>0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20">
        <f t="shared" si="5"/>
        <v>0</v>
      </c>
      <c r="Q16" s="21">
        <f t="shared" si="6"/>
        <v>0</v>
      </c>
      <c r="S16" s="98">
        <f t="shared" si="0"/>
        <v>0</v>
      </c>
      <c r="T16" s="98">
        <f t="shared" si="7"/>
        <v>0</v>
      </c>
    </row>
    <row r="17" spans="1:20" x14ac:dyDescent="0.25">
      <c r="A17" s="33" t="s">
        <v>11</v>
      </c>
      <c r="B17" s="32">
        <v>0</v>
      </c>
      <c r="C17" s="32">
        <v>0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20">
        <f t="shared" si="5"/>
        <v>0</v>
      </c>
      <c r="Q17" s="21">
        <f t="shared" si="6"/>
        <v>0</v>
      </c>
      <c r="S17" s="98">
        <f t="shared" si="0"/>
        <v>0</v>
      </c>
      <c r="T17" s="98">
        <f t="shared" si="7"/>
        <v>0</v>
      </c>
    </row>
    <row r="18" spans="1:20" x14ac:dyDescent="0.25">
      <c r="A18" s="15" t="s">
        <v>12</v>
      </c>
      <c r="B18" s="32">
        <v>-936.37</v>
      </c>
      <c r="C18" s="32">
        <v>-1812.98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20">
        <f t="shared" si="5"/>
        <v>-2749.35</v>
      </c>
      <c r="Q18" s="21">
        <f t="shared" si="6"/>
        <v>4.2297692307692305E-3</v>
      </c>
      <c r="S18" s="98">
        <f t="shared" si="0"/>
        <v>-2749.35</v>
      </c>
      <c r="T18" s="98">
        <f t="shared" si="7"/>
        <v>0</v>
      </c>
    </row>
    <row r="19" spans="1:20" x14ac:dyDescent="0.25">
      <c r="A19" s="15" t="s">
        <v>13</v>
      </c>
      <c r="B19" s="32">
        <v>-564.39</v>
      </c>
      <c r="C19" s="32">
        <v>-836.23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20">
        <f t="shared" si="5"/>
        <v>-1400.62</v>
      </c>
      <c r="Q19" s="21">
        <f t="shared" si="6"/>
        <v>2.1547999999999997E-3</v>
      </c>
      <c r="S19" s="98">
        <f t="shared" si="0"/>
        <v>-1400.62</v>
      </c>
      <c r="T19" s="98">
        <f t="shared" si="7"/>
        <v>0</v>
      </c>
    </row>
    <row r="20" spans="1:20" x14ac:dyDescent="0.25">
      <c r="A20" s="15" t="s">
        <v>14</v>
      </c>
      <c r="B20" s="32">
        <v>0</v>
      </c>
      <c r="C20" s="32">
        <v>-447.29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20">
        <f t="shared" si="5"/>
        <v>-447.29</v>
      </c>
      <c r="Q20" s="21">
        <f t="shared" si="6"/>
        <v>6.8813846153846156E-4</v>
      </c>
      <c r="S20" s="98">
        <f t="shared" si="0"/>
        <v>-447.29</v>
      </c>
      <c r="T20" s="98">
        <f t="shared" si="7"/>
        <v>0</v>
      </c>
    </row>
    <row r="21" spans="1:20" x14ac:dyDescent="0.25">
      <c r="A21" s="15" t="s">
        <v>15</v>
      </c>
      <c r="B21" s="32">
        <v>0</v>
      </c>
      <c r="C21" s="32">
        <v>0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20">
        <f t="shared" si="5"/>
        <v>0</v>
      </c>
      <c r="Q21" s="21">
        <f t="shared" si="6"/>
        <v>0</v>
      </c>
      <c r="S21" s="98">
        <f t="shared" si="0"/>
        <v>0</v>
      </c>
      <c r="T21" s="98">
        <f t="shared" si="7"/>
        <v>0</v>
      </c>
    </row>
    <row r="22" spans="1:20" x14ac:dyDescent="0.25">
      <c r="A22" s="15" t="s">
        <v>16</v>
      </c>
      <c r="B22" s="32">
        <v>0</v>
      </c>
      <c r="C22" s="32">
        <v>0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20">
        <f t="shared" si="5"/>
        <v>0</v>
      </c>
      <c r="Q22" s="21">
        <f t="shared" si="6"/>
        <v>0</v>
      </c>
      <c r="S22" s="98">
        <f t="shared" si="0"/>
        <v>0</v>
      </c>
      <c r="T22" s="98">
        <f t="shared" si="7"/>
        <v>0</v>
      </c>
    </row>
    <row r="23" spans="1:20" x14ac:dyDescent="0.25">
      <c r="A23" s="15" t="s">
        <v>17</v>
      </c>
      <c r="B23" s="32">
        <v>-620.84</v>
      </c>
      <c r="C23" s="32">
        <v>-1010.8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20">
        <f t="shared" si="5"/>
        <v>-1631.6399999999999</v>
      </c>
      <c r="Q23" s="21">
        <f t="shared" si="6"/>
        <v>2.5102153846153843E-3</v>
      </c>
      <c r="S23" s="98">
        <f t="shared" si="0"/>
        <v>-1631.6399999999999</v>
      </c>
      <c r="T23" s="98">
        <f t="shared" si="7"/>
        <v>0</v>
      </c>
    </row>
    <row r="24" spans="1:20" x14ac:dyDescent="0.25">
      <c r="A24" s="15" t="s">
        <v>18</v>
      </c>
      <c r="B24" s="32">
        <v>0</v>
      </c>
      <c r="C24" s="32">
        <v>0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20">
        <f t="shared" si="5"/>
        <v>0</v>
      </c>
      <c r="Q24" s="21">
        <f t="shared" si="6"/>
        <v>0</v>
      </c>
      <c r="S24" s="98">
        <f t="shared" si="0"/>
        <v>0</v>
      </c>
      <c r="T24" s="98">
        <f t="shared" si="7"/>
        <v>0</v>
      </c>
    </row>
    <row r="25" spans="1:20" x14ac:dyDescent="0.25">
      <c r="A25" s="15" t="s">
        <v>19</v>
      </c>
      <c r="B25" s="32">
        <v>0</v>
      </c>
      <c r="C25" s="32">
        <v>0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20">
        <f t="shared" si="5"/>
        <v>0</v>
      </c>
      <c r="Q25" s="21">
        <f t="shared" si="6"/>
        <v>0</v>
      </c>
      <c r="S25" s="98">
        <f t="shared" si="0"/>
        <v>0</v>
      </c>
      <c r="T25" s="98">
        <f t="shared" si="7"/>
        <v>0</v>
      </c>
    </row>
    <row r="26" spans="1:20" x14ac:dyDescent="0.25">
      <c r="A26" s="15" t="s">
        <v>20</v>
      </c>
      <c r="B26" s="32">
        <v>0</v>
      </c>
      <c r="C26" s="32">
        <v>0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20">
        <f t="shared" si="5"/>
        <v>0</v>
      </c>
      <c r="Q26" s="21">
        <f t="shared" si="6"/>
        <v>0</v>
      </c>
      <c r="S26" s="98">
        <f t="shared" si="0"/>
        <v>0</v>
      </c>
      <c r="T26" s="98">
        <f t="shared" si="7"/>
        <v>0</v>
      </c>
    </row>
    <row r="27" spans="1:20" x14ac:dyDescent="0.25">
      <c r="A27" s="15" t="s">
        <v>59</v>
      </c>
      <c r="B27" s="32">
        <v>0</v>
      </c>
      <c r="C27" s="32">
        <v>0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20">
        <f t="shared" si="5"/>
        <v>0</v>
      </c>
      <c r="Q27" s="21">
        <f t="shared" si="6"/>
        <v>0</v>
      </c>
      <c r="S27" s="98">
        <f t="shared" si="0"/>
        <v>0</v>
      </c>
      <c r="T27" s="98">
        <f t="shared" si="7"/>
        <v>0</v>
      </c>
    </row>
    <row r="28" spans="1:20" x14ac:dyDescent="0.25">
      <c r="A28" s="15" t="s">
        <v>21</v>
      </c>
      <c r="B28" s="32">
        <v>-135</v>
      </c>
      <c r="C28" s="32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20">
        <f t="shared" si="5"/>
        <v>-135</v>
      </c>
      <c r="Q28" s="21">
        <f t="shared" si="6"/>
        <v>2.0769230769230768E-4</v>
      </c>
      <c r="S28" s="98">
        <f t="shared" si="0"/>
        <v>-135</v>
      </c>
      <c r="T28" s="98">
        <f t="shared" si="7"/>
        <v>0</v>
      </c>
    </row>
    <row r="29" spans="1:20" x14ac:dyDescent="0.25">
      <c r="A29" s="15" t="s">
        <v>22</v>
      </c>
      <c r="B29" s="32">
        <v>0</v>
      </c>
      <c r="C29" s="32">
        <v>0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20">
        <f t="shared" si="5"/>
        <v>0</v>
      </c>
      <c r="Q29" s="21">
        <f t="shared" si="6"/>
        <v>0</v>
      </c>
      <c r="S29" s="98">
        <f t="shared" si="0"/>
        <v>0</v>
      </c>
      <c r="T29" s="98">
        <f t="shared" si="7"/>
        <v>0</v>
      </c>
    </row>
    <row r="30" spans="1:20" x14ac:dyDescent="0.25">
      <c r="A30" s="33" t="s">
        <v>23</v>
      </c>
      <c r="B30" s="32">
        <v>0</v>
      </c>
      <c r="C30" s="32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20">
        <f t="shared" si="5"/>
        <v>0</v>
      </c>
      <c r="Q30" s="21">
        <f t="shared" si="6"/>
        <v>0</v>
      </c>
      <c r="S30" s="98">
        <f t="shared" si="0"/>
        <v>0</v>
      </c>
      <c r="T30" s="98">
        <f t="shared" si="7"/>
        <v>0</v>
      </c>
    </row>
    <row r="31" spans="1:20" x14ac:dyDescent="0.25">
      <c r="A31" s="15" t="s">
        <v>24</v>
      </c>
      <c r="B31" s="32">
        <v>-1527</v>
      </c>
      <c r="C31" s="32">
        <v>-25426.27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20">
        <f t="shared" si="5"/>
        <v>-26953.27</v>
      </c>
      <c r="Q31" s="21">
        <f t="shared" si="6"/>
        <v>4.1466569230769232E-2</v>
      </c>
      <c r="S31" s="98">
        <f t="shared" si="0"/>
        <v>-26953.27</v>
      </c>
      <c r="T31" s="98">
        <f t="shared" si="7"/>
        <v>0</v>
      </c>
    </row>
    <row r="32" spans="1:20" x14ac:dyDescent="0.25">
      <c r="A32" s="34" t="s">
        <v>25</v>
      </c>
      <c r="B32" s="32">
        <v>-7050.85</v>
      </c>
      <c r="C32" s="32">
        <v>-10877.1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20">
        <f t="shared" si="5"/>
        <v>-17927.95</v>
      </c>
      <c r="Q32" s="21">
        <f t="shared" si="6"/>
        <v>2.7581461538461541E-2</v>
      </c>
      <c r="S32" s="98">
        <f t="shared" si="0"/>
        <v>-17927.95</v>
      </c>
      <c r="T32" s="98">
        <f t="shared" si="7"/>
        <v>0</v>
      </c>
    </row>
    <row r="33" spans="1:20" x14ac:dyDescent="0.25">
      <c r="A33" s="15" t="s">
        <v>26</v>
      </c>
      <c r="B33" s="32">
        <v>0</v>
      </c>
      <c r="C33" s="32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20">
        <f t="shared" si="5"/>
        <v>0</v>
      </c>
      <c r="Q33" s="21">
        <f t="shared" si="6"/>
        <v>0</v>
      </c>
      <c r="S33" s="98">
        <f t="shared" si="0"/>
        <v>0</v>
      </c>
      <c r="T33" s="98">
        <f t="shared" si="7"/>
        <v>0</v>
      </c>
    </row>
    <row r="34" spans="1:20" x14ac:dyDescent="0.25">
      <c r="A34" s="15" t="s">
        <v>27</v>
      </c>
      <c r="B34" s="32">
        <v>0</v>
      </c>
      <c r="C34" s="32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20">
        <f t="shared" si="5"/>
        <v>0</v>
      </c>
      <c r="Q34" s="21">
        <f t="shared" si="6"/>
        <v>0</v>
      </c>
      <c r="S34" s="98">
        <f t="shared" si="0"/>
        <v>0</v>
      </c>
      <c r="T34" s="98">
        <f t="shared" si="7"/>
        <v>0</v>
      </c>
    </row>
    <row r="35" spans="1:20" x14ac:dyDescent="0.25">
      <c r="A35" s="33" t="s">
        <v>28</v>
      </c>
      <c r="B35" s="32">
        <v>0</v>
      </c>
      <c r="C35" s="32">
        <v>-98.66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20">
        <f t="shared" si="5"/>
        <v>-98.66</v>
      </c>
      <c r="Q35" s="21">
        <f t="shared" si="6"/>
        <v>1.5178461538461539E-4</v>
      </c>
      <c r="S35" s="98">
        <f t="shared" si="0"/>
        <v>-98.66</v>
      </c>
      <c r="T35" s="98">
        <f t="shared" si="7"/>
        <v>0</v>
      </c>
    </row>
    <row r="36" spans="1:20" x14ac:dyDescent="0.25">
      <c r="A36" s="15" t="s">
        <v>29</v>
      </c>
      <c r="B36" s="32">
        <v>-234.1</v>
      </c>
      <c r="C36" s="32">
        <v>-876.86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20">
        <f t="shared" si="5"/>
        <v>-1110.96</v>
      </c>
      <c r="Q36" s="21">
        <f t="shared" si="6"/>
        <v>1.7091692307692307E-3</v>
      </c>
      <c r="S36" s="98">
        <f t="shared" si="0"/>
        <v>-1110.96</v>
      </c>
      <c r="T36" s="98">
        <f t="shared" si="7"/>
        <v>0</v>
      </c>
    </row>
    <row r="37" spans="1:20" x14ac:dyDescent="0.25">
      <c r="A37" s="15" t="s">
        <v>30</v>
      </c>
      <c r="B37" s="32">
        <v>-1035.71</v>
      </c>
      <c r="C37" s="32">
        <v>-1249.82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20">
        <f t="shared" si="5"/>
        <v>-2285.5299999999997</v>
      </c>
      <c r="Q37" s="21">
        <f t="shared" si="6"/>
        <v>3.5161999999999997E-3</v>
      </c>
      <c r="S37" s="98">
        <f t="shared" si="0"/>
        <v>-2285.5299999999997</v>
      </c>
      <c r="T37" s="98">
        <f t="shared" si="7"/>
        <v>0</v>
      </c>
    </row>
    <row r="38" spans="1:20" x14ac:dyDescent="0.25">
      <c r="A38" s="15" t="s">
        <v>97</v>
      </c>
      <c r="B38" s="32">
        <v>0</v>
      </c>
      <c r="C38" s="32">
        <v>0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20">
        <f t="shared" si="5"/>
        <v>0</v>
      </c>
      <c r="Q38" s="21">
        <f t="shared" si="6"/>
        <v>0</v>
      </c>
      <c r="S38" s="98">
        <f t="shared" si="0"/>
        <v>0</v>
      </c>
      <c r="T38" s="98">
        <f t="shared" si="7"/>
        <v>0</v>
      </c>
    </row>
    <row r="39" spans="1:20" x14ac:dyDescent="0.25">
      <c r="A39" s="15" t="s">
        <v>114</v>
      </c>
      <c r="B39" s="32">
        <v>-3785.69</v>
      </c>
      <c r="C39" s="32">
        <v>0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20">
        <f t="shared" si="5"/>
        <v>-3785.69</v>
      </c>
      <c r="Q39" s="21">
        <f t="shared" si="6"/>
        <v>5.8241384615384615E-3</v>
      </c>
      <c r="S39" s="98">
        <f t="shared" si="0"/>
        <v>-3785.69</v>
      </c>
      <c r="T39" s="98">
        <f t="shared" si="7"/>
        <v>0</v>
      </c>
    </row>
    <row r="40" spans="1:20" x14ac:dyDescent="0.25">
      <c r="A40" s="35" t="s">
        <v>31</v>
      </c>
      <c r="B40" s="36">
        <f>SUM(B14:B39)</f>
        <v>-16644.93</v>
      </c>
      <c r="C40" s="36">
        <f t="shared" ref="C40:G40" si="8">SUM(C14:C39)</f>
        <v>-42694.520000000004</v>
      </c>
      <c r="D40" s="36">
        <f t="shared" si="8"/>
        <v>0</v>
      </c>
      <c r="E40" s="36">
        <f t="shared" si="8"/>
        <v>0</v>
      </c>
      <c r="F40" s="36">
        <f t="shared" si="8"/>
        <v>0</v>
      </c>
      <c r="G40" s="36">
        <f t="shared" si="8"/>
        <v>0</v>
      </c>
      <c r="H40" s="36">
        <f t="shared" ref="H40:O40" si="9">SUM(H14:H39)</f>
        <v>0</v>
      </c>
      <c r="I40" s="36">
        <f t="shared" si="9"/>
        <v>0</v>
      </c>
      <c r="J40" s="36">
        <f t="shared" si="9"/>
        <v>0</v>
      </c>
      <c r="K40" s="36">
        <f t="shared" si="9"/>
        <v>0</v>
      </c>
      <c r="L40" s="36">
        <f t="shared" si="9"/>
        <v>0</v>
      </c>
      <c r="M40" s="36">
        <f t="shared" si="9"/>
        <v>0</v>
      </c>
      <c r="N40" s="36">
        <f t="shared" si="9"/>
        <v>0</v>
      </c>
      <c r="O40" s="36">
        <f t="shared" si="9"/>
        <v>0</v>
      </c>
      <c r="P40" s="36">
        <f>SUM(P14:P39)</f>
        <v>-59339.450000000004</v>
      </c>
      <c r="Q40" s="21">
        <f t="shared" si="6"/>
        <v>9.1291461538461544E-2</v>
      </c>
      <c r="S40" s="98">
        <f>SUM(B40:O40)</f>
        <v>-59339.450000000004</v>
      </c>
      <c r="T40" s="98">
        <f t="shared" si="7"/>
        <v>0</v>
      </c>
    </row>
    <row r="41" spans="1:20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S41" s="98">
        <f t="shared" si="0"/>
        <v>0</v>
      </c>
      <c r="T41" s="98">
        <f t="shared" si="7"/>
        <v>0</v>
      </c>
    </row>
    <row r="42" spans="1:20" x14ac:dyDescent="0.25">
      <c r="A42" s="39" t="s">
        <v>32</v>
      </c>
      <c r="B42" s="58">
        <f>B11+B40</f>
        <v>-16644.93</v>
      </c>
      <c r="C42" s="40">
        <f>C11+C40</f>
        <v>607305.48</v>
      </c>
      <c r="D42" s="40">
        <f t="shared" ref="D42:O42" si="10">D11+D40</f>
        <v>0</v>
      </c>
      <c r="E42" s="40">
        <f t="shared" si="10"/>
        <v>0</v>
      </c>
      <c r="F42" s="40">
        <f t="shared" si="10"/>
        <v>0</v>
      </c>
      <c r="G42" s="40">
        <f t="shared" si="10"/>
        <v>0</v>
      </c>
      <c r="H42" s="58">
        <f t="shared" si="10"/>
        <v>0</v>
      </c>
      <c r="I42" s="58">
        <f t="shared" si="10"/>
        <v>0</v>
      </c>
      <c r="J42" s="58">
        <f t="shared" si="10"/>
        <v>0</v>
      </c>
      <c r="K42" s="58">
        <f t="shared" si="10"/>
        <v>0</v>
      </c>
      <c r="L42" s="58">
        <f t="shared" si="10"/>
        <v>0</v>
      </c>
      <c r="M42" s="58">
        <f t="shared" si="10"/>
        <v>0</v>
      </c>
      <c r="N42" s="58">
        <f t="shared" si="10"/>
        <v>0</v>
      </c>
      <c r="O42" s="58">
        <f t="shared" si="10"/>
        <v>0</v>
      </c>
      <c r="P42" s="155">
        <f t="shared" ref="P42" si="11">B42+C42+D42+E42+F42+G42+H42+I42+J42+K42+L42+M42+N42+O42</f>
        <v>590660.54999999993</v>
      </c>
      <c r="Q42" s="21">
        <f>P42/$P$11</f>
        <v>0.90870853846153832</v>
      </c>
      <c r="S42" s="98">
        <f>SUM(B42:O42)</f>
        <v>590660.54999999993</v>
      </c>
      <c r="T42" s="98">
        <f t="shared" si="7"/>
        <v>0</v>
      </c>
    </row>
    <row r="43" spans="1:20" x14ac:dyDescent="0.25">
      <c r="A43" s="41"/>
      <c r="B43" s="42"/>
      <c r="C43" s="42"/>
      <c r="D43" s="42"/>
      <c r="E43" s="42"/>
      <c r="F43" s="42"/>
      <c r="G43" s="42">
        <f t="shared" ref="G43:O43" si="12">SUM(G11,G40)</f>
        <v>0</v>
      </c>
      <c r="H43" s="42">
        <f t="shared" si="12"/>
        <v>0</v>
      </c>
      <c r="I43" s="42">
        <f t="shared" si="12"/>
        <v>0</v>
      </c>
      <c r="J43" s="42"/>
      <c r="K43" s="42"/>
      <c r="L43" s="42"/>
      <c r="M43" s="42"/>
      <c r="N43" s="42">
        <f t="shared" si="12"/>
        <v>0</v>
      </c>
      <c r="O43" s="42">
        <f t="shared" si="12"/>
        <v>0</v>
      </c>
      <c r="P43" s="42"/>
      <c r="Q43" s="44"/>
      <c r="S43" s="98">
        <f t="shared" si="0"/>
        <v>0</v>
      </c>
      <c r="T43" s="98">
        <f t="shared" si="7"/>
        <v>0</v>
      </c>
    </row>
    <row r="44" spans="1:20" x14ac:dyDescent="0.25">
      <c r="A44" s="29" t="s">
        <v>56</v>
      </c>
      <c r="B44" s="45">
        <f t="shared" ref="B44:O44" si="13">-B9*13.15%</f>
        <v>0</v>
      </c>
      <c r="C44" s="45">
        <f t="shared" ref="C44" si="14">-C9*13.15%</f>
        <v>-85475</v>
      </c>
      <c r="D44" s="45">
        <f t="shared" si="13"/>
        <v>0</v>
      </c>
      <c r="E44" s="45">
        <f t="shared" si="13"/>
        <v>0</v>
      </c>
      <c r="F44" s="45">
        <f t="shared" si="13"/>
        <v>0</v>
      </c>
      <c r="G44" s="45">
        <f t="shared" si="13"/>
        <v>0</v>
      </c>
      <c r="H44" s="45">
        <f t="shared" si="13"/>
        <v>0</v>
      </c>
      <c r="I44" s="45">
        <f t="shared" si="13"/>
        <v>0</v>
      </c>
      <c r="J44" s="45">
        <f t="shared" si="13"/>
        <v>0</v>
      </c>
      <c r="K44" s="45">
        <f t="shared" si="13"/>
        <v>0</v>
      </c>
      <c r="L44" s="45">
        <f t="shared" si="13"/>
        <v>0</v>
      </c>
      <c r="M44" s="45">
        <f t="shared" si="13"/>
        <v>0</v>
      </c>
      <c r="N44" s="45">
        <f t="shared" si="13"/>
        <v>0</v>
      </c>
      <c r="O44" s="45">
        <f t="shared" si="13"/>
        <v>0</v>
      </c>
      <c r="P44" s="20">
        <f t="shared" ref="P44" si="15">B44+C44+D44+E44+F44+G44+H44+I44+J44+K44+L44+M44+N44+O44</f>
        <v>-85475</v>
      </c>
      <c r="Q44" s="21">
        <f t="shared" si="6"/>
        <v>0.13150000000000001</v>
      </c>
      <c r="S44" s="98">
        <f>SUM(B44:O44)</f>
        <v>-85475</v>
      </c>
      <c r="T44" s="98">
        <f t="shared" si="7"/>
        <v>0</v>
      </c>
    </row>
    <row r="45" spans="1:20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4"/>
      <c r="S45" s="98">
        <f t="shared" si="0"/>
        <v>0</v>
      </c>
      <c r="T45" s="98">
        <f t="shared" si="7"/>
        <v>0</v>
      </c>
    </row>
    <row r="46" spans="1:20" x14ac:dyDescent="0.25">
      <c r="A46" s="29" t="s">
        <v>33</v>
      </c>
      <c r="B46" s="45">
        <f t="shared" ref="B46:O46" si="16">-B9*1.22%</f>
        <v>0</v>
      </c>
      <c r="C46" s="45">
        <f t="shared" ref="C46" si="17">-C9*1.22%</f>
        <v>-7929.9999999999991</v>
      </c>
      <c r="D46" s="45">
        <f t="shared" si="16"/>
        <v>0</v>
      </c>
      <c r="E46" s="45">
        <f t="shared" si="16"/>
        <v>0</v>
      </c>
      <c r="F46" s="45">
        <f t="shared" si="16"/>
        <v>0</v>
      </c>
      <c r="G46" s="45">
        <f t="shared" si="16"/>
        <v>0</v>
      </c>
      <c r="H46" s="45">
        <f t="shared" si="16"/>
        <v>0</v>
      </c>
      <c r="I46" s="45">
        <f t="shared" si="16"/>
        <v>0</v>
      </c>
      <c r="J46" s="45">
        <f t="shared" si="16"/>
        <v>0</v>
      </c>
      <c r="K46" s="45">
        <f t="shared" si="16"/>
        <v>0</v>
      </c>
      <c r="L46" s="45">
        <f t="shared" si="16"/>
        <v>0</v>
      </c>
      <c r="M46" s="45">
        <f t="shared" si="16"/>
        <v>0</v>
      </c>
      <c r="N46" s="45">
        <f t="shared" si="16"/>
        <v>0</v>
      </c>
      <c r="O46" s="45">
        <f t="shared" si="16"/>
        <v>0</v>
      </c>
      <c r="P46" s="20">
        <f t="shared" ref="P46" si="18">B46+C46+D46+E46+F46+G46+H46+I46+J46+K46+L46+M46+N46+O46</f>
        <v>-7929.9999999999991</v>
      </c>
      <c r="Q46" s="21">
        <f t="shared" si="6"/>
        <v>1.2199999999999999E-2</v>
      </c>
      <c r="S46" s="98">
        <f t="shared" si="0"/>
        <v>-7929.9999999999991</v>
      </c>
      <c r="T46" s="98">
        <f t="shared" si="7"/>
        <v>0</v>
      </c>
    </row>
    <row r="47" spans="1:20" x14ac:dyDescent="0.2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4"/>
      <c r="S47" s="98">
        <f t="shared" si="0"/>
        <v>0</v>
      </c>
      <c r="T47" s="98">
        <f t="shared" si="7"/>
        <v>0</v>
      </c>
    </row>
    <row r="48" spans="1:20" x14ac:dyDescent="0.25">
      <c r="A48" s="48" t="s">
        <v>57</v>
      </c>
      <c r="B48" s="49">
        <f t="shared" ref="B48:O48" si="19">B40*5.56%</f>
        <v>-925.45810799999992</v>
      </c>
      <c r="C48" s="49">
        <f t="shared" ref="C48" si="20">C40*5.56%</f>
        <v>-2373.8153120000002</v>
      </c>
      <c r="D48" s="49">
        <f t="shared" si="19"/>
        <v>0</v>
      </c>
      <c r="E48" s="49">
        <f t="shared" si="19"/>
        <v>0</v>
      </c>
      <c r="F48" s="49">
        <f t="shared" si="19"/>
        <v>0</v>
      </c>
      <c r="G48" s="49">
        <f t="shared" si="19"/>
        <v>0</v>
      </c>
      <c r="H48" s="49">
        <f t="shared" si="19"/>
        <v>0</v>
      </c>
      <c r="I48" s="49">
        <f t="shared" si="19"/>
        <v>0</v>
      </c>
      <c r="J48" s="49">
        <f t="shared" si="19"/>
        <v>0</v>
      </c>
      <c r="K48" s="49">
        <f t="shared" si="19"/>
        <v>0</v>
      </c>
      <c r="L48" s="49">
        <f t="shared" si="19"/>
        <v>0</v>
      </c>
      <c r="M48" s="49">
        <f t="shared" si="19"/>
        <v>0</v>
      </c>
      <c r="N48" s="49">
        <f t="shared" si="19"/>
        <v>0</v>
      </c>
      <c r="O48" s="49">
        <f t="shared" si="19"/>
        <v>0</v>
      </c>
      <c r="P48" s="20">
        <f t="shared" ref="P48" si="21">B48+C48+D48+E48+F48+G48+H48+I48+J48+K48+L48+M48+N48+O48</f>
        <v>-3299.27342</v>
      </c>
      <c r="Q48" s="21">
        <f t="shared" si="6"/>
        <v>5.0758052615384611E-3</v>
      </c>
      <c r="S48" s="98">
        <f t="shared" si="0"/>
        <v>-3299.27342</v>
      </c>
      <c r="T48" s="98">
        <f t="shared" si="7"/>
        <v>0</v>
      </c>
    </row>
    <row r="49" spans="1:20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4"/>
      <c r="S49" s="98">
        <f t="shared" si="0"/>
        <v>0</v>
      </c>
      <c r="T49" s="98">
        <f t="shared" si="7"/>
        <v>0</v>
      </c>
    </row>
    <row r="50" spans="1:20" x14ac:dyDescent="0.25">
      <c r="A50" s="48" t="s">
        <v>58</v>
      </c>
      <c r="B50" s="49">
        <f t="shared" ref="B50:O50" si="22">B40*0.01%</f>
        <v>-1.664493</v>
      </c>
      <c r="C50" s="49">
        <f t="shared" ref="C50" si="23">C40*0.01%</f>
        <v>-4.2694520000000002</v>
      </c>
      <c r="D50" s="49">
        <f t="shared" si="22"/>
        <v>0</v>
      </c>
      <c r="E50" s="49">
        <f t="shared" si="22"/>
        <v>0</v>
      </c>
      <c r="F50" s="49">
        <f t="shared" si="22"/>
        <v>0</v>
      </c>
      <c r="G50" s="49">
        <f t="shared" si="22"/>
        <v>0</v>
      </c>
      <c r="H50" s="49">
        <f t="shared" si="22"/>
        <v>0</v>
      </c>
      <c r="I50" s="49">
        <f t="shared" si="22"/>
        <v>0</v>
      </c>
      <c r="J50" s="49">
        <f t="shared" si="22"/>
        <v>0</v>
      </c>
      <c r="K50" s="49">
        <f t="shared" si="22"/>
        <v>0</v>
      </c>
      <c r="L50" s="49">
        <f t="shared" si="22"/>
        <v>0</v>
      </c>
      <c r="M50" s="49">
        <f t="shared" si="22"/>
        <v>0</v>
      </c>
      <c r="N50" s="49">
        <f t="shared" si="22"/>
        <v>0</v>
      </c>
      <c r="O50" s="49">
        <f t="shared" si="22"/>
        <v>0</v>
      </c>
      <c r="P50" s="20">
        <f t="shared" ref="P50" si="24">B50+C50+D50+E50+F50+G50+H50+I50+J50+K50+L50+M50+N50+O50</f>
        <v>-5.9339450000000005</v>
      </c>
      <c r="Q50" s="21">
        <f t="shared" si="6"/>
        <v>9.129146153846155E-6</v>
      </c>
      <c r="S50" s="98">
        <f t="shared" si="0"/>
        <v>-5.9339450000000005</v>
      </c>
      <c r="T50" s="98">
        <f t="shared" si="7"/>
        <v>0</v>
      </c>
    </row>
    <row r="51" spans="1:20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4"/>
      <c r="S51" s="98">
        <f t="shared" si="0"/>
        <v>0</v>
      </c>
      <c r="T51" s="98">
        <f t="shared" si="7"/>
        <v>0</v>
      </c>
    </row>
    <row r="52" spans="1:20" x14ac:dyDescent="0.25">
      <c r="A52" s="39" t="s">
        <v>113</v>
      </c>
      <c r="B52" s="58">
        <f>B42+B48+B50+B44+B46</f>
        <v>-17572.052600999999</v>
      </c>
      <c r="C52" s="40">
        <f>C42+C48+C50+C44+C46</f>
        <v>511522.39523599995</v>
      </c>
      <c r="D52" s="40">
        <f>D42+D48+D50+D44+D46</f>
        <v>0</v>
      </c>
      <c r="E52" s="40">
        <f>E42+E48+E50+E44+E46</f>
        <v>0</v>
      </c>
      <c r="F52" s="40">
        <f>F42+F48+F50+F44+F46</f>
        <v>0</v>
      </c>
      <c r="G52" s="40">
        <f t="shared" ref="G52:N52" si="25">G42+G48+G50+G44+G46</f>
        <v>0</v>
      </c>
      <c r="H52" s="58">
        <f t="shared" si="25"/>
        <v>0</v>
      </c>
      <c r="I52" s="58">
        <f t="shared" si="25"/>
        <v>0</v>
      </c>
      <c r="J52" s="58">
        <f t="shared" si="25"/>
        <v>0</v>
      </c>
      <c r="K52" s="58">
        <f t="shared" si="25"/>
        <v>0</v>
      </c>
      <c r="L52" s="58">
        <f t="shared" si="25"/>
        <v>0</v>
      </c>
      <c r="M52" s="58">
        <f t="shared" si="25"/>
        <v>0</v>
      </c>
      <c r="N52" s="58">
        <f t="shared" si="25"/>
        <v>0</v>
      </c>
      <c r="O52" s="58">
        <f>O42+O48+O50+O44+O46</f>
        <v>0</v>
      </c>
      <c r="P52" s="155">
        <f>B52+C52+D52+E52+F52+G52+H52+I52+J52+K52+L52+M52+N52+O52</f>
        <v>493950.34263499995</v>
      </c>
      <c r="Q52" s="21">
        <f>P52/$P$11</f>
        <v>0.75992360405384607</v>
      </c>
      <c r="S52" s="98">
        <f>SUM(B52:O52)</f>
        <v>493950.34263499995</v>
      </c>
      <c r="T52" s="98">
        <f t="shared" si="7"/>
        <v>0</v>
      </c>
    </row>
    <row r="53" spans="1:20" x14ac:dyDescent="0.2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</row>
    <row r="54" spans="1:20" x14ac:dyDescent="0.25">
      <c r="A54" s="52" t="s">
        <v>35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53"/>
      <c r="Q54" s="50"/>
    </row>
    <row r="55" spans="1:20" x14ac:dyDescent="0.25">
      <c r="A55" s="8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89"/>
    </row>
    <row r="56" spans="1:20" x14ac:dyDescent="0.25">
      <c r="A56" s="54" t="s">
        <v>36</v>
      </c>
      <c r="B56" s="50"/>
      <c r="C56" s="50"/>
      <c r="D56" s="10"/>
      <c r="Q56" s="89">
        <v>46022</v>
      </c>
    </row>
    <row r="57" spans="1:20" x14ac:dyDescent="0.25">
      <c r="A57" s="103" t="s">
        <v>164</v>
      </c>
    </row>
    <row r="58" spans="1:20" x14ac:dyDescent="0.25">
      <c r="B58" s="98">
        <f>B11+B40+B44+B46+B48+B50</f>
        <v>-17572.052600999999</v>
      </c>
      <c r="C58" s="98">
        <f>C11+C40+C44+C46+C48+C50</f>
        <v>511522.39523600001</v>
      </c>
      <c r="D58" s="98">
        <f t="shared" ref="D58:P58" si="26">D11+D40+D44+D46+D48+D50</f>
        <v>0</v>
      </c>
      <c r="E58" s="98">
        <f t="shared" si="26"/>
        <v>0</v>
      </c>
      <c r="F58" s="98">
        <f t="shared" si="26"/>
        <v>0</v>
      </c>
      <c r="G58" s="98">
        <f t="shared" si="26"/>
        <v>0</v>
      </c>
      <c r="H58" s="98">
        <f t="shared" si="26"/>
        <v>0</v>
      </c>
      <c r="I58" s="98">
        <f t="shared" si="26"/>
        <v>0</v>
      </c>
      <c r="J58" s="98">
        <f t="shared" si="26"/>
        <v>0</v>
      </c>
      <c r="K58" s="98">
        <f t="shared" si="26"/>
        <v>0</v>
      </c>
      <c r="L58" s="98">
        <f t="shared" si="26"/>
        <v>0</v>
      </c>
      <c r="M58" s="98">
        <f t="shared" si="26"/>
        <v>0</v>
      </c>
      <c r="N58" s="98">
        <f t="shared" si="26"/>
        <v>0</v>
      </c>
      <c r="O58" s="98">
        <f t="shared" si="26"/>
        <v>0</v>
      </c>
      <c r="P58" s="98">
        <f t="shared" si="26"/>
        <v>493950.34263500007</v>
      </c>
    </row>
    <row r="60" spans="1:20" x14ac:dyDescent="0.25">
      <c r="B60" s="98">
        <f>B58-B52</f>
        <v>0</v>
      </c>
      <c r="C60" s="98">
        <f>C58-C52</f>
        <v>0</v>
      </c>
      <c r="D60" s="98">
        <f t="shared" ref="D60:P60" si="27">D58-D52</f>
        <v>0</v>
      </c>
      <c r="E60" s="98">
        <f t="shared" si="27"/>
        <v>0</v>
      </c>
      <c r="F60" s="98">
        <f t="shared" si="27"/>
        <v>0</v>
      </c>
      <c r="G60" s="98">
        <f t="shared" si="27"/>
        <v>0</v>
      </c>
      <c r="H60" s="98">
        <f t="shared" si="27"/>
        <v>0</v>
      </c>
      <c r="I60" s="98">
        <f t="shared" si="27"/>
        <v>0</v>
      </c>
      <c r="J60" s="98">
        <f t="shared" si="27"/>
        <v>0</v>
      </c>
      <c r="K60" s="98">
        <f t="shared" si="27"/>
        <v>0</v>
      </c>
      <c r="L60" s="98">
        <f t="shared" si="27"/>
        <v>0</v>
      </c>
      <c r="M60" s="98">
        <f t="shared" si="27"/>
        <v>0</v>
      </c>
      <c r="N60" s="98">
        <f t="shared" si="27"/>
        <v>0</v>
      </c>
      <c r="O60" s="98">
        <f t="shared" si="27"/>
        <v>0</v>
      </c>
      <c r="P60" s="98">
        <f t="shared" si="27"/>
        <v>0</v>
      </c>
    </row>
  </sheetData>
  <mergeCells count="3">
    <mergeCell ref="A1:Q1"/>
    <mergeCell ref="A3:Q3"/>
    <mergeCell ref="A5:Q5"/>
  </mergeCells>
  <phoneticPr fontId="12" type="noConversion"/>
  <conditionalFormatting sqref="G52">
    <cfRule type="cellIs" dxfId="69" priority="5" operator="lessThan">
      <formula>0</formula>
    </cfRule>
    <cfRule type="cellIs" dxfId="68" priority="6" operator="greaterThan">
      <formula>0</formula>
    </cfRule>
  </conditionalFormatting>
  <conditionalFormatting sqref="I52:J52">
    <cfRule type="cellIs" dxfId="67" priority="3" operator="lessThan">
      <formula>0</formula>
    </cfRule>
    <cfRule type="cellIs" dxfId="66" priority="4" operator="greaterThan">
      <formula>0</formula>
    </cfRule>
  </conditionalFormatting>
  <conditionalFormatting sqref="L52">
    <cfRule type="cellIs" dxfId="65" priority="1" operator="lessThan">
      <formula>0</formula>
    </cfRule>
    <cfRule type="cellIs" dxfId="64" priority="2" operator="greaterThan">
      <formula>0</formula>
    </cfRule>
  </conditionalFormatting>
  <printOptions horizontalCentered="1" verticalCentered="1"/>
  <pageMargins left="0.11811023622047245" right="0" top="0.31496062992125984" bottom="0" header="1.1023622047244095" footer="0"/>
  <pageSetup paperSize="9" scale="51" orientation="landscape" r:id="rId1"/>
  <headerFooter>
    <oddHeader>&amp;C&amp;"-,Negrito"&amp;14BELA NOVA CONSTRUTORA LTDA</oddHeader>
  </headerFooter>
  <colBreaks count="1" manualBreakCount="1">
    <brk id="17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V59"/>
  <sheetViews>
    <sheetView zoomScale="85" zoomScaleNormal="85" workbookViewId="0">
      <pane xSplit="1" topLeftCell="B1" activePane="topRight" state="frozen"/>
      <selection pane="topRight" activeCell="A6" sqref="A6"/>
    </sheetView>
  </sheetViews>
  <sheetFormatPr defaultRowHeight="15" x14ac:dyDescent="0.25"/>
  <cols>
    <col min="1" max="1" width="45.5703125" customWidth="1"/>
    <col min="2" max="2" width="16.7109375" bestFit="1" customWidth="1"/>
    <col min="3" max="4" width="16.7109375" customWidth="1"/>
    <col min="5" max="5" width="15" customWidth="1"/>
    <col min="6" max="6" width="16.28515625" hidden="1" customWidth="1"/>
    <col min="7" max="7" width="18.42578125" hidden="1" customWidth="1"/>
    <col min="8" max="8" width="16.42578125" hidden="1" customWidth="1"/>
    <col min="9" max="9" width="18.140625" hidden="1" customWidth="1"/>
    <col min="10" max="10" width="15.85546875" hidden="1" customWidth="1"/>
    <col min="11" max="11" width="15.7109375" hidden="1" customWidth="1"/>
    <col min="12" max="12" width="15" hidden="1" customWidth="1"/>
    <col min="13" max="13" width="16.140625" hidden="1" customWidth="1"/>
    <col min="14" max="14" width="14.7109375" hidden="1" customWidth="1"/>
    <col min="15" max="15" width="16.85546875" hidden="1" customWidth="1"/>
    <col min="16" max="16" width="16.7109375" hidden="1" customWidth="1"/>
    <col min="17" max="17" width="18" bestFit="1" customWidth="1"/>
    <col min="18" max="18" width="11.140625" bestFit="1" customWidth="1"/>
    <col min="19" max="19" width="3" customWidth="1"/>
    <col min="20" max="20" width="16" bestFit="1" customWidth="1"/>
    <col min="21" max="21" width="14.28515625" bestFit="1" customWidth="1"/>
    <col min="22" max="22" width="14.42578125" bestFit="1" customWidth="1"/>
  </cols>
  <sheetData>
    <row r="1" spans="1:22" ht="15.75" customHeight="1" x14ac:dyDescent="0.25">
      <c r="A1" s="209" t="s">
        <v>175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</row>
    <row r="2" spans="1:22" ht="15.75" x14ac:dyDescent="0.25">
      <c r="A2" s="71"/>
      <c r="B2" s="71"/>
      <c r="C2" s="71"/>
      <c r="D2" s="71"/>
      <c r="E2" s="10"/>
    </row>
    <row r="3" spans="1:22" ht="15.75" customHeight="1" x14ac:dyDescent="0.25">
      <c r="A3" s="209" t="s">
        <v>176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</row>
    <row r="4" spans="1:22" ht="15.75" x14ac:dyDescent="0.25">
      <c r="A4" s="71"/>
      <c r="B4" s="71"/>
      <c r="C4" s="71"/>
      <c r="D4" s="71"/>
      <c r="E4" s="10"/>
    </row>
    <row r="5" spans="1:22" ht="15.75" customHeight="1" x14ac:dyDescent="0.25">
      <c r="A5" s="209" t="s">
        <v>340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</row>
    <row r="6" spans="1:22" x14ac:dyDescent="0.25">
      <c r="A6" s="10"/>
      <c r="B6" s="10"/>
      <c r="C6" s="10"/>
      <c r="D6" s="10"/>
      <c r="E6" s="10"/>
    </row>
    <row r="7" spans="1:22" x14ac:dyDescent="0.25">
      <c r="A7" s="12"/>
      <c r="B7" s="60" t="s">
        <v>138</v>
      </c>
      <c r="C7" s="60" t="s">
        <v>221</v>
      </c>
      <c r="D7" s="60" t="s">
        <v>303</v>
      </c>
      <c r="E7" s="60" t="s">
        <v>304</v>
      </c>
      <c r="F7" s="60" t="s">
        <v>305</v>
      </c>
      <c r="G7" s="60" t="s">
        <v>306</v>
      </c>
      <c r="H7" s="60" t="s">
        <v>307</v>
      </c>
      <c r="I7" s="60" t="s">
        <v>308</v>
      </c>
      <c r="J7" s="60" t="s">
        <v>309</v>
      </c>
      <c r="K7" s="60" t="s">
        <v>310</v>
      </c>
      <c r="L7" s="60" t="s">
        <v>311</v>
      </c>
      <c r="M7" s="60" t="s">
        <v>312</v>
      </c>
      <c r="N7" s="60" t="s">
        <v>313</v>
      </c>
      <c r="O7" s="60" t="s">
        <v>314</v>
      </c>
      <c r="P7" s="60" t="s">
        <v>225</v>
      </c>
      <c r="Q7" s="13" t="s">
        <v>1</v>
      </c>
      <c r="R7" s="14" t="s">
        <v>2</v>
      </c>
    </row>
    <row r="8" spans="1:22" x14ac:dyDescent="0.25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7"/>
      <c r="R8" s="18"/>
      <c r="V8" s="175">
        <v>2025</v>
      </c>
    </row>
    <row r="9" spans="1:22" x14ac:dyDescent="0.25">
      <c r="A9" s="78" t="s">
        <v>4</v>
      </c>
      <c r="B9" s="19">
        <v>0</v>
      </c>
      <c r="C9" s="19">
        <v>463128.35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20">
        <f>SUM(B9:P9)</f>
        <v>463128.35</v>
      </c>
      <c r="R9" s="21">
        <v>1</v>
      </c>
      <c r="T9" s="98">
        <f>SUM(B9:P9)</f>
        <v>463128.35</v>
      </c>
      <c r="U9" s="98">
        <f>T9-Q9</f>
        <v>0</v>
      </c>
      <c r="V9" s="98">
        <f>Q9-B9-C9</f>
        <v>0</v>
      </c>
    </row>
    <row r="10" spans="1:22" x14ac:dyDescent="0.25">
      <c r="A10" s="15" t="s">
        <v>5</v>
      </c>
      <c r="B10" s="19">
        <v>0</v>
      </c>
      <c r="C10" s="22">
        <v>0</v>
      </c>
      <c r="D10" s="22">
        <v>0</v>
      </c>
      <c r="E10" s="19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20">
        <f>SUM(B10:P10)</f>
        <v>0</v>
      </c>
      <c r="R10" s="21"/>
      <c r="T10" s="98">
        <f t="shared" ref="T10:T51" si="0">SUM(B10:P10)</f>
        <v>0</v>
      </c>
      <c r="U10" s="98">
        <f t="shared" ref="U10:U11" si="1">T10-Q10</f>
        <v>0</v>
      </c>
      <c r="V10" s="98">
        <f t="shared" ref="V10:V52" si="2">Q10-B10-C10</f>
        <v>0</v>
      </c>
    </row>
    <row r="11" spans="1:22" x14ac:dyDescent="0.25">
      <c r="A11" s="23" t="s">
        <v>6</v>
      </c>
      <c r="B11" s="24">
        <f t="shared" ref="B11:G11" si="3">SUM(B9:B10)</f>
        <v>0</v>
      </c>
      <c r="C11" s="24">
        <f t="shared" ref="C11:D11" si="4">SUM(C9:C10)</f>
        <v>463128.35</v>
      </c>
      <c r="D11" s="24">
        <f t="shared" si="4"/>
        <v>0</v>
      </c>
      <c r="E11" s="24">
        <f t="shared" si="3"/>
        <v>0</v>
      </c>
      <c r="F11" s="24">
        <f t="shared" si="3"/>
        <v>0</v>
      </c>
      <c r="G11" s="24">
        <f t="shared" si="3"/>
        <v>0</v>
      </c>
      <c r="H11" s="24">
        <f t="shared" ref="H11:P11" si="5">SUM(H9:H10)</f>
        <v>0</v>
      </c>
      <c r="I11" s="24">
        <f t="shared" si="5"/>
        <v>0</v>
      </c>
      <c r="J11" s="24">
        <f t="shared" si="5"/>
        <v>0</v>
      </c>
      <c r="K11" s="24">
        <f t="shared" si="5"/>
        <v>0</v>
      </c>
      <c r="L11" s="24">
        <f t="shared" si="5"/>
        <v>0</v>
      </c>
      <c r="M11" s="24">
        <f t="shared" si="5"/>
        <v>0</v>
      </c>
      <c r="N11" s="24">
        <f t="shared" si="5"/>
        <v>0</v>
      </c>
      <c r="O11" s="24">
        <f t="shared" si="5"/>
        <v>0</v>
      </c>
      <c r="P11" s="24">
        <f t="shared" si="5"/>
        <v>0</v>
      </c>
      <c r="Q11" s="24">
        <f>SUM(Q9:Q10)</f>
        <v>463128.35</v>
      </c>
      <c r="R11" s="21">
        <v>1</v>
      </c>
      <c r="T11" s="98">
        <f>SUM(B11:P11)</f>
        <v>463128.35</v>
      </c>
      <c r="U11" s="98">
        <f t="shared" si="1"/>
        <v>0</v>
      </c>
      <c r="V11" s="98">
        <f t="shared" si="2"/>
        <v>0</v>
      </c>
    </row>
    <row r="12" spans="1:22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28"/>
      <c r="T12" s="98">
        <f t="shared" si="0"/>
        <v>0</v>
      </c>
      <c r="U12" s="98"/>
      <c r="V12" s="98">
        <f t="shared" si="2"/>
        <v>0</v>
      </c>
    </row>
    <row r="13" spans="1:22" x14ac:dyDescent="0.25">
      <c r="A13" s="29" t="s">
        <v>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30"/>
      <c r="R13" s="31"/>
      <c r="T13" s="98">
        <f t="shared" si="0"/>
        <v>0</v>
      </c>
      <c r="U13" s="98"/>
      <c r="V13" s="98">
        <f t="shared" si="2"/>
        <v>0</v>
      </c>
    </row>
    <row r="14" spans="1:22" x14ac:dyDescent="0.25">
      <c r="A14" s="15" t="s">
        <v>8</v>
      </c>
      <c r="B14" s="32">
        <v>-4254.3100000000004</v>
      </c>
      <c r="C14" s="32">
        <v>-67479.399999999994</v>
      </c>
      <c r="D14" s="32">
        <v>-22269.72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20">
        <f>SUM(B14:P14)</f>
        <v>-94003.43</v>
      </c>
      <c r="R14" s="21">
        <f>-Q14/$Q$11</f>
        <v>0.20297489885903119</v>
      </c>
      <c r="T14" s="98">
        <f>SUM(B14:P14)</f>
        <v>-94003.43</v>
      </c>
      <c r="U14" s="98">
        <f>Q14-T14</f>
        <v>0</v>
      </c>
      <c r="V14" s="98">
        <f t="shared" si="2"/>
        <v>-22269.72</v>
      </c>
    </row>
    <row r="15" spans="1:22" x14ac:dyDescent="0.25">
      <c r="A15" s="33" t="s">
        <v>9</v>
      </c>
      <c r="B15" s="32">
        <v>0</v>
      </c>
      <c r="C15" s="32">
        <v>0</v>
      </c>
      <c r="D15" s="32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20">
        <f t="shared" ref="Q15:Q39" si="6">SUM(B15:P15)</f>
        <v>0</v>
      </c>
      <c r="R15" s="21">
        <f t="shared" ref="R15:R52" si="7">-Q15/$Q$11</f>
        <v>0</v>
      </c>
      <c r="T15" s="98">
        <f t="shared" si="0"/>
        <v>0</v>
      </c>
      <c r="U15" s="98">
        <f t="shared" ref="U15:U52" si="8">Q15-T15</f>
        <v>0</v>
      </c>
      <c r="V15" s="98">
        <f t="shared" si="2"/>
        <v>0</v>
      </c>
    </row>
    <row r="16" spans="1:22" x14ac:dyDescent="0.25">
      <c r="A16" s="15" t="s">
        <v>10</v>
      </c>
      <c r="B16" s="32">
        <v>0</v>
      </c>
      <c r="C16" s="32">
        <v>0</v>
      </c>
      <c r="D16" s="32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20">
        <f t="shared" si="6"/>
        <v>0</v>
      </c>
      <c r="R16" s="21">
        <f t="shared" si="7"/>
        <v>0</v>
      </c>
      <c r="T16" s="98">
        <f t="shared" si="0"/>
        <v>0</v>
      </c>
      <c r="U16" s="98">
        <f t="shared" si="8"/>
        <v>0</v>
      </c>
      <c r="V16" s="98">
        <f t="shared" si="2"/>
        <v>0</v>
      </c>
    </row>
    <row r="17" spans="1:22" x14ac:dyDescent="0.25">
      <c r="A17" s="33" t="s">
        <v>11</v>
      </c>
      <c r="B17" s="32">
        <v>-176.08</v>
      </c>
      <c r="C17" s="32">
        <v>-1543.3</v>
      </c>
      <c r="D17" s="32">
        <v>-10.83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20">
        <f t="shared" si="6"/>
        <v>-1730.2099999999998</v>
      </c>
      <c r="R17" s="21">
        <f t="shared" si="7"/>
        <v>3.7359189952418156E-3</v>
      </c>
      <c r="T17" s="98">
        <f>SUM(B17:P17)</f>
        <v>-1730.2099999999998</v>
      </c>
      <c r="U17" s="98">
        <f t="shared" si="8"/>
        <v>0</v>
      </c>
      <c r="V17" s="98">
        <f t="shared" si="2"/>
        <v>-10.829999999999927</v>
      </c>
    </row>
    <row r="18" spans="1:22" x14ac:dyDescent="0.25">
      <c r="A18" s="15" t="s">
        <v>12</v>
      </c>
      <c r="B18" s="32">
        <v>-5319.32</v>
      </c>
      <c r="C18" s="32">
        <v>-42785.01</v>
      </c>
      <c r="D18" s="32">
        <v>-15610.4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20">
        <f t="shared" si="6"/>
        <v>-63714.73</v>
      </c>
      <c r="R18" s="21">
        <f t="shared" si="7"/>
        <v>0.13757467017512534</v>
      </c>
      <c r="T18" s="98">
        <f t="shared" si="0"/>
        <v>-63714.73</v>
      </c>
      <c r="U18" s="98">
        <f t="shared" si="8"/>
        <v>0</v>
      </c>
      <c r="V18" s="98">
        <f t="shared" si="2"/>
        <v>-15610.400000000001</v>
      </c>
    </row>
    <row r="19" spans="1:22" x14ac:dyDescent="0.25">
      <c r="A19" s="15" t="s">
        <v>13</v>
      </c>
      <c r="B19" s="32">
        <v>-3237.57</v>
      </c>
      <c r="C19" s="32">
        <v>-31642.28</v>
      </c>
      <c r="D19" s="32">
        <v>-12684.02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20">
        <f t="shared" si="6"/>
        <v>-47563.869999999995</v>
      </c>
      <c r="R19" s="21">
        <f t="shared" si="7"/>
        <v>0.10270127060889275</v>
      </c>
      <c r="T19" s="98">
        <f t="shared" si="0"/>
        <v>-47563.869999999995</v>
      </c>
      <c r="U19" s="98">
        <f t="shared" si="8"/>
        <v>0</v>
      </c>
      <c r="V19" s="98">
        <f t="shared" si="2"/>
        <v>-12684.019999999997</v>
      </c>
    </row>
    <row r="20" spans="1:22" x14ac:dyDescent="0.25">
      <c r="A20" s="15" t="s">
        <v>14</v>
      </c>
      <c r="B20" s="32">
        <v>-2842.47</v>
      </c>
      <c r="C20" s="32">
        <v>-60008.99</v>
      </c>
      <c r="D20" s="32">
        <v>-5768.38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20">
        <f t="shared" si="6"/>
        <v>-68619.839999999997</v>
      </c>
      <c r="R20" s="21">
        <f t="shared" si="7"/>
        <v>0.14816592419790323</v>
      </c>
      <c r="T20" s="98">
        <f t="shared" si="0"/>
        <v>-68619.839999999997</v>
      </c>
      <c r="U20" s="98">
        <f t="shared" si="8"/>
        <v>0</v>
      </c>
      <c r="V20" s="98">
        <f t="shared" si="2"/>
        <v>-5768.3799999999974</v>
      </c>
    </row>
    <row r="21" spans="1:22" x14ac:dyDescent="0.25">
      <c r="A21" s="15" t="s">
        <v>15</v>
      </c>
      <c r="B21" s="32">
        <v>0</v>
      </c>
      <c r="C21" s="32">
        <v>2066.0100000000002</v>
      </c>
      <c r="D21" s="32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20">
        <f t="shared" si="6"/>
        <v>2066.0100000000002</v>
      </c>
      <c r="R21" s="21">
        <f>Q21/$Q$11</f>
        <v>4.4609879744999421E-3</v>
      </c>
      <c r="T21" s="98">
        <f t="shared" si="0"/>
        <v>2066.0100000000002</v>
      </c>
      <c r="U21" s="98">
        <f t="shared" si="8"/>
        <v>0</v>
      </c>
      <c r="V21" s="98">
        <f t="shared" si="2"/>
        <v>0</v>
      </c>
    </row>
    <row r="22" spans="1:22" x14ac:dyDescent="0.25">
      <c r="A22" s="15" t="s">
        <v>16</v>
      </c>
      <c r="B22" s="32">
        <v>0</v>
      </c>
      <c r="C22" s="32">
        <v>0</v>
      </c>
      <c r="D22" s="32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20">
        <f t="shared" si="6"/>
        <v>0</v>
      </c>
      <c r="R22" s="21">
        <f t="shared" si="7"/>
        <v>0</v>
      </c>
      <c r="T22" s="98">
        <f t="shared" si="0"/>
        <v>0</v>
      </c>
      <c r="U22" s="98">
        <f t="shared" si="8"/>
        <v>0</v>
      </c>
      <c r="V22" s="98">
        <f t="shared" si="2"/>
        <v>0</v>
      </c>
    </row>
    <row r="23" spans="1:22" x14ac:dyDescent="0.25">
      <c r="A23" s="15" t="s">
        <v>17</v>
      </c>
      <c r="B23" s="32">
        <v>-3561.32</v>
      </c>
      <c r="C23" s="32">
        <v>-36180.370000000003</v>
      </c>
      <c r="D23" s="32">
        <v>-18430.189999999999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20">
        <f t="shared" si="6"/>
        <v>-58171.880000000005</v>
      </c>
      <c r="R23" s="21">
        <f t="shared" si="7"/>
        <v>0.12560638967577781</v>
      </c>
      <c r="T23" s="98">
        <f t="shared" si="0"/>
        <v>-58171.880000000005</v>
      </c>
      <c r="U23" s="98">
        <f t="shared" si="8"/>
        <v>0</v>
      </c>
      <c r="V23" s="98">
        <f t="shared" si="2"/>
        <v>-18430.190000000002</v>
      </c>
    </row>
    <row r="24" spans="1:22" x14ac:dyDescent="0.25">
      <c r="A24" s="15" t="s">
        <v>18</v>
      </c>
      <c r="B24" s="32">
        <v>0</v>
      </c>
      <c r="C24" s="32">
        <v>0</v>
      </c>
      <c r="D24" s="32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20">
        <f t="shared" si="6"/>
        <v>0</v>
      </c>
      <c r="R24" s="21">
        <f t="shared" si="7"/>
        <v>0</v>
      </c>
      <c r="T24" s="98">
        <f t="shared" si="0"/>
        <v>0</v>
      </c>
      <c r="U24" s="98">
        <f t="shared" si="8"/>
        <v>0</v>
      </c>
      <c r="V24" s="98">
        <f t="shared" si="2"/>
        <v>0</v>
      </c>
    </row>
    <row r="25" spans="1:22" x14ac:dyDescent="0.25">
      <c r="A25" s="15" t="s">
        <v>19</v>
      </c>
      <c r="B25" s="32">
        <v>0</v>
      </c>
      <c r="C25" s="32">
        <v>-100</v>
      </c>
      <c r="D25" s="32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20">
        <f t="shared" si="6"/>
        <v>-100</v>
      </c>
      <c r="R25" s="21">
        <f t="shared" si="7"/>
        <v>2.1592286457954908E-4</v>
      </c>
      <c r="T25" s="98">
        <f t="shared" si="0"/>
        <v>-100</v>
      </c>
      <c r="U25" s="98">
        <f t="shared" si="8"/>
        <v>0</v>
      </c>
      <c r="V25" s="98">
        <f t="shared" si="2"/>
        <v>0</v>
      </c>
    </row>
    <row r="26" spans="1:22" x14ac:dyDescent="0.25">
      <c r="A26" s="15" t="s">
        <v>20</v>
      </c>
      <c r="B26" s="32">
        <v>0</v>
      </c>
      <c r="C26" s="32">
        <v>0</v>
      </c>
      <c r="D26" s="32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20">
        <f t="shared" si="6"/>
        <v>0</v>
      </c>
      <c r="R26" s="21">
        <f t="shared" si="7"/>
        <v>0</v>
      </c>
      <c r="T26" s="98">
        <f t="shared" si="0"/>
        <v>0</v>
      </c>
      <c r="U26" s="98">
        <f t="shared" si="8"/>
        <v>0</v>
      </c>
      <c r="V26" s="98">
        <f t="shared" si="2"/>
        <v>0</v>
      </c>
    </row>
    <row r="27" spans="1:22" x14ac:dyDescent="0.25">
      <c r="A27" s="15" t="s">
        <v>59</v>
      </c>
      <c r="B27" s="32">
        <v>0</v>
      </c>
      <c r="C27" s="32">
        <v>0</v>
      </c>
      <c r="D27" s="32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20">
        <f t="shared" si="6"/>
        <v>0</v>
      </c>
      <c r="R27" s="21">
        <f t="shared" si="7"/>
        <v>0</v>
      </c>
      <c r="T27" s="98">
        <f t="shared" si="0"/>
        <v>0</v>
      </c>
      <c r="U27" s="98">
        <f t="shared" si="8"/>
        <v>0</v>
      </c>
      <c r="V27" s="98">
        <f t="shared" si="2"/>
        <v>0</v>
      </c>
    </row>
    <row r="28" spans="1:22" x14ac:dyDescent="0.25">
      <c r="A28" s="15" t="s">
        <v>21</v>
      </c>
      <c r="B28" s="32">
        <v>0</v>
      </c>
      <c r="C28" s="32">
        <v>-2880</v>
      </c>
      <c r="D28" s="32">
        <v>-855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20">
        <f t="shared" si="6"/>
        <v>-3735</v>
      </c>
      <c r="R28" s="21">
        <f t="shared" si="7"/>
        <v>8.0647189920461573E-3</v>
      </c>
      <c r="T28" s="98">
        <f t="shared" si="0"/>
        <v>-3735</v>
      </c>
      <c r="U28" s="98">
        <f t="shared" si="8"/>
        <v>0</v>
      </c>
      <c r="V28" s="98">
        <f t="shared" si="2"/>
        <v>-855</v>
      </c>
    </row>
    <row r="29" spans="1:22" x14ac:dyDescent="0.25">
      <c r="A29" s="15" t="s">
        <v>22</v>
      </c>
      <c r="B29" s="32">
        <v>0</v>
      </c>
      <c r="C29" s="32">
        <v>0</v>
      </c>
      <c r="D29" s="32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20">
        <f t="shared" si="6"/>
        <v>0</v>
      </c>
      <c r="R29" s="21">
        <f t="shared" si="7"/>
        <v>0</v>
      </c>
      <c r="T29" s="98">
        <f t="shared" si="0"/>
        <v>0</v>
      </c>
      <c r="U29" s="98">
        <f t="shared" si="8"/>
        <v>0</v>
      </c>
      <c r="V29" s="98">
        <f t="shared" si="2"/>
        <v>0</v>
      </c>
    </row>
    <row r="30" spans="1:22" x14ac:dyDescent="0.25">
      <c r="A30" s="33" t="s">
        <v>23</v>
      </c>
      <c r="B30" s="32">
        <v>0</v>
      </c>
      <c r="C30" s="32">
        <v>-484.21</v>
      </c>
      <c r="D30" s="32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20">
        <f t="shared" si="6"/>
        <v>-484.21</v>
      </c>
      <c r="R30" s="21">
        <f t="shared" si="7"/>
        <v>1.0455201025806346E-3</v>
      </c>
      <c r="T30" s="98">
        <f t="shared" si="0"/>
        <v>-484.21</v>
      </c>
      <c r="U30" s="98">
        <f t="shared" si="8"/>
        <v>0</v>
      </c>
      <c r="V30" s="98">
        <f t="shared" si="2"/>
        <v>0</v>
      </c>
    </row>
    <row r="31" spans="1:22" x14ac:dyDescent="0.25">
      <c r="A31" s="15" t="s">
        <v>24</v>
      </c>
      <c r="B31" s="32">
        <v>-19200</v>
      </c>
      <c r="C31" s="32">
        <v>-123155.29</v>
      </c>
      <c r="D31" s="32">
        <v>-70238.080000000002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20">
        <f t="shared" si="6"/>
        <v>-212593.37</v>
      </c>
      <c r="R31" s="21">
        <f t="shared" si="7"/>
        <v>0.4590376944101997</v>
      </c>
      <c r="T31" s="98">
        <f t="shared" si="0"/>
        <v>-212593.37</v>
      </c>
      <c r="U31" s="98">
        <f t="shared" si="8"/>
        <v>0</v>
      </c>
      <c r="V31" s="98">
        <f t="shared" si="2"/>
        <v>-70238.080000000002</v>
      </c>
    </row>
    <row r="32" spans="1:22" x14ac:dyDescent="0.25">
      <c r="A32" s="34" t="s">
        <v>25</v>
      </c>
      <c r="B32" s="32">
        <v>-37611.620000000003</v>
      </c>
      <c r="C32" s="32">
        <v>-324192.36</v>
      </c>
      <c r="D32" s="32">
        <v>-107441.46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20">
        <f t="shared" si="6"/>
        <v>-469245.44</v>
      </c>
      <c r="R32" s="21">
        <f t="shared" si="7"/>
        <v>1.0132081959569093</v>
      </c>
      <c r="T32" s="98">
        <f t="shared" si="0"/>
        <v>-469245.44</v>
      </c>
      <c r="U32" s="98">
        <f t="shared" si="8"/>
        <v>0</v>
      </c>
      <c r="V32" s="98">
        <f t="shared" si="2"/>
        <v>-107441.46000000002</v>
      </c>
    </row>
    <row r="33" spans="1:22" x14ac:dyDescent="0.25">
      <c r="A33" s="15" t="s">
        <v>26</v>
      </c>
      <c r="B33" s="32">
        <v>0</v>
      </c>
      <c r="C33" s="32">
        <v>-250</v>
      </c>
      <c r="D33" s="32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20">
        <f t="shared" si="6"/>
        <v>-250</v>
      </c>
      <c r="R33" s="21">
        <f t="shared" si="7"/>
        <v>5.3980716144887272E-4</v>
      </c>
      <c r="T33" s="98">
        <f t="shared" si="0"/>
        <v>-250</v>
      </c>
      <c r="U33" s="98">
        <f t="shared" si="8"/>
        <v>0</v>
      </c>
      <c r="V33" s="98">
        <f t="shared" si="2"/>
        <v>0</v>
      </c>
    </row>
    <row r="34" spans="1:22" x14ac:dyDescent="0.25">
      <c r="A34" s="15" t="s">
        <v>27</v>
      </c>
      <c r="B34" s="32">
        <v>0</v>
      </c>
      <c r="C34" s="32">
        <v>0</v>
      </c>
      <c r="D34" s="32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20">
        <f t="shared" si="6"/>
        <v>0</v>
      </c>
      <c r="R34" s="21">
        <f t="shared" si="7"/>
        <v>0</v>
      </c>
      <c r="T34" s="98">
        <f t="shared" si="0"/>
        <v>0</v>
      </c>
      <c r="U34" s="98">
        <f t="shared" si="8"/>
        <v>0</v>
      </c>
      <c r="V34" s="98">
        <f t="shared" si="2"/>
        <v>0</v>
      </c>
    </row>
    <row r="35" spans="1:22" x14ac:dyDescent="0.25">
      <c r="A35" s="33" t="s">
        <v>28</v>
      </c>
      <c r="B35" s="32">
        <v>-868.27</v>
      </c>
      <c r="C35" s="32">
        <v>-4929.32</v>
      </c>
      <c r="D35" s="32">
        <v>-340.03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20">
        <f t="shared" si="6"/>
        <v>-6137.62</v>
      </c>
      <c r="R35" s="21">
        <f t="shared" si="7"/>
        <v>1.3252524921007319E-2</v>
      </c>
      <c r="T35" s="98">
        <f t="shared" si="0"/>
        <v>-6137.62</v>
      </c>
      <c r="U35" s="98">
        <f t="shared" si="8"/>
        <v>0</v>
      </c>
      <c r="V35" s="98">
        <f t="shared" si="2"/>
        <v>-340.03000000000065</v>
      </c>
    </row>
    <row r="36" spans="1:22" x14ac:dyDescent="0.25">
      <c r="A36" s="15" t="s">
        <v>29</v>
      </c>
      <c r="B36" s="32">
        <v>-945.9</v>
      </c>
      <c r="C36" s="32">
        <v>-36841.5</v>
      </c>
      <c r="D36" s="32">
        <v>-10653.14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20">
        <f t="shared" si="6"/>
        <v>-48440.54</v>
      </c>
      <c r="R36" s="21">
        <f t="shared" si="7"/>
        <v>0.10459420158580231</v>
      </c>
      <c r="T36" s="98">
        <f t="shared" si="0"/>
        <v>-48440.54</v>
      </c>
      <c r="U36" s="98">
        <f t="shared" si="8"/>
        <v>0</v>
      </c>
      <c r="V36" s="98">
        <f t="shared" si="2"/>
        <v>-10653.14</v>
      </c>
    </row>
    <row r="37" spans="1:22" x14ac:dyDescent="0.25">
      <c r="A37" s="15" t="s">
        <v>276</v>
      </c>
      <c r="B37" s="32">
        <v>-3779.05</v>
      </c>
      <c r="C37" s="32">
        <v>-34319.79</v>
      </c>
      <c r="D37" s="32">
        <v>-11756.2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20">
        <f t="shared" si="6"/>
        <v>-49855.040000000008</v>
      </c>
      <c r="R37" s="21">
        <f t="shared" si="7"/>
        <v>0.10764843050528004</v>
      </c>
      <c r="T37" s="98">
        <f t="shared" si="0"/>
        <v>-49855.040000000008</v>
      </c>
      <c r="U37" s="98">
        <f t="shared" si="8"/>
        <v>0</v>
      </c>
      <c r="V37" s="98">
        <f t="shared" si="2"/>
        <v>-11756.200000000004</v>
      </c>
    </row>
    <row r="38" spans="1:22" x14ac:dyDescent="0.25">
      <c r="A38" s="15" t="s">
        <v>97</v>
      </c>
      <c r="B38" s="32">
        <v>0</v>
      </c>
      <c r="C38" s="32">
        <v>0</v>
      </c>
      <c r="D38" s="32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20">
        <f t="shared" si="6"/>
        <v>0</v>
      </c>
      <c r="R38" s="21">
        <f t="shared" si="7"/>
        <v>0</v>
      </c>
      <c r="T38" s="98">
        <f t="shared" si="0"/>
        <v>0</v>
      </c>
      <c r="U38" s="98">
        <f t="shared" si="8"/>
        <v>0</v>
      </c>
      <c r="V38" s="98">
        <f t="shared" si="2"/>
        <v>0</v>
      </c>
    </row>
    <row r="39" spans="1:22" x14ac:dyDescent="0.25">
      <c r="A39" s="15" t="s">
        <v>114</v>
      </c>
      <c r="B39" s="32">
        <v>0</v>
      </c>
      <c r="C39" s="32">
        <v>0</v>
      </c>
      <c r="D39" s="32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20">
        <f t="shared" si="6"/>
        <v>0</v>
      </c>
      <c r="R39" s="21">
        <f t="shared" si="7"/>
        <v>0</v>
      </c>
      <c r="T39" s="98">
        <f t="shared" si="0"/>
        <v>0</v>
      </c>
      <c r="U39" s="98">
        <f t="shared" si="8"/>
        <v>0</v>
      </c>
      <c r="V39" s="98">
        <f t="shared" si="2"/>
        <v>0</v>
      </c>
    </row>
    <row r="40" spans="1:22" x14ac:dyDescent="0.25">
      <c r="A40" s="35" t="s">
        <v>31</v>
      </c>
      <c r="B40" s="36">
        <f>SUM(B14:B39)</f>
        <v>-81795.91</v>
      </c>
      <c r="C40" s="36">
        <f t="shared" ref="C40:H40" si="9">SUM(C14:C39)</f>
        <v>-764725.80999999994</v>
      </c>
      <c r="D40" s="36">
        <f t="shared" si="9"/>
        <v>-276057.45</v>
      </c>
      <c r="E40" s="36">
        <f t="shared" si="9"/>
        <v>0</v>
      </c>
      <c r="F40" s="36">
        <f t="shared" si="9"/>
        <v>0</v>
      </c>
      <c r="G40" s="36">
        <f t="shared" si="9"/>
        <v>0</v>
      </c>
      <c r="H40" s="36">
        <f t="shared" si="9"/>
        <v>0</v>
      </c>
      <c r="I40" s="36">
        <f t="shared" ref="I40:P40" si="10">SUM(I14:I39)</f>
        <v>0</v>
      </c>
      <c r="J40" s="36">
        <f t="shared" si="10"/>
        <v>0</v>
      </c>
      <c r="K40" s="36">
        <f t="shared" si="10"/>
        <v>0</v>
      </c>
      <c r="L40" s="36">
        <f t="shared" si="10"/>
        <v>0</v>
      </c>
      <c r="M40" s="36">
        <f t="shared" si="10"/>
        <v>0</v>
      </c>
      <c r="N40" s="36">
        <f t="shared" si="10"/>
        <v>0</v>
      </c>
      <c r="O40" s="36">
        <f t="shared" si="10"/>
        <v>0</v>
      </c>
      <c r="P40" s="36">
        <f t="shared" si="10"/>
        <v>0</v>
      </c>
      <c r="Q40" s="36">
        <f>SUM(Q14:Q39)</f>
        <v>-1122579.17</v>
      </c>
      <c r="R40" s="21">
        <f t="shared" si="7"/>
        <v>2.4239051010373256</v>
      </c>
      <c r="T40" s="98">
        <f>SUM(B40:P40)</f>
        <v>-1122579.17</v>
      </c>
      <c r="U40" s="98">
        <f t="shared" si="8"/>
        <v>0</v>
      </c>
      <c r="V40" s="98">
        <f t="shared" si="2"/>
        <v>-276057.44999999995</v>
      </c>
    </row>
    <row r="41" spans="1:22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18"/>
      <c r="T41" s="98">
        <f t="shared" si="0"/>
        <v>0</v>
      </c>
      <c r="U41" s="98">
        <f t="shared" si="8"/>
        <v>0</v>
      </c>
      <c r="V41" s="98">
        <f t="shared" si="2"/>
        <v>0</v>
      </c>
    </row>
    <row r="42" spans="1:22" x14ac:dyDescent="0.25">
      <c r="A42" s="39" t="s">
        <v>32</v>
      </c>
      <c r="B42" s="58">
        <f t="shared" ref="B42:P42" si="11">B11+B40</f>
        <v>-81795.91</v>
      </c>
      <c r="C42" s="58">
        <f t="shared" ref="C42:D42" si="12">C11+C40</f>
        <v>-301597.45999999996</v>
      </c>
      <c r="D42" s="58">
        <f t="shared" si="12"/>
        <v>-276057.45</v>
      </c>
      <c r="E42" s="58">
        <f t="shared" si="11"/>
        <v>0</v>
      </c>
      <c r="F42" s="58">
        <f t="shared" si="11"/>
        <v>0</v>
      </c>
      <c r="G42" s="58">
        <f t="shared" si="11"/>
        <v>0</v>
      </c>
      <c r="H42" s="58">
        <f t="shared" si="11"/>
        <v>0</v>
      </c>
      <c r="I42" s="58">
        <f t="shared" si="11"/>
        <v>0</v>
      </c>
      <c r="J42" s="58">
        <f t="shared" si="11"/>
        <v>0</v>
      </c>
      <c r="K42" s="58">
        <f t="shared" si="11"/>
        <v>0</v>
      </c>
      <c r="L42" s="58">
        <f t="shared" si="11"/>
        <v>0</v>
      </c>
      <c r="M42" s="58">
        <f t="shared" si="11"/>
        <v>0</v>
      </c>
      <c r="N42" s="58">
        <f t="shared" si="11"/>
        <v>0</v>
      </c>
      <c r="O42" s="58">
        <f t="shared" si="11"/>
        <v>0</v>
      </c>
      <c r="P42" s="58">
        <f t="shared" si="11"/>
        <v>0</v>
      </c>
      <c r="Q42" s="154">
        <f>SUM(B42:P42)</f>
        <v>-659450.82000000007</v>
      </c>
      <c r="R42" s="21">
        <f t="shared" si="7"/>
        <v>1.423905101037326</v>
      </c>
      <c r="T42" s="98">
        <f>SUM(B42:P42)</f>
        <v>-659450.82000000007</v>
      </c>
      <c r="U42" s="98">
        <f t="shared" si="8"/>
        <v>0</v>
      </c>
      <c r="V42" s="98">
        <f t="shared" si="2"/>
        <v>-276057.45000000007</v>
      </c>
    </row>
    <row r="43" spans="1:22" x14ac:dyDescent="0.25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4"/>
      <c r="T43" s="98">
        <f t="shared" si="0"/>
        <v>0</v>
      </c>
      <c r="U43" s="98">
        <f t="shared" si="8"/>
        <v>0</v>
      </c>
      <c r="V43" s="98">
        <f t="shared" si="2"/>
        <v>0</v>
      </c>
    </row>
    <row r="44" spans="1:22" x14ac:dyDescent="0.25">
      <c r="A44" s="29" t="s">
        <v>56</v>
      </c>
      <c r="B44" s="45">
        <f t="shared" ref="B44:M44" si="13">-B9*13.15%</f>
        <v>0</v>
      </c>
      <c r="C44" s="45">
        <f>-C9*13.15%</f>
        <v>-60901.378024999998</v>
      </c>
      <c r="D44" s="45">
        <f>-D9*13.15%</f>
        <v>0</v>
      </c>
      <c r="E44" s="45">
        <f t="shared" si="13"/>
        <v>0</v>
      </c>
      <c r="F44" s="45">
        <f t="shared" si="13"/>
        <v>0</v>
      </c>
      <c r="G44" s="45">
        <f t="shared" si="13"/>
        <v>0</v>
      </c>
      <c r="H44" s="45">
        <f t="shared" si="13"/>
        <v>0</v>
      </c>
      <c r="I44" s="45">
        <f t="shared" si="13"/>
        <v>0</v>
      </c>
      <c r="J44" s="45">
        <f t="shared" si="13"/>
        <v>0</v>
      </c>
      <c r="K44" s="45">
        <f t="shared" si="13"/>
        <v>0</v>
      </c>
      <c r="L44" s="45">
        <f t="shared" si="13"/>
        <v>0</v>
      </c>
      <c r="M44" s="45">
        <f t="shared" si="13"/>
        <v>0</v>
      </c>
      <c r="N44" s="45">
        <f>-N9*13.15%</f>
        <v>0</v>
      </c>
      <c r="O44" s="45">
        <f t="shared" ref="O44:P44" si="14">-O9*13.15%</f>
        <v>0</v>
      </c>
      <c r="P44" s="45">
        <f t="shared" si="14"/>
        <v>0</v>
      </c>
      <c r="Q44" s="20">
        <f t="shared" ref="Q44" si="15">SUM(B44:P44)</f>
        <v>-60901.378024999998</v>
      </c>
      <c r="R44" s="21">
        <f t="shared" si="7"/>
        <v>0.13150000000000001</v>
      </c>
      <c r="T44" s="98">
        <f>SUM(B44:P44)</f>
        <v>-60901.378024999998</v>
      </c>
      <c r="U44" s="98">
        <f t="shared" si="8"/>
        <v>0</v>
      </c>
      <c r="V44" s="98">
        <f t="shared" si="2"/>
        <v>0</v>
      </c>
    </row>
    <row r="45" spans="1:22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4"/>
      <c r="T45" s="98">
        <f t="shared" si="0"/>
        <v>0</v>
      </c>
      <c r="U45" s="98">
        <f t="shared" si="8"/>
        <v>0</v>
      </c>
      <c r="V45" s="98">
        <f t="shared" si="2"/>
        <v>0</v>
      </c>
    </row>
    <row r="46" spans="1:22" x14ac:dyDescent="0.25">
      <c r="A46" s="29" t="s">
        <v>33</v>
      </c>
      <c r="B46" s="45">
        <f t="shared" ref="B46:P46" si="16">-B9*1.22%</f>
        <v>0</v>
      </c>
      <c r="C46" s="45">
        <f t="shared" ref="C46:D46" si="17">-C9*1.22%</f>
        <v>-5650.1658699999989</v>
      </c>
      <c r="D46" s="45">
        <f t="shared" si="17"/>
        <v>0</v>
      </c>
      <c r="E46" s="45">
        <f t="shared" si="16"/>
        <v>0</v>
      </c>
      <c r="F46" s="45">
        <f t="shared" si="16"/>
        <v>0</v>
      </c>
      <c r="G46" s="45">
        <f t="shared" si="16"/>
        <v>0</v>
      </c>
      <c r="H46" s="45">
        <f t="shared" si="16"/>
        <v>0</v>
      </c>
      <c r="I46" s="45">
        <f t="shared" si="16"/>
        <v>0</v>
      </c>
      <c r="J46" s="45">
        <f t="shared" si="16"/>
        <v>0</v>
      </c>
      <c r="K46" s="45">
        <f t="shared" si="16"/>
        <v>0</v>
      </c>
      <c r="L46" s="45">
        <f t="shared" si="16"/>
        <v>0</v>
      </c>
      <c r="M46" s="45">
        <f t="shared" si="16"/>
        <v>0</v>
      </c>
      <c r="N46" s="45">
        <f t="shared" si="16"/>
        <v>0</v>
      </c>
      <c r="O46" s="45">
        <f t="shared" si="16"/>
        <v>0</v>
      </c>
      <c r="P46" s="45">
        <f t="shared" si="16"/>
        <v>0</v>
      </c>
      <c r="Q46" s="20">
        <f t="shared" ref="Q46" si="18">SUM(B46:P46)</f>
        <v>-5650.1658699999989</v>
      </c>
      <c r="R46" s="21">
        <f t="shared" si="7"/>
        <v>1.2199999999999999E-2</v>
      </c>
      <c r="T46" s="98">
        <f t="shared" si="0"/>
        <v>-5650.1658699999989</v>
      </c>
      <c r="U46" s="98">
        <f t="shared" si="8"/>
        <v>0</v>
      </c>
      <c r="V46" s="98">
        <f t="shared" si="2"/>
        <v>0</v>
      </c>
    </row>
    <row r="47" spans="1:22" x14ac:dyDescent="0.2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4"/>
      <c r="T47" s="98">
        <f t="shared" si="0"/>
        <v>0</v>
      </c>
      <c r="U47" s="98">
        <f t="shared" si="8"/>
        <v>0</v>
      </c>
      <c r="V47" s="98">
        <f t="shared" si="2"/>
        <v>0</v>
      </c>
    </row>
    <row r="48" spans="1:22" x14ac:dyDescent="0.25">
      <c r="A48" s="48" t="s">
        <v>57</v>
      </c>
      <c r="B48" s="49">
        <f t="shared" ref="B48:O48" si="19">B40*5.56%</f>
        <v>-4547.8525959999997</v>
      </c>
      <c r="C48" s="49">
        <f t="shared" ref="C48:D48" si="20">C40*5.56%</f>
        <v>-42518.755035999995</v>
      </c>
      <c r="D48" s="49">
        <f t="shared" si="20"/>
        <v>-15348.79422</v>
      </c>
      <c r="E48" s="49">
        <f t="shared" si="19"/>
        <v>0</v>
      </c>
      <c r="F48" s="49">
        <f t="shared" si="19"/>
        <v>0</v>
      </c>
      <c r="G48" s="49">
        <f t="shared" si="19"/>
        <v>0</v>
      </c>
      <c r="H48" s="49">
        <f t="shared" si="19"/>
        <v>0</v>
      </c>
      <c r="I48" s="49">
        <f>I40*5.56%</f>
        <v>0</v>
      </c>
      <c r="J48" s="49">
        <f t="shared" si="19"/>
        <v>0</v>
      </c>
      <c r="K48" s="49">
        <f t="shared" si="19"/>
        <v>0</v>
      </c>
      <c r="L48" s="49">
        <f t="shared" si="19"/>
        <v>0</v>
      </c>
      <c r="M48" s="49">
        <f t="shared" si="19"/>
        <v>0</v>
      </c>
      <c r="N48" s="49">
        <f t="shared" si="19"/>
        <v>0</v>
      </c>
      <c r="O48" s="49">
        <f t="shared" si="19"/>
        <v>0</v>
      </c>
      <c r="P48" s="49">
        <f>P40*5.56%</f>
        <v>0</v>
      </c>
      <c r="Q48" s="20">
        <f t="shared" ref="Q48" si="21">SUM(B48:P48)</f>
        <v>-62415.401851999995</v>
      </c>
      <c r="R48" s="21">
        <f t="shared" si="7"/>
        <v>0.13476912361767532</v>
      </c>
      <c r="T48" s="98">
        <f>SUM(B48:P48)</f>
        <v>-62415.401851999995</v>
      </c>
      <c r="U48" s="98">
        <f t="shared" si="8"/>
        <v>0</v>
      </c>
      <c r="V48" s="98">
        <f t="shared" si="2"/>
        <v>-15348.794220000003</v>
      </c>
    </row>
    <row r="49" spans="1:22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4"/>
      <c r="T49" s="98">
        <f t="shared" si="0"/>
        <v>0</v>
      </c>
      <c r="U49" s="98">
        <f t="shared" si="8"/>
        <v>0</v>
      </c>
      <c r="V49" s="98">
        <f t="shared" si="2"/>
        <v>0</v>
      </c>
    </row>
    <row r="50" spans="1:22" x14ac:dyDescent="0.25">
      <c r="A50" s="48" t="s">
        <v>58</v>
      </c>
      <c r="B50" s="49">
        <f t="shared" ref="B50:M50" si="22">B40*0.01%</f>
        <v>-8.1795910000000003</v>
      </c>
      <c r="C50" s="49">
        <f t="shared" ref="C50:D50" si="23">C40*0.01%</f>
        <v>-76.472580999999991</v>
      </c>
      <c r="D50" s="49">
        <f t="shared" si="23"/>
        <v>-27.605745000000002</v>
      </c>
      <c r="E50" s="49">
        <f t="shared" si="22"/>
        <v>0</v>
      </c>
      <c r="F50" s="49">
        <f t="shared" si="22"/>
        <v>0</v>
      </c>
      <c r="G50" s="49">
        <f t="shared" si="22"/>
        <v>0</v>
      </c>
      <c r="H50" s="49">
        <f t="shared" si="22"/>
        <v>0</v>
      </c>
      <c r="I50" s="49">
        <f t="shared" si="22"/>
        <v>0</v>
      </c>
      <c r="J50" s="49">
        <f t="shared" si="22"/>
        <v>0</v>
      </c>
      <c r="K50" s="49">
        <f t="shared" si="22"/>
        <v>0</v>
      </c>
      <c r="L50" s="49">
        <f t="shared" si="22"/>
        <v>0</v>
      </c>
      <c r="M50" s="49">
        <f t="shared" si="22"/>
        <v>0</v>
      </c>
      <c r="N50" s="49">
        <f>N40*0.01%</f>
        <v>0</v>
      </c>
      <c r="O50" s="49">
        <f t="shared" ref="O50" si="24">O40*0.01%</f>
        <v>0</v>
      </c>
      <c r="P50" s="49">
        <f>P40*0.01%</f>
        <v>0</v>
      </c>
      <c r="Q50" s="20">
        <f t="shared" ref="Q50" si="25">SUM(B50:P50)</f>
        <v>-112.25791699999999</v>
      </c>
      <c r="R50" s="21">
        <f t="shared" si="7"/>
        <v>2.4239051010373257E-4</v>
      </c>
      <c r="T50" s="98">
        <f>SUM(B50:P50)</f>
        <v>-112.25791699999999</v>
      </c>
      <c r="U50" s="98">
        <f t="shared" si="8"/>
        <v>0</v>
      </c>
      <c r="V50" s="98">
        <f t="shared" si="2"/>
        <v>-27.605744999999999</v>
      </c>
    </row>
    <row r="51" spans="1:22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4"/>
      <c r="T51" s="98">
        <f t="shared" si="0"/>
        <v>0</v>
      </c>
      <c r="U51" s="98">
        <f t="shared" si="8"/>
        <v>0</v>
      </c>
      <c r="V51" s="98">
        <f t="shared" si="2"/>
        <v>0</v>
      </c>
    </row>
    <row r="52" spans="1:22" x14ac:dyDescent="0.25">
      <c r="A52" s="39" t="s">
        <v>115</v>
      </c>
      <c r="B52" s="58">
        <f t="shared" ref="B52:G52" si="26">B42+B48+B50+B44+B46</f>
        <v>-86351.942186999993</v>
      </c>
      <c r="C52" s="58">
        <f t="shared" si="26"/>
        <v>-410744.23151199997</v>
      </c>
      <c r="D52" s="58">
        <f t="shared" si="26"/>
        <v>-291433.849965</v>
      </c>
      <c r="E52" s="58">
        <f t="shared" si="26"/>
        <v>0</v>
      </c>
      <c r="F52" s="58">
        <f t="shared" si="26"/>
        <v>0</v>
      </c>
      <c r="G52" s="58">
        <f t="shared" si="26"/>
        <v>0</v>
      </c>
      <c r="H52" s="58">
        <f t="shared" ref="H52:O52" si="27">H42+H48+H50+H44+H46</f>
        <v>0</v>
      </c>
      <c r="I52" s="58">
        <f t="shared" si="27"/>
        <v>0</v>
      </c>
      <c r="J52" s="58">
        <f t="shared" si="27"/>
        <v>0</v>
      </c>
      <c r="K52" s="58">
        <f t="shared" si="27"/>
        <v>0</v>
      </c>
      <c r="L52" s="58">
        <f t="shared" si="27"/>
        <v>0</v>
      </c>
      <c r="M52" s="58">
        <f t="shared" si="27"/>
        <v>0</v>
      </c>
      <c r="N52" s="58">
        <f t="shared" si="27"/>
        <v>0</v>
      </c>
      <c r="O52" s="58">
        <f t="shared" si="27"/>
        <v>0</v>
      </c>
      <c r="P52" s="58">
        <f>P42+P48+P50+P44+P46</f>
        <v>0</v>
      </c>
      <c r="Q52" s="154">
        <f>SUM(B52:P52)</f>
        <v>-788530.02366399998</v>
      </c>
      <c r="R52" s="21">
        <f t="shared" si="7"/>
        <v>1.702616615165105</v>
      </c>
      <c r="T52" s="98">
        <f>SUM(B52:P52)</f>
        <v>-788530.02366399998</v>
      </c>
      <c r="U52" s="98">
        <f t="shared" si="8"/>
        <v>0</v>
      </c>
      <c r="V52" s="98">
        <f t="shared" si="2"/>
        <v>-291433.84996500006</v>
      </c>
    </row>
    <row r="53" spans="1:22" x14ac:dyDescent="0.2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</row>
    <row r="54" spans="1:22" x14ac:dyDescent="0.25">
      <c r="A54" s="52" t="s">
        <v>35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53"/>
      <c r="R54" s="50"/>
    </row>
    <row r="55" spans="1:22" x14ac:dyDescent="0.25">
      <c r="A55" s="8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</row>
    <row r="56" spans="1:22" x14ac:dyDescent="0.25">
      <c r="A56" s="54" t="s">
        <v>36</v>
      </c>
      <c r="B56" s="50"/>
      <c r="C56" s="50"/>
      <c r="D56" s="50"/>
      <c r="E56" s="83"/>
      <c r="R56" s="89">
        <v>46053</v>
      </c>
    </row>
    <row r="57" spans="1:22" x14ac:dyDescent="0.25">
      <c r="B57" s="98">
        <f>B11+B40+B44+B46+B48+B50</f>
        <v>-86351.942186999993</v>
      </c>
      <c r="C57" s="98">
        <f>C11+C40+C44+C46+C48+C50</f>
        <v>-410744.23151199997</v>
      </c>
      <c r="D57" s="98">
        <f>D11+D40+D44+D46+D48+D50</f>
        <v>-291433.849965</v>
      </c>
      <c r="E57" s="98">
        <f>E11+E40+E44+E46+E48+E50</f>
        <v>0</v>
      </c>
      <c r="F57" s="98">
        <f t="shared" ref="F57:P57" si="28">F11+F40+F44+F46+F48+F50</f>
        <v>0</v>
      </c>
      <c r="G57" s="98">
        <f t="shared" si="28"/>
        <v>0</v>
      </c>
      <c r="H57" s="98">
        <f t="shared" si="28"/>
        <v>0</v>
      </c>
      <c r="I57" s="98">
        <f t="shared" si="28"/>
        <v>0</v>
      </c>
      <c r="J57" s="98">
        <f t="shared" si="28"/>
        <v>0</v>
      </c>
      <c r="K57" s="98">
        <f t="shared" si="28"/>
        <v>0</v>
      </c>
      <c r="L57" s="98">
        <f t="shared" si="28"/>
        <v>0</v>
      </c>
      <c r="M57" s="98">
        <f t="shared" si="28"/>
        <v>0</v>
      </c>
      <c r="N57" s="98">
        <f t="shared" si="28"/>
        <v>0</v>
      </c>
      <c r="O57" s="98">
        <f t="shared" si="28"/>
        <v>0</v>
      </c>
      <c r="P57" s="98">
        <f t="shared" si="28"/>
        <v>0</v>
      </c>
      <c r="Q57" s="98">
        <f>Q11+Q40+Q44+Q46+Q48+Q50</f>
        <v>-788530.02366399998</v>
      </c>
    </row>
    <row r="59" spans="1:22" x14ac:dyDescent="0.25">
      <c r="B59" s="98">
        <f>B57-B52</f>
        <v>0</v>
      </c>
      <c r="C59" s="98">
        <f>C57-C52</f>
        <v>0</v>
      </c>
      <c r="D59" s="98">
        <f>D57-D52</f>
        <v>0</v>
      </c>
      <c r="E59" s="98">
        <f t="shared" ref="E59:Q59" si="29">E57-E52</f>
        <v>0</v>
      </c>
      <c r="F59" s="98">
        <f t="shared" si="29"/>
        <v>0</v>
      </c>
      <c r="G59" s="98">
        <f t="shared" si="29"/>
        <v>0</v>
      </c>
      <c r="H59" s="98">
        <f t="shared" si="29"/>
        <v>0</v>
      </c>
      <c r="I59" s="98">
        <f t="shared" si="29"/>
        <v>0</v>
      </c>
      <c r="J59" s="98">
        <f t="shared" si="29"/>
        <v>0</v>
      </c>
      <c r="K59" s="98">
        <f t="shared" si="29"/>
        <v>0</v>
      </c>
      <c r="L59" s="98">
        <f t="shared" si="29"/>
        <v>0</v>
      </c>
      <c r="M59" s="98">
        <f t="shared" si="29"/>
        <v>0</v>
      </c>
      <c r="N59" s="98">
        <f t="shared" si="29"/>
        <v>0</v>
      </c>
      <c r="O59" s="98">
        <f t="shared" si="29"/>
        <v>0</v>
      </c>
      <c r="P59" s="98">
        <f t="shared" si="29"/>
        <v>0</v>
      </c>
      <c r="Q59" s="98">
        <f t="shared" si="29"/>
        <v>0</v>
      </c>
    </row>
  </sheetData>
  <mergeCells count="3">
    <mergeCell ref="A1:R1"/>
    <mergeCell ref="A3:R3"/>
    <mergeCell ref="A5:R5"/>
  </mergeCells>
  <phoneticPr fontId="12" type="noConversion"/>
  <conditionalFormatting sqref="H52">
    <cfRule type="cellIs" dxfId="63" priority="5" operator="lessThan">
      <formula>0</formula>
    </cfRule>
    <cfRule type="cellIs" dxfId="62" priority="6" operator="greaterThan">
      <formula>0</formula>
    </cfRule>
  </conditionalFormatting>
  <conditionalFormatting sqref="J52:K52">
    <cfRule type="cellIs" dxfId="61" priority="3" operator="lessThan">
      <formula>0</formula>
    </cfRule>
    <cfRule type="cellIs" dxfId="60" priority="4" operator="greaterThan">
      <formula>0</formula>
    </cfRule>
  </conditionalFormatting>
  <conditionalFormatting sqref="M52">
    <cfRule type="cellIs" dxfId="59" priority="1" operator="lessThan">
      <formula>0</formula>
    </cfRule>
    <cfRule type="cellIs" dxfId="58" priority="2" operator="greaterThan">
      <formula>0</formula>
    </cfRule>
  </conditionalFormatting>
  <printOptions horizontalCentered="1" verticalCentered="1"/>
  <pageMargins left="0" right="0" top="0.19685039370078741" bottom="0" header="0.19685039370078741" footer="0"/>
  <pageSetup paperSize="9" scale="69" orientation="landscape" r:id="rId1"/>
  <headerFooter>
    <oddHeader>&amp;C&amp;"-,Negrito"&amp;14               BELA NOVA CONSTRUTORA LTDA</oddHeader>
  </headerFooter>
  <colBreaks count="1" manualBreakCount="1">
    <brk id="18" max="1048575" man="1"/>
  </colBreaks>
  <ignoredErrors>
    <ignoredError sqref="T5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:S59"/>
  <sheetViews>
    <sheetView zoomScale="85" zoomScaleNormal="85" workbookViewId="0">
      <pane xSplit="1" topLeftCell="B1" activePane="topRight" state="frozen"/>
      <selection activeCell="A31" sqref="A31"/>
      <selection pane="topRight" activeCell="D13" sqref="D13"/>
    </sheetView>
  </sheetViews>
  <sheetFormatPr defaultRowHeight="15" x14ac:dyDescent="0.25"/>
  <cols>
    <col min="1" max="1" width="61.5703125" bestFit="1" customWidth="1"/>
    <col min="2" max="2" width="16.7109375" customWidth="1"/>
    <col min="3" max="3" width="15" bestFit="1" customWidth="1"/>
    <col min="4" max="4" width="16.28515625" customWidth="1"/>
    <col min="5" max="5" width="15" customWidth="1"/>
    <col min="6" max="6" width="14.5703125" customWidth="1"/>
    <col min="7" max="7" width="15.5703125" customWidth="1"/>
    <col min="8" max="8" width="18" customWidth="1"/>
    <col min="9" max="9" width="14.42578125" hidden="1" customWidth="1"/>
    <col min="10" max="10" width="14.140625" hidden="1" customWidth="1"/>
    <col min="11" max="11" width="16.140625" hidden="1" customWidth="1"/>
    <col min="12" max="12" width="14.7109375" hidden="1" customWidth="1"/>
    <col min="13" max="13" width="16.85546875" hidden="1" customWidth="1"/>
    <col min="14" max="14" width="16.7109375" hidden="1" customWidth="1"/>
    <col min="15" max="15" width="16.140625" bestFit="1" customWidth="1"/>
    <col min="16" max="16" width="10.85546875" bestFit="1" customWidth="1"/>
    <col min="17" max="17" width="5.42578125" customWidth="1"/>
    <col min="18" max="18" width="15" bestFit="1" customWidth="1"/>
    <col min="19" max="19" width="12.140625" bestFit="1" customWidth="1"/>
  </cols>
  <sheetData>
    <row r="1" spans="1:19" ht="15.75" customHeight="1" x14ac:dyDescent="0.25">
      <c r="A1" s="209" t="s">
        <v>178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</row>
    <row r="2" spans="1:19" ht="9" customHeight="1" x14ac:dyDescent="0.25">
      <c r="A2" s="71"/>
      <c r="B2" s="71"/>
      <c r="C2" s="10"/>
    </row>
    <row r="3" spans="1:19" ht="15.75" customHeight="1" x14ac:dyDescent="0.25">
      <c r="A3" s="209" t="s">
        <v>179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</row>
    <row r="4" spans="1:19" ht="10.5" customHeight="1" x14ac:dyDescent="0.25">
      <c r="A4" s="71"/>
      <c r="B4" s="71"/>
      <c r="C4" s="10"/>
    </row>
    <row r="5" spans="1:19" ht="15.75" customHeight="1" x14ac:dyDescent="0.25">
      <c r="A5" s="209" t="s">
        <v>266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9" x14ac:dyDescent="0.25">
      <c r="A6" s="10"/>
      <c r="B6" s="10"/>
      <c r="C6" s="10"/>
    </row>
    <row r="7" spans="1:19" x14ac:dyDescent="0.25">
      <c r="A7" s="12"/>
      <c r="B7" s="60" t="s">
        <v>221</v>
      </c>
      <c r="C7" s="60" t="s">
        <v>209</v>
      </c>
      <c r="D7" s="60" t="s">
        <v>210</v>
      </c>
      <c r="E7" s="60" t="s">
        <v>211</v>
      </c>
      <c r="F7" s="60" t="s">
        <v>212</v>
      </c>
      <c r="G7" s="60" t="s">
        <v>213</v>
      </c>
      <c r="H7" s="60" t="s">
        <v>214</v>
      </c>
      <c r="I7" s="60" t="s">
        <v>215</v>
      </c>
      <c r="J7" s="60" t="s">
        <v>216</v>
      </c>
      <c r="K7" s="60" t="s">
        <v>217</v>
      </c>
      <c r="L7" s="60" t="s">
        <v>218</v>
      </c>
      <c r="M7" s="60" t="s">
        <v>219</v>
      </c>
      <c r="N7" s="60" t="s">
        <v>220</v>
      </c>
      <c r="O7" s="13" t="s">
        <v>1</v>
      </c>
      <c r="P7" s="14" t="s">
        <v>2</v>
      </c>
    </row>
    <row r="8" spans="1:19" x14ac:dyDescent="0.25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  <c r="P8" s="18"/>
    </row>
    <row r="9" spans="1:19" x14ac:dyDescent="0.25">
      <c r="A9" s="78" t="s">
        <v>4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20">
        <v>0</v>
      </c>
      <c r="H9" s="20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20">
        <f>B9+C9+D9+E9+F9+G9+H9+I9+J9+K9+L9+M9+N9</f>
        <v>0</v>
      </c>
      <c r="P9" s="21">
        <v>1</v>
      </c>
      <c r="R9" s="98">
        <f t="shared" ref="R9:R52" si="0">SUM(B9:N9)</f>
        <v>0</v>
      </c>
      <c r="S9" s="98">
        <f>O9-R9</f>
        <v>0</v>
      </c>
    </row>
    <row r="10" spans="1:19" x14ac:dyDescent="0.25">
      <c r="A10" s="15" t="s">
        <v>5</v>
      </c>
      <c r="B10" s="19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20">
        <f>B10+C10+D10+E10+F10+G10+H10+I10+J10+K10+L10+M10+N10</f>
        <v>0</v>
      </c>
      <c r="P10" s="21"/>
      <c r="R10" s="98">
        <f t="shared" si="0"/>
        <v>0</v>
      </c>
      <c r="S10" s="98">
        <f t="shared" ref="S10:S11" si="1">O10-R10</f>
        <v>0</v>
      </c>
    </row>
    <row r="11" spans="1:19" x14ac:dyDescent="0.25">
      <c r="A11" s="23" t="s">
        <v>6</v>
      </c>
      <c r="B11" s="24">
        <f t="shared" ref="B11" si="2">SUM(B9:B10)</f>
        <v>0</v>
      </c>
      <c r="C11" s="24">
        <f t="shared" ref="C11:E11" si="3">SUM(C9:C10)</f>
        <v>0</v>
      </c>
      <c r="D11" s="24">
        <f t="shared" si="3"/>
        <v>0</v>
      </c>
      <c r="E11" s="24">
        <f t="shared" si="3"/>
        <v>0</v>
      </c>
      <c r="F11" s="24">
        <f t="shared" ref="F11:N11" si="4">SUM(F9:F10)</f>
        <v>0</v>
      </c>
      <c r="G11" s="24">
        <f t="shared" si="4"/>
        <v>0</v>
      </c>
      <c r="H11" s="24">
        <f t="shared" si="4"/>
        <v>0</v>
      </c>
      <c r="I11" s="24">
        <f t="shared" si="4"/>
        <v>0</v>
      </c>
      <c r="J11" s="24">
        <f t="shared" si="4"/>
        <v>0</v>
      </c>
      <c r="K11" s="24">
        <f t="shared" si="4"/>
        <v>0</v>
      </c>
      <c r="L11" s="24">
        <f t="shared" si="4"/>
        <v>0</v>
      </c>
      <c r="M11" s="24">
        <f t="shared" si="4"/>
        <v>0</v>
      </c>
      <c r="N11" s="24">
        <f t="shared" si="4"/>
        <v>0</v>
      </c>
      <c r="O11" s="24">
        <f>SUM(O9:O10)</f>
        <v>0</v>
      </c>
      <c r="P11" s="21">
        <v>1</v>
      </c>
      <c r="R11" s="98">
        <f t="shared" si="0"/>
        <v>0</v>
      </c>
      <c r="S11" s="98">
        <f t="shared" si="1"/>
        <v>0</v>
      </c>
    </row>
    <row r="12" spans="1:19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/>
      <c r="P12" s="28"/>
      <c r="R12" s="98">
        <f t="shared" si="0"/>
        <v>0</v>
      </c>
      <c r="S12" s="98"/>
    </row>
    <row r="13" spans="1:19" x14ac:dyDescent="0.25">
      <c r="A13" s="29" t="s">
        <v>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  <c r="P13" s="31"/>
      <c r="R13" s="98">
        <f t="shared" si="0"/>
        <v>0</v>
      </c>
      <c r="S13" s="98"/>
    </row>
    <row r="14" spans="1:19" x14ac:dyDescent="0.25">
      <c r="A14" s="15" t="s">
        <v>8</v>
      </c>
      <c r="B14" s="32">
        <v>-10248.06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20">
        <f>B14+C14+D14+E14+F14+G14+H14+I14+J14+K14+L14+M14+N14</f>
        <v>-10248.06</v>
      </c>
      <c r="P14" s="21"/>
      <c r="R14" s="98">
        <f t="shared" si="0"/>
        <v>-10248.06</v>
      </c>
      <c r="S14" s="98">
        <f>O14-R14</f>
        <v>0</v>
      </c>
    </row>
    <row r="15" spans="1:19" x14ac:dyDescent="0.25">
      <c r="A15" s="33" t="s">
        <v>9</v>
      </c>
      <c r="B15" s="32">
        <v>0</v>
      </c>
      <c r="C15" s="76">
        <v>0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20">
        <f t="shared" ref="O15:O39" si="5">B15+C15+D15+E15+F15+G15+H15+I15+J15+K15+L15+M15+N15</f>
        <v>0</v>
      </c>
      <c r="P15" s="21"/>
      <c r="R15" s="98">
        <f t="shared" si="0"/>
        <v>0</v>
      </c>
      <c r="S15" s="98">
        <f t="shared" ref="S15:S52" si="6">O15-R15</f>
        <v>0</v>
      </c>
    </row>
    <row r="16" spans="1:19" x14ac:dyDescent="0.25">
      <c r="A16" s="15" t="s">
        <v>10</v>
      </c>
      <c r="B16" s="32">
        <v>0</v>
      </c>
      <c r="C16" s="76">
        <v>0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20">
        <f t="shared" si="5"/>
        <v>0</v>
      </c>
      <c r="P16" s="21"/>
      <c r="R16" s="98">
        <f t="shared" si="0"/>
        <v>0</v>
      </c>
      <c r="S16" s="98">
        <f t="shared" si="6"/>
        <v>0</v>
      </c>
    </row>
    <row r="17" spans="1:19" x14ac:dyDescent="0.25">
      <c r="A17" s="33" t="s">
        <v>11</v>
      </c>
      <c r="B17" s="32">
        <v>-7051.33</v>
      </c>
      <c r="C17" s="76">
        <v>0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20">
        <f t="shared" si="5"/>
        <v>-7051.33</v>
      </c>
      <c r="P17" s="21"/>
      <c r="R17" s="98">
        <f t="shared" si="0"/>
        <v>-7051.33</v>
      </c>
      <c r="S17" s="98">
        <f t="shared" si="6"/>
        <v>0</v>
      </c>
    </row>
    <row r="18" spans="1:19" x14ac:dyDescent="0.25">
      <c r="A18" s="15" t="s">
        <v>12</v>
      </c>
      <c r="B18" s="32">
        <v>-5382.21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20">
        <f t="shared" si="5"/>
        <v>-5382.21</v>
      </c>
      <c r="P18" s="21"/>
      <c r="R18" s="98">
        <f t="shared" si="0"/>
        <v>-5382.21</v>
      </c>
      <c r="S18" s="98">
        <f t="shared" si="6"/>
        <v>0</v>
      </c>
    </row>
    <row r="19" spans="1:19" x14ac:dyDescent="0.25">
      <c r="A19" s="15" t="s">
        <v>13</v>
      </c>
      <c r="B19" s="32">
        <v>-4509.6000000000004</v>
      </c>
      <c r="C19" s="76">
        <v>0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20">
        <f t="shared" si="5"/>
        <v>-4509.6000000000004</v>
      </c>
      <c r="P19" s="21"/>
      <c r="R19" s="98">
        <f t="shared" si="0"/>
        <v>-4509.6000000000004</v>
      </c>
      <c r="S19" s="98">
        <f t="shared" si="6"/>
        <v>0</v>
      </c>
    </row>
    <row r="20" spans="1:19" x14ac:dyDescent="0.25">
      <c r="A20" s="15" t="s">
        <v>14</v>
      </c>
      <c r="B20" s="32">
        <v>-7313.09</v>
      </c>
      <c r="C20" s="76">
        <v>0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20">
        <f t="shared" si="5"/>
        <v>-7313.09</v>
      </c>
      <c r="P20" s="21"/>
      <c r="R20" s="98">
        <f t="shared" si="0"/>
        <v>-7313.09</v>
      </c>
      <c r="S20" s="98">
        <f t="shared" si="6"/>
        <v>0</v>
      </c>
    </row>
    <row r="21" spans="1:19" x14ac:dyDescent="0.25">
      <c r="A21" s="15" t="s">
        <v>15</v>
      </c>
      <c r="B21" s="32">
        <v>0</v>
      </c>
      <c r="C21" s="76">
        <v>0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20">
        <f t="shared" si="5"/>
        <v>0</v>
      </c>
      <c r="P21" s="21"/>
      <c r="R21" s="98">
        <f t="shared" si="0"/>
        <v>0</v>
      </c>
      <c r="S21" s="98">
        <f t="shared" si="6"/>
        <v>0</v>
      </c>
    </row>
    <row r="22" spans="1:19" x14ac:dyDescent="0.25">
      <c r="A22" s="15" t="s">
        <v>16</v>
      </c>
      <c r="B22" s="32">
        <v>0</v>
      </c>
      <c r="C22" s="76">
        <v>0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20">
        <f t="shared" si="5"/>
        <v>0</v>
      </c>
      <c r="P22" s="21"/>
      <c r="R22" s="98">
        <f t="shared" si="0"/>
        <v>0</v>
      </c>
      <c r="S22" s="98">
        <f t="shared" si="6"/>
        <v>0</v>
      </c>
    </row>
    <row r="23" spans="1:19" x14ac:dyDescent="0.25">
      <c r="A23" s="15" t="s">
        <v>17</v>
      </c>
      <c r="B23" s="32">
        <v>-5010.18</v>
      </c>
      <c r="C23" s="76">
        <v>0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20">
        <f t="shared" si="5"/>
        <v>-5010.18</v>
      </c>
      <c r="P23" s="21"/>
      <c r="R23" s="98">
        <f t="shared" si="0"/>
        <v>-5010.18</v>
      </c>
      <c r="S23" s="98">
        <f t="shared" si="6"/>
        <v>0</v>
      </c>
    </row>
    <row r="24" spans="1:19" x14ac:dyDescent="0.25">
      <c r="A24" s="15" t="s">
        <v>18</v>
      </c>
      <c r="B24" s="32">
        <v>0</v>
      </c>
      <c r="C24" s="76">
        <v>0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20">
        <f t="shared" si="5"/>
        <v>0</v>
      </c>
      <c r="P24" s="21"/>
      <c r="R24" s="98">
        <f t="shared" si="0"/>
        <v>0</v>
      </c>
      <c r="S24" s="98">
        <f t="shared" si="6"/>
        <v>0</v>
      </c>
    </row>
    <row r="25" spans="1:19" x14ac:dyDescent="0.25">
      <c r="A25" s="15" t="s">
        <v>19</v>
      </c>
      <c r="B25" s="32">
        <v>-15746.19</v>
      </c>
      <c r="C25" s="76">
        <v>0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20">
        <f t="shared" si="5"/>
        <v>-15746.19</v>
      </c>
      <c r="P25" s="21"/>
      <c r="Q25" s="86"/>
      <c r="R25" s="98">
        <f t="shared" si="0"/>
        <v>-15746.19</v>
      </c>
      <c r="S25" s="98">
        <f t="shared" si="6"/>
        <v>0</v>
      </c>
    </row>
    <row r="26" spans="1:19" x14ac:dyDescent="0.25">
      <c r="A26" s="15" t="s">
        <v>20</v>
      </c>
      <c r="B26" s="32">
        <v>-280</v>
      </c>
      <c r="C26" s="76">
        <v>0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20">
        <f t="shared" si="5"/>
        <v>-280</v>
      </c>
      <c r="P26" s="21"/>
      <c r="R26" s="98">
        <f t="shared" si="0"/>
        <v>-280</v>
      </c>
      <c r="S26" s="98">
        <f t="shared" si="6"/>
        <v>0</v>
      </c>
    </row>
    <row r="27" spans="1:19" x14ac:dyDescent="0.25">
      <c r="A27" s="15" t="s">
        <v>59</v>
      </c>
      <c r="B27" s="32">
        <v>0</v>
      </c>
      <c r="C27" s="76">
        <v>0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20">
        <f t="shared" si="5"/>
        <v>0</v>
      </c>
      <c r="P27" s="21"/>
      <c r="R27" s="98">
        <f t="shared" si="0"/>
        <v>0</v>
      </c>
      <c r="S27" s="98">
        <f t="shared" si="6"/>
        <v>0</v>
      </c>
    </row>
    <row r="28" spans="1:19" x14ac:dyDescent="0.25">
      <c r="A28" s="15" t="s">
        <v>21</v>
      </c>
      <c r="B28" s="32">
        <v>0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20">
        <f t="shared" si="5"/>
        <v>0</v>
      </c>
      <c r="P28" s="21"/>
      <c r="R28" s="98">
        <f t="shared" si="0"/>
        <v>0</v>
      </c>
      <c r="S28" s="98">
        <f t="shared" si="6"/>
        <v>0</v>
      </c>
    </row>
    <row r="29" spans="1:19" x14ac:dyDescent="0.25">
      <c r="A29" s="15" t="s">
        <v>22</v>
      </c>
      <c r="B29" s="32">
        <v>0</v>
      </c>
      <c r="C29" s="76">
        <v>0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20">
        <f t="shared" si="5"/>
        <v>0</v>
      </c>
      <c r="P29" s="21"/>
      <c r="R29" s="98">
        <f t="shared" si="0"/>
        <v>0</v>
      </c>
      <c r="S29" s="98">
        <f t="shared" si="6"/>
        <v>0</v>
      </c>
    </row>
    <row r="30" spans="1:19" x14ac:dyDescent="0.25">
      <c r="A30" s="33" t="s">
        <v>23</v>
      </c>
      <c r="B30" s="32">
        <v>-5738.77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20">
        <f t="shared" si="5"/>
        <v>-5738.77</v>
      </c>
      <c r="P30" s="21"/>
      <c r="R30" s="98">
        <f t="shared" si="0"/>
        <v>-5738.77</v>
      </c>
      <c r="S30" s="98">
        <f t="shared" si="6"/>
        <v>0</v>
      </c>
    </row>
    <row r="31" spans="1:19" x14ac:dyDescent="0.25">
      <c r="A31" s="15" t="s">
        <v>24</v>
      </c>
      <c r="B31" s="32">
        <v>-21140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20">
        <f t="shared" si="5"/>
        <v>-21140</v>
      </c>
      <c r="P31" s="21"/>
      <c r="R31" s="98">
        <f t="shared" si="0"/>
        <v>-21140</v>
      </c>
      <c r="S31" s="98">
        <f t="shared" si="6"/>
        <v>0</v>
      </c>
    </row>
    <row r="32" spans="1:19" x14ac:dyDescent="0.25">
      <c r="A32" s="34" t="s">
        <v>25</v>
      </c>
      <c r="B32" s="32">
        <v>-47184.15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20">
        <f t="shared" si="5"/>
        <v>-47184.15</v>
      </c>
      <c r="P32" s="21"/>
      <c r="R32" s="98">
        <f t="shared" si="0"/>
        <v>-47184.15</v>
      </c>
      <c r="S32" s="98">
        <f t="shared" si="6"/>
        <v>0</v>
      </c>
    </row>
    <row r="33" spans="1:19" x14ac:dyDescent="0.25">
      <c r="A33" s="15" t="s">
        <v>26</v>
      </c>
      <c r="B33" s="32">
        <v>0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20">
        <f t="shared" si="5"/>
        <v>0</v>
      </c>
      <c r="P33" s="21"/>
      <c r="R33" s="98">
        <f t="shared" si="0"/>
        <v>0</v>
      </c>
      <c r="S33" s="98">
        <f t="shared" si="6"/>
        <v>0</v>
      </c>
    </row>
    <row r="34" spans="1:19" x14ac:dyDescent="0.25">
      <c r="A34" s="15" t="s">
        <v>27</v>
      </c>
      <c r="B34" s="32">
        <v>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20">
        <f t="shared" si="5"/>
        <v>0</v>
      </c>
      <c r="P34" s="21"/>
      <c r="R34" s="98">
        <f t="shared" si="0"/>
        <v>0</v>
      </c>
      <c r="S34" s="98">
        <f t="shared" si="6"/>
        <v>0</v>
      </c>
    </row>
    <row r="35" spans="1:19" x14ac:dyDescent="0.25">
      <c r="A35" s="33" t="s">
        <v>28</v>
      </c>
      <c r="B35" s="32">
        <v>-2909.72</v>
      </c>
      <c r="C35" s="76">
        <v>0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20">
        <f t="shared" si="5"/>
        <v>-2909.72</v>
      </c>
      <c r="P35" s="21"/>
      <c r="R35" s="98">
        <f t="shared" si="0"/>
        <v>-2909.72</v>
      </c>
      <c r="S35" s="98">
        <f t="shared" si="6"/>
        <v>0</v>
      </c>
    </row>
    <row r="36" spans="1:19" x14ac:dyDescent="0.25">
      <c r="A36" s="15" t="s">
        <v>29</v>
      </c>
      <c r="B36" s="32">
        <v>-4649.8599999999997</v>
      </c>
      <c r="C36" s="76">
        <v>0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20">
        <f t="shared" si="5"/>
        <v>-4649.8599999999997</v>
      </c>
      <c r="P36" s="21"/>
      <c r="R36" s="98">
        <f t="shared" si="0"/>
        <v>-4649.8599999999997</v>
      </c>
      <c r="S36" s="98">
        <f t="shared" si="6"/>
        <v>0</v>
      </c>
    </row>
    <row r="37" spans="1:19" x14ac:dyDescent="0.25">
      <c r="A37" s="15" t="s">
        <v>30</v>
      </c>
      <c r="B37" s="32">
        <v>-4050.4</v>
      </c>
      <c r="C37" s="76">
        <v>0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20">
        <f t="shared" si="5"/>
        <v>-4050.4</v>
      </c>
      <c r="P37" s="21"/>
      <c r="R37" s="98">
        <f t="shared" si="0"/>
        <v>-4050.4</v>
      </c>
      <c r="S37" s="98">
        <f t="shared" si="6"/>
        <v>0</v>
      </c>
    </row>
    <row r="38" spans="1:19" x14ac:dyDescent="0.25">
      <c r="A38" s="15" t="s">
        <v>97</v>
      </c>
      <c r="B38" s="32">
        <v>0</v>
      </c>
      <c r="C38" s="76">
        <v>0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20">
        <f t="shared" si="5"/>
        <v>0</v>
      </c>
      <c r="P38" s="21"/>
      <c r="R38" s="98">
        <f t="shared" si="0"/>
        <v>0</v>
      </c>
      <c r="S38" s="98">
        <f t="shared" si="6"/>
        <v>0</v>
      </c>
    </row>
    <row r="39" spans="1:19" x14ac:dyDescent="0.25">
      <c r="A39" s="15" t="s">
        <v>114</v>
      </c>
      <c r="B39" s="32">
        <v>0</v>
      </c>
      <c r="C39" s="76">
        <v>0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20">
        <f t="shared" si="5"/>
        <v>0</v>
      </c>
      <c r="P39" s="21"/>
      <c r="R39" s="98">
        <f t="shared" si="0"/>
        <v>0</v>
      </c>
      <c r="S39" s="98">
        <f t="shared" si="6"/>
        <v>0</v>
      </c>
    </row>
    <row r="40" spans="1:19" x14ac:dyDescent="0.25">
      <c r="A40" s="35" t="s">
        <v>31</v>
      </c>
      <c r="B40" s="36">
        <f>SUM(B14:B39)</f>
        <v>-141213.55999999997</v>
      </c>
      <c r="C40" s="36">
        <f t="shared" ref="C40:N40" si="7">SUM(C14:C39)</f>
        <v>0</v>
      </c>
      <c r="D40" s="36">
        <f t="shared" si="7"/>
        <v>0</v>
      </c>
      <c r="E40" s="36">
        <f t="shared" si="7"/>
        <v>0</v>
      </c>
      <c r="F40" s="36">
        <f t="shared" si="7"/>
        <v>0</v>
      </c>
      <c r="G40" s="36">
        <f t="shared" si="7"/>
        <v>0</v>
      </c>
      <c r="H40" s="36">
        <f t="shared" si="7"/>
        <v>0</v>
      </c>
      <c r="I40" s="36">
        <f t="shared" si="7"/>
        <v>0</v>
      </c>
      <c r="J40" s="36">
        <f t="shared" si="7"/>
        <v>0</v>
      </c>
      <c r="K40" s="36">
        <f t="shared" si="7"/>
        <v>0</v>
      </c>
      <c r="L40" s="36">
        <f t="shared" si="7"/>
        <v>0</v>
      </c>
      <c r="M40" s="36">
        <f t="shared" si="7"/>
        <v>0</v>
      </c>
      <c r="N40" s="36">
        <f t="shared" si="7"/>
        <v>0</v>
      </c>
      <c r="O40" s="36">
        <f>SUM(O14:O39)</f>
        <v>-141213.55999999997</v>
      </c>
      <c r="P40" s="21"/>
      <c r="R40" s="98">
        <f t="shared" si="0"/>
        <v>-141213.55999999997</v>
      </c>
      <c r="S40" s="98">
        <f t="shared" si="6"/>
        <v>0</v>
      </c>
    </row>
    <row r="41" spans="1:19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18"/>
      <c r="R41" s="98">
        <f t="shared" si="0"/>
        <v>0</v>
      </c>
      <c r="S41" s="98">
        <f t="shared" si="6"/>
        <v>0</v>
      </c>
    </row>
    <row r="42" spans="1:19" x14ac:dyDescent="0.25">
      <c r="A42" s="39" t="s">
        <v>32</v>
      </c>
      <c r="B42" s="58">
        <f t="shared" ref="B42" si="8">B11+B40</f>
        <v>-141213.55999999997</v>
      </c>
      <c r="C42" s="58">
        <f t="shared" ref="C42:N42" si="9">C11+C40</f>
        <v>0</v>
      </c>
      <c r="D42" s="58">
        <f t="shared" si="9"/>
        <v>0</v>
      </c>
      <c r="E42" s="58">
        <f t="shared" si="9"/>
        <v>0</v>
      </c>
      <c r="F42" s="58">
        <f t="shared" si="9"/>
        <v>0</v>
      </c>
      <c r="G42" s="58">
        <f t="shared" si="9"/>
        <v>0</v>
      </c>
      <c r="H42" s="58">
        <f t="shared" si="9"/>
        <v>0</v>
      </c>
      <c r="I42" s="58">
        <f t="shared" si="9"/>
        <v>0</v>
      </c>
      <c r="J42" s="58">
        <f t="shared" si="9"/>
        <v>0</v>
      </c>
      <c r="K42" s="58">
        <f t="shared" si="9"/>
        <v>0</v>
      </c>
      <c r="L42" s="58">
        <f t="shared" si="9"/>
        <v>0</v>
      </c>
      <c r="M42" s="58">
        <f t="shared" si="9"/>
        <v>0</v>
      </c>
      <c r="N42" s="58">
        <f t="shared" si="9"/>
        <v>0</v>
      </c>
      <c r="O42" s="154">
        <f>B42+C42+D42+E42+F42+G42+H42+I42+J42+K42+L42+M42+N42</f>
        <v>-141213.55999999997</v>
      </c>
      <c r="P42" s="21"/>
      <c r="R42" s="98">
        <f t="shared" si="0"/>
        <v>-141213.55999999997</v>
      </c>
      <c r="S42" s="98">
        <f t="shared" si="6"/>
        <v>0</v>
      </c>
    </row>
    <row r="43" spans="1:19" x14ac:dyDescent="0.25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4"/>
      <c r="R43" s="98">
        <f t="shared" si="0"/>
        <v>0</v>
      </c>
      <c r="S43" s="98">
        <f t="shared" si="6"/>
        <v>0</v>
      </c>
    </row>
    <row r="44" spans="1:19" x14ac:dyDescent="0.25">
      <c r="A44" s="29" t="s">
        <v>56</v>
      </c>
      <c r="B44" s="45">
        <f t="shared" ref="B44" si="10">-B9*13.15%</f>
        <v>0</v>
      </c>
      <c r="C44" s="45">
        <f t="shared" ref="C44:K44" si="11">-C9*13.15%</f>
        <v>0</v>
      </c>
      <c r="D44" s="45">
        <f t="shared" si="11"/>
        <v>0</v>
      </c>
      <c r="E44" s="45">
        <f t="shared" si="11"/>
        <v>0</v>
      </c>
      <c r="F44" s="45">
        <f t="shared" si="11"/>
        <v>0</v>
      </c>
      <c r="G44" s="45">
        <f t="shared" si="11"/>
        <v>0</v>
      </c>
      <c r="H44" s="45">
        <f t="shared" si="11"/>
        <v>0</v>
      </c>
      <c r="I44" s="45">
        <f t="shared" si="11"/>
        <v>0</v>
      </c>
      <c r="J44" s="45">
        <f t="shared" si="11"/>
        <v>0</v>
      </c>
      <c r="K44" s="45">
        <f t="shared" si="11"/>
        <v>0</v>
      </c>
      <c r="L44" s="45">
        <f>-L9*13.15%</f>
        <v>0</v>
      </c>
      <c r="M44" s="45">
        <f t="shared" ref="M44:N44" si="12">-M9*13.15%</f>
        <v>0</v>
      </c>
      <c r="N44" s="45">
        <f t="shared" si="12"/>
        <v>0</v>
      </c>
      <c r="O44" s="20">
        <f>B44+C44+D44+E44+F44+G44+H44+I44+J44+K44+L44+M44+N44</f>
        <v>0</v>
      </c>
      <c r="P44" s="21"/>
      <c r="R44" s="98">
        <f t="shared" si="0"/>
        <v>0</v>
      </c>
      <c r="S44" s="98">
        <f t="shared" si="6"/>
        <v>0</v>
      </c>
    </row>
    <row r="45" spans="1:19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4"/>
      <c r="R45" s="98">
        <f t="shared" si="0"/>
        <v>0</v>
      </c>
      <c r="S45" s="98">
        <f t="shared" si="6"/>
        <v>0</v>
      </c>
    </row>
    <row r="46" spans="1:19" x14ac:dyDescent="0.25">
      <c r="A46" s="29" t="s">
        <v>33</v>
      </c>
      <c r="B46" s="45">
        <f t="shared" ref="B46" si="13">-B9*1.22%</f>
        <v>0</v>
      </c>
      <c r="C46" s="45">
        <f t="shared" ref="C46:N46" si="14">-C9*1.22%</f>
        <v>0</v>
      </c>
      <c r="D46" s="45">
        <f t="shared" si="14"/>
        <v>0</v>
      </c>
      <c r="E46" s="45">
        <f t="shared" si="14"/>
        <v>0</v>
      </c>
      <c r="F46" s="45">
        <f t="shared" si="14"/>
        <v>0</v>
      </c>
      <c r="G46" s="45">
        <f t="shared" si="14"/>
        <v>0</v>
      </c>
      <c r="H46" s="45">
        <f t="shared" si="14"/>
        <v>0</v>
      </c>
      <c r="I46" s="45">
        <f t="shared" si="14"/>
        <v>0</v>
      </c>
      <c r="J46" s="45">
        <f t="shared" si="14"/>
        <v>0</v>
      </c>
      <c r="K46" s="45">
        <f t="shared" si="14"/>
        <v>0</v>
      </c>
      <c r="L46" s="45">
        <f t="shared" si="14"/>
        <v>0</v>
      </c>
      <c r="M46" s="45">
        <f t="shared" si="14"/>
        <v>0</v>
      </c>
      <c r="N46" s="45">
        <f t="shared" si="14"/>
        <v>0</v>
      </c>
      <c r="O46" s="20">
        <f>B46+C46+D46+E46+F46+G46+H46+I46+J46+K46+L46+M46+N46</f>
        <v>0</v>
      </c>
      <c r="P46" s="21"/>
      <c r="R46" s="98">
        <f t="shared" si="0"/>
        <v>0</v>
      </c>
      <c r="S46" s="98">
        <f t="shared" si="6"/>
        <v>0</v>
      </c>
    </row>
    <row r="47" spans="1:19" x14ac:dyDescent="0.2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4"/>
      <c r="R47" s="98">
        <f t="shared" si="0"/>
        <v>0</v>
      </c>
      <c r="S47" s="98">
        <f t="shared" si="6"/>
        <v>0</v>
      </c>
    </row>
    <row r="48" spans="1:19" x14ac:dyDescent="0.25">
      <c r="A48" s="48" t="s">
        <v>57</v>
      </c>
      <c r="B48" s="49">
        <f t="shared" ref="B48" si="15">B40*5.56%</f>
        <v>-7851.4739359999976</v>
      </c>
      <c r="C48" s="49">
        <f t="shared" ref="C48:M48" si="16">C40*5.56%</f>
        <v>0</v>
      </c>
      <c r="D48" s="49">
        <f t="shared" si="16"/>
        <v>0</v>
      </c>
      <c r="E48" s="49">
        <f t="shared" si="16"/>
        <v>0</v>
      </c>
      <c r="F48" s="49">
        <f t="shared" si="16"/>
        <v>0</v>
      </c>
      <c r="G48" s="49">
        <f>G40*5.56%</f>
        <v>0</v>
      </c>
      <c r="H48" s="49">
        <f t="shared" si="16"/>
        <v>0</v>
      </c>
      <c r="I48" s="49">
        <f t="shared" si="16"/>
        <v>0</v>
      </c>
      <c r="J48" s="49">
        <f t="shared" si="16"/>
        <v>0</v>
      </c>
      <c r="K48" s="49">
        <f t="shared" si="16"/>
        <v>0</v>
      </c>
      <c r="L48" s="49">
        <f t="shared" si="16"/>
        <v>0</v>
      </c>
      <c r="M48" s="49">
        <f t="shared" si="16"/>
        <v>0</v>
      </c>
      <c r="N48" s="49">
        <f>N40*5.56%</f>
        <v>0</v>
      </c>
      <c r="O48" s="20">
        <f>B48+C48+D48+E48+F48+G48+H48+I48+J48+K48+L48+M48+N48</f>
        <v>-7851.4739359999976</v>
      </c>
      <c r="P48" s="21"/>
      <c r="R48" s="98">
        <f t="shared" si="0"/>
        <v>-7851.4739359999976</v>
      </c>
      <c r="S48" s="98">
        <f t="shared" si="6"/>
        <v>0</v>
      </c>
    </row>
    <row r="49" spans="1:19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4"/>
      <c r="R49" s="98">
        <f t="shared" si="0"/>
        <v>0</v>
      </c>
      <c r="S49" s="98">
        <f t="shared" si="6"/>
        <v>0</v>
      </c>
    </row>
    <row r="50" spans="1:19" x14ac:dyDescent="0.25">
      <c r="A50" s="48" t="s">
        <v>58</v>
      </c>
      <c r="B50" s="49">
        <f t="shared" ref="B50" si="17">B40*0.01%</f>
        <v>-14.121355999999997</v>
      </c>
      <c r="C50" s="49">
        <f t="shared" ref="C50:K50" si="18">C40*0.01%</f>
        <v>0</v>
      </c>
      <c r="D50" s="49">
        <f t="shared" si="18"/>
        <v>0</v>
      </c>
      <c r="E50" s="49">
        <f t="shared" si="18"/>
        <v>0</v>
      </c>
      <c r="F50" s="49">
        <f t="shared" si="18"/>
        <v>0</v>
      </c>
      <c r="G50" s="49">
        <f t="shared" si="18"/>
        <v>0</v>
      </c>
      <c r="H50" s="49">
        <f t="shared" si="18"/>
        <v>0</v>
      </c>
      <c r="I50" s="49">
        <f t="shared" si="18"/>
        <v>0</v>
      </c>
      <c r="J50" s="49">
        <f t="shared" si="18"/>
        <v>0</v>
      </c>
      <c r="K50" s="49">
        <f t="shared" si="18"/>
        <v>0</v>
      </c>
      <c r="L50" s="49">
        <f>L40*0.01%</f>
        <v>0</v>
      </c>
      <c r="M50" s="49">
        <f t="shared" ref="M50" si="19">M40*0.01%</f>
        <v>0</v>
      </c>
      <c r="N50" s="49">
        <f>N40*0.01%</f>
        <v>0</v>
      </c>
      <c r="O50" s="20">
        <f>B50+C50+D50+E50+F50+G50+H50+I50+J50+K50+L50+M50+N50</f>
        <v>-14.121355999999997</v>
      </c>
      <c r="P50" s="21"/>
      <c r="R50" s="98">
        <f t="shared" si="0"/>
        <v>-14.121355999999997</v>
      </c>
      <c r="S50" s="98">
        <f t="shared" si="6"/>
        <v>0</v>
      </c>
    </row>
    <row r="51" spans="1:19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4"/>
      <c r="R51" s="98">
        <f t="shared" si="0"/>
        <v>0</v>
      </c>
      <c r="S51" s="98">
        <f t="shared" si="6"/>
        <v>0</v>
      </c>
    </row>
    <row r="52" spans="1:19" x14ac:dyDescent="0.25">
      <c r="A52" s="39" t="s">
        <v>141</v>
      </c>
      <c r="B52" s="58">
        <f>B42+B48+B50+B44+B46</f>
        <v>-149079.15529199995</v>
      </c>
      <c r="C52" s="58">
        <f>C42+C48+C50+C44+C46</f>
        <v>0</v>
      </c>
      <c r="D52" s="58">
        <f>D42+D48+D50+D44+D46</f>
        <v>0</v>
      </c>
      <c r="E52" s="58">
        <f>E42+E48+E50+E44+E46</f>
        <v>0</v>
      </c>
      <c r="F52" s="58">
        <f t="shared" ref="F52:M52" si="20">F42+F48+F50+F44+F46</f>
        <v>0</v>
      </c>
      <c r="G52" s="58">
        <f t="shared" si="20"/>
        <v>0</v>
      </c>
      <c r="H52" s="58">
        <f t="shared" si="20"/>
        <v>0</v>
      </c>
      <c r="I52" s="58">
        <f t="shared" si="20"/>
        <v>0</v>
      </c>
      <c r="J52" s="58">
        <f t="shared" si="20"/>
        <v>0</v>
      </c>
      <c r="K52" s="58">
        <f t="shared" si="20"/>
        <v>0</v>
      </c>
      <c r="L52" s="58">
        <f t="shared" si="20"/>
        <v>0</v>
      </c>
      <c r="M52" s="58">
        <f t="shared" si="20"/>
        <v>0</v>
      </c>
      <c r="N52" s="58">
        <f>N42+N48+N50+N44+N46</f>
        <v>0</v>
      </c>
      <c r="O52" s="154">
        <f>B52+C52+D52+E52+F52+G52+H52+I52+J52+K52+L52+M52+N52</f>
        <v>-149079.15529199995</v>
      </c>
      <c r="P52" s="21"/>
      <c r="R52" s="98">
        <f t="shared" si="0"/>
        <v>-149079.15529199995</v>
      </c>
      <c r="S52" s="98">
        <f t="shared" si="6"/>
        <v>0</v>
      </c>
    </row>
    <row r="53" spans="1:19" x14ac:dyDescent="0.2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</row>
    <row r="54" spans="1:19" x14ac:dyDescent="0.25">
      <c r="A54" s="52" t="s">
        <v>35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53"/>
      <c r="P54" s="50"/>
    </row>
    <row r="55" spans="1:19" x14ac:dyDescent="0.25">
      <c r="A55" s="81"/>
      <c r="B55" s="102"/>
      <c r="C55" s="102"/>
      <c r="D55" s="102"/>
      <c r="E55" s="102"/>
      <c r="F55" s="102"/>
      <c r="G55" s="102"/>
      <c r="H55" s="156"/>
      <c r="I55" s="150"/>
      <c r="J55" s="150"/>
      <c r="K55" s="150"/>
      <c r="L55" s="150"/>
      <c r="M55" s="150"/>
      <c r="N55" s="150"/>
      <c r="O55" s="150"/>
      <c r="P55" s="148"/>
    </row>
    <row r="56" spans="1:19" x14ac:dyDescent="0.25">
      <c r="A56" s="54" t="s">
        <v>36</v>
      </c>
      <c r="B56" s="50"/>
      <c r="C56" s="83"/>
      <c r="P56" s="89">
        <v>45838</v>
      </c>
    </row>
    <row r="57" spans="1:19" x14ac:dyDescent="0.25">
      <c r="B57" s="98">
        <f>B11+B40+B44+B46+B48+B50</f>
        <v>-149079.15529199995</v>
      </c>
      <c r="C57" s="98">
        <f t="shared" ref="C57:O57" si="21">C11+C40+C44+C46+C48+C50</f>
        <v>0</v>
      </c>
      <c r="D57" s="98">
        <f t="shared" si="21"/>
        <v>0</v>
      </c>
      <c r="E57" s="98">
        <f t="shared" si="21"/>
        <v>0</v>
      </c>
      <c r="F57" s="98">
        <f t="shared" si="21"/>
        <v>0</v>
      </c>
      <c r="G57" s="98">
        <f t="shared" si="21"/>
        <v>0</v>
      </c>
      <c r="H57" s="98">
        <f t="shared" si="21"/>
        <v>0</v>
      </c>
      <c r="I57" s="98">
        <f t="shared" si="21"/>
        <v>0</v>
      </c>
      <c r="J57" s="98">
        <f t="shared" si="21"/>
        <v>0</v>
      </c>
      <c r="K57" s="98">
        <f t="shared" si="21"/>
        <v>0</v>
      </c>
      <c r="L57" s="98">
        <f t="shared" si="21"/>
        <v>0</v>
      </c>
      <c r="M57" s="98">
        <f t="shared" si="21"/>
        <v>0</v>
      </c>
      <c r="N57" s="98">
        <f t="shared" si="21"/>
        <v>0</v>
      </c>
      <c r="O57" s="98">
        <f t="shared" si="21"/>
        <v>-149079.15529199995</v>
      </c>
    </row>
    <row r="59" spans="1:19" x14ac:dyDescent="0.25">
      <c r="B59" s="98">
        <f>B57-B52</f>
        <v>0</v>
      </c>
      <c r="C59" s="98">
        <f t="shared" ref="C59:O59" si="22">C57-C52</f>
        <v>0</v>
      </c>
      <c r="D59" s="98">
        <f t="shared" si="22"/>
        <v>0</v>
      </c>
      <c r="E59" s="98">
        <f t="shared" si="22"/>
        <v>0</v>
      </c>
      <c r="F59" s="98">
        <f t="shared" si="22"/>
        <v>0</v>
      </c>
      <c r="G59" s="98">
        <f t="shared" si="22"/>
        <v>0</v>
      </c>
      <c r="H59" s="98">
        <f t="shared" si="22"/>
        <v>0</v>
      </c>
      <c r="I59" s="98">
        <f t="shared" si="22"/>
        <v>0</v>
      </c>
      <c r="J59" s="98">
        <f t="shared" si="22"/>
        <v>0</v>
      </c>
      <c r="K59" s="98">
        <f t="shared" si="22"/>
        <v>0</v>
      </c>
      <c r="L59" s="98">
        <f t="shared" si="22"/>
        <v>0</v>
      </c>
      <c r="M59" s="98">
        <f t="shared" si="22"/>
        <v>0</v>
      </c>
      <c r="N59" s="98">
        <f t="shared" si="22"/>
        <v>0</v>
      </c>
      <c r="O59" s="98">
        <f t="shared" si="22"/>
        <v>0</v>
      </c>
    </row>
  </sheetData>
  <mergeCells count="3">
    <mergeCell ref="A1:P1"/>
    <mergeCell ref="A3:P3"/>
    <mergeCell ref="A5:P5"/>
  </mergeCells>
  <phoneticPr fontId="12" type="noConversion"/>
  <conditionalFormatting sqref="F52">
    <cfRule type="cellIs" dxfId="57" priority="5" operator="lessThan">
      <formula>0</formula>
    </cfRule>
    <cfRule type="cellIs" dxfId="56" priority="6" operator="greaterThan">
      <formula>0</formula>
    </cfRule>
  </conditionalFormatting>
  <conditionalFormatting sqref="H52:I52">
    <cfRule type="cellIs" dxfId="55" priority="3" operator="lessThan">
      <formula>0</formula>
    </cfRule>
    <cfRule type="cellIs" dxfId="54" priority="4" operator="greaterThan">
      <formula>0</formula>
    </cfRule>
  </conditionalFormatting>
  <conditionalFormatting sqref="K52">
    <cfRule type="cellIs" dxfId="53" priority="1" operator="lessThan">
      <formula>0</formula>
    </cfRule>
    <cfRule type="cellIs" dxfId="52" priority="2" operator="greaterThan">
      <formula>0</formula>
    </cfRule>
  </conditionalFormatting>
  <printOptions horizontalCentered="1" verticalCentered="1"/>
  <pageMargins left="0.19685039370078741" right="0.11811023622047245" top="0.39370078740157483" bottom="0" header="0.19685039370078741" footer="0"/>
  <pageSetup paperSize="9" scale="71" orientation="landscape" r:id="rId1"/>
  <headerFooter>
    <oddHeader>&amp;C&amp;"-,Negrito"&amp;14BELA NOVA CONSTRUTORA LTDA</oddHeader>
  </headerFooter>
  <ignoredErrors>
    <ignoredError sqref="S9:S13 R53:S57 S52 S15:S51" formulaRange="1"/>
  </ignoredErrors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S60"/>
  <sheetViews>
    <sheetView zoomScale="85" zoomScaleNormal="85" workbookViewId="0">
      <pane xSplit="1" topLeftCell="B1" activePane="topRight" state="frozen"/>
      <selection pane="topRight" activeCell="C17" sqref="C17"/>
    </sheetView>
  </sheetViews>
  <sheetFormatPr defaultRowHeight="15" x14ac:dyDescent="0.25"/>
  <cols>
    <col min="1" max="1" width="61.5703125" bestFit="1" customWidth="1"/>
    <col min="2" max="2" width="16.7109375" customWidth="1"/>
    <col min="3" max="3" width="15" bestFit="1" customWidth="1"/>
    <col min="4" max="4" width="16.28515625" customWidth="1"/>
    <col min="5" max="6" width="15" customWidth="1"/>
    <col min="7" max="7" width="15.5703125" customWidth="1"/>
    <col min="8" max="8" width="17.5703125" customWidth="1"/>
    <col min="9" max="9" width="14.85546875" customWidth="1"/>
    <col min="10" max="10" width="15.140625" hidden="1" customWidth="1"/>
    <col min="11" max="11" width="16.140625" hidden="1" customWidth="1"/>
    <col min="12" max="12" width="14.7109375" hidden="1" customWidth="1"/>
    <col min="13" max="13" width="16.85546875" hidden="1" customWidth="1"/>
    <col min="14" max="14" width="16.7109375" hidden="1" customWidth="1"/>
    <col min="15" max="15" width="16.140625" bestFit="1" customWidth="1"/>
    <col min="16" max="16" width="10.85546875" bestFit="1" customWidth="1"/>
    <col min="17" max="17" width="4.7109375" customWidth="1"/>
    <col min="18" max="19" width="14.28515625" bestFit="1" customWidth="1"/>
  </cols>
  <sheetData>
    <row r="1" spans="1:19" ht="15.75" customHeight="1" x14ac:dyDescent="0.25">
      <c r="A1" s="209" t="s">
        <v>197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</row>
    <row r="2" spans="1:19" ht="9" customHeight="1" x14ac:dyDescent="0.25">
      <c r="A2" s="71"/>
      <c r="B2" s="71"/>
      <c r="C2" s="10"/>
    </row>
    <row r="3" spans="1:19" ht="15.75" customHeight="1" x14ac:dyDescent="0.25">
      <c r="A3" s="209" t="s">
        <v>198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</row>
    <row r="4" spans="1:19" ht="10.5" customHeight="1" x14ac:dyDescent="0.25">
      <c r="A4" s="71"/>
      <c r="B4" s="71"/>
      <c r="C4" s="10"/>
    </row>
    <row r="5" spans="1:19" ht="15.75" customHeight="1" x14ac:dyDescent="0.25">
      <c r="A5" s="209" t="s">
        <v>273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9" ht="18.75" customHeight="1" x14ac:dyDescent="0.25">
      <c r="A6" s="10"/>
      <c r="B6" s="10"/>
      <c r="C6" s="10"/>
    </row>
    <row r="7" spans="1:19" x14ac:dyDescent="0.25">
      <c r="A7" s="12"/>
      <c r="B7" s="60" t="s">
        <v>221</v>
      </c>
      <c r="C7" s="60" t="s">
        <v>209</v>
      </c>
      <c r="D7" s="60" t="s">
        <v>210</v>
      </c>
      <c r="E7" s="60" t="s">
        <v>211</v>
      </c>
      <c r="F7" s="60" t="s">
        <v>212</v>
      </c>
      <c r="G7" s="60" t="s">
        <v>213</v>
      </c>
      <c r="H7" s="60" t="s">
        <v>214</v>
      </c>
      <c r="I7" s="60" t="s">
        <v>215</v>
      </c>
      <c r="J7" s="60" t="s">
        <v>216</v>
      </c>
      <c r="K7" s="60" t="s">
        <v>217</v>
      </c>
      <c r="L7" s="60" t="s">
        <v>218</v>
      </c>
      <c r="M7" s="60" t="s">
        <v>219</v>
      </c>
      <c r="N7" s="60" t="s">
        <v>220</v>
      </c>
      <c r="O7" s="13" t="s">
        <v>1</v>
      </c>
      <c r="P7" s="14" t="s">
        <v>2</v>
      </c>
    </row>
    <row r="8" spans="1:19" x14ac:dyDescent="0.25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  <c r="P8" s="18"/>
    </row>
    <row r="9" spans="1:19" x14ac:dyDescent="0.25">
      <c r="A9" s="78" t="s">
        <v>4</v>
      </c>
      <c r="B9" s="19">
        <v>251308.58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20">
        <f>B9+C9+D9+E9+F9+G9+H9+I9+J9+K9+L9+M9+N9</f>
        <v>251308.58</v>
      </c>
      <c r="P9" s="21">
        <v>1</v>
      </c>
      <c r="R9" s="98">
        <f t="shared" ref="R9:R52" si="0">SUM(B9:N9)</f>
        <v>251308.58</v>
      </c>
      <c r="S9" s="98">
        <f>R9-O9</f>
        <v>0</v>
      </c>
    </row>
    <row r="10" spans="1:19" x14ac:dyDescent="0.25">
      <c r="A10" s="15" t="s">
        <v>5</v>
      </c>
      <c r="B10" s="19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20">
        <f>B10+C10+D10+E10+F10+G10+H10+I10+J10+K10+L10+M10+N10</f>
        <v>0</v>
      </c>
      <c r="P10" s="21"/>
      <c r="R10" s="98">
        <f t="shared" si="0"/>
        <v>0</v>
      </c>
      <c r="S10" s="98">
        <f t="shared" ref="S10:S52" si="1">R10-O10</f>
        <v>0</v>
      </c>
    </row>
    <row r="11" spans="1:19" x14ac:dyDescent="0.25">
      <c r="A11" s="23" t="s">
        <v>6</v>
      </c>
      <c r="B11" s="24">
        <f t="shared" ref="B11" si="2">SUM(B9:B10)</f>
        <v>251308.58</v>
      </c>
      <c r="C11" s="24">
        <f t="shared" ref="C11:E11" si="3">SUM(C9:C10)</f>
        <v>0</v>
      </c>
      <c r="D11" s="24">
        <f t="shared" si="3"/>
        <v>0</v>
      </c>
      <c r="E11" s="24">
        <f t="shared" si="3"/>
        <v>0</v>
      </c>
      <c r="F11" s="24">
        <f t="shared" ref="F11:N11" si="4">SUM(F9:F10)</f>
        <v>0</v>
      </c>
      <c r="G11" s="24">
        <f t="shared" si="4"/>
        <v>0</v>
      </c>
      <c r="H11" s="24">
        <f t="shared" si="4"/>
        <v>0</v>
      </c>
      <c r="I11" s="24">
        <f t="shared" si="4"/>
        <v>0</v>
      </c>
      <c r="J11" s="24">
        <f t="shared" si="4"/>
        <v>0</v>
      </c>
      <c r="K11" s="24">
        <f t="shared" si="4"/>
        <v>0</v>
      </c>
      <c r="L11" s="24">
        <f t="shared" si="4"/>
        <v>0</v>
      </c>
      <c r="M11" s="24">
        <f t="shared" si="4"/>
        <v>0</v>
      </c>
      <c r="N11" s="24">
        <f t="shared" si="4"/>
        <v>0</v>
      </c>
      <c r="O11" s="24">
        <f>SUM(O9:O10)</f>
        <v>251308.58</v>
      </c>
      <c r="P11" s="21">
        <v>1</v>
      </c>
      <c r="R11" s="98">
        <f t="shared" si="0"/>
        <v>251308.58</v>
      </c>
      <c r="S11" s="98">
        <f t="shared" si="1"/>
        <v>0</v>
      </c>
    </row>
    <row r="12" spans="1:19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/>
      <c r="P12" s="28"/>
      <c r="R12" s="98">
        <f t="shared" si="0"/>
        <v>0</v>
      </c>
      <c r="S12" s="98"/>
    </row>
    <row r="13" spans="1:19" x14ac:dyDescent="0.25">
      <c r="A13" s="29" t="s">
        <v>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  <c r="P13" s="31"/>
      <c r="R13" s="98">
        <f t="shared" si="0"/>
        <v>0</v>
      </c>
      <c r="S13" s="98"/>
    </row>
    <row r="14" spans="1:19" x14ac:dyDescent="0.25">
      <c r="A14" s="15" t="s">
        <v>8</v>
      </c>
      <c r="B14" s="32">
        <v>-57684.65</v>
      </c>
      <c r="C14" s="76">
        <v>-3021.1</v>
      </c>
      <c r="D14" s="76">
        <v>-584</v>
      </c>
      <c r="E14" s="76">
        <v>-264</v>
      </c>
      <c r="F14" s="76">
        <v>-600</v>
      </c>
      <c r="G14" s="76">
        <v>-552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20">
        <f>B14+C14+D14+E14+F14+G14+H14+I14+J14+K14+L14+M14+N14</f>
        <v>-62705.75</v>
      </c>
      <c r="P14" s="21">
        <f>-O14/$O$11</f>
        <v>0.24951694844640801</v>
      </c>
      <c r="R14" s="98">
        <f t="shared" si="0"/>
        <v>-62705.75</v>
      </c>
      <c r="S14" s="98">
        <f t="shared" si="1"/>
        <v>0</v>
      </c>
    </row>
    <row r="15" spans="1:19" x14ac:dyDescent="0.25">
      <c r="A15" s="33" t="s">
        <v>9</v>
      </c>
      <c r="B15" s="32">
        <v>0</v>
      </c>
      <c r="C15" s="76">
        <v>0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20">
        <f t="shared" ref="O15:O39" si="5">B15+C15+D15+E15+F15+G15+H15+I15+J15+K15+L15+M15+N15</f>
        <v>0</v>
      </c>
      <c r="P15" s="21">
        <f t="shared" ref="P15:P52" si="6">-O15/$O$11</f>
        <v>0</v>
      </c>
      <c r="R15" s="98">
        <f t="shared" si="0"/>
        <v>0</v>
      </c>
      <c r="S15" s="98">
        <f t="shared" si="1"/>
        <v>0</v>
      </c>
    </row>
    <row r="16" spans="1:19" x14ac:dyDescent="0.25">
      <c r="A16" s="15" t="s">
        <v>10</v>
      </c>
      <c r="B16" s="32">
        <v>-1980.83</v>
      </c>
      <c r="C16" s="76">
        <v>0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20">
        <f t="shared" si="5"/>
        <v>-1980.83</v>
      </c>
      <c r="P16" s="21">
        <f t="shared" si="6"/>
        <v>7.8820627612475463E-3</v>
      </c>
      <c r="R16" s="98">
        <f t="shared" si="0"/>
        <v>-1980.83</v>
      </c>
      <c r="S16" s="98">
        <f>R16-O16</f>
        <v>0</v>
      </c>
    </row>
    <row r="17" spans="1:19" x14ac:dyDescent="0.25">
      <c r="A17" s="33" t="s">
        <v>11</v>
      </c>
      <c r="B17" s="32">
        <v>-9965.23</v>
      </c>
      <c r="C17" s="76">
        <v>0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20">
        <f t="shared" si="5"/>
        <v>-9965.23</v>
      </c>
      <c r="P17" s="21">
        <f t="shared" si="6"/>
        <v>3.9653361616224965E-2</v>
      </c>
      <c r="R17" s="98">
        <f t="shared" si="0"/>
        <v>-9965.23</v>
      </c>
      <c r="S17" s="98">
        <f t="shared" si="1"/>
        <v>0</v>
      </c>
    </row>
    <row r="18" spans="1:19" x14ac:dyDescent="0.25">
      <c r="A18" s="15" t="s">
        <v>12</v>
      </c>
      <c r="B18" s="32">
        <v>-17579.3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20">
        <f t="shared" si="5"/>
        <v>-17579.3</v>
      </c>
      <c r="P18" s="21">
        <f t="shared" si="6"/>
        <v>6.9951053800073201E-2</v>
      </c>
      <c r="R18" s="98">
        <f t="shared" si="0"/>
        <v>-17579.3</v>
      </c>
      <c r="S18" s="98">
        <f t="shared" si="1"/>
        <v>0</v>
      </c>
    </row>
    <row r="19" spans="1:19" x14ac:dyDescent="0.25">
      <c r="A19" s="15" t="s">
        <v>13</v>
      </c>
      <c r="B19" s="32">
        <v>-11187.7</v>
      </c>
      <c r="C19" s="76">
        <v>0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20">
        <f t="shared" si="5"/>
        <v>-11187.7</v>
      </c>
      <c r="P19" s="21">
        <f t="shared" si="6"/>
        <v>4.4517779695384861E-2</v>
      </c>
      <c r="R19" s="98">
        <f t="shared" si="0"/>
        <v>-11187.7</v>
      </c>
      <c r="S19" s="98">
        <f t="shared" si="1"/>
        <v>0</v>
      </c>
    </row>
    <row r="20" spans="1:19" x14ac:dyDescent="0.25">
      <c r="A20" s="15" t="s">
        <v>14</v>
      </c>
      <c r="B20" s="32">
        <v>-16597.39</v>
      </c>
      <c r="C20" s="76">
        <v>0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20">
        <f t="shared" si="5"/>
        <v>-16597.39</v>
      </c>
      <c r="P20" s="21">
        <f t="shared" si="6"/>
        <v>6.6043865275113176E-2</v>
      </c>
      <c r="R20" s="98">
        <f t="shared" si="0"/>
        <v>-16597.39</v>
      </c>
      <c r="S20" s="98">
        <f t="shared" si="1"/>
        <v>0</v>
      </c>
    </row>
    <row r="21" spans="1:19" x14ac:dyDescent="0.25">
      <c r="A21" s="15" t="s">
        <v>15</v>
      </c>
      <c r="B21" s="32">
        <v>0</v>
      </c>
      <c r="C21" s="76">
        <v>0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20">
        <f t="shared" si="5"/>
        <v>0</v>
      </c>
      <c r="P21" s="21">
        <f t="shared" si="6"/>
        <v>0</v>
      </c>
      <c r="R21" s="98">
        <f t="shared" si="0"/>
        <v>0</v>
      </c>
      <c r="S21" s="98">
        <f t="shared" si="1"/>
        <v>0</v>
      </c>
    </row>
    <row r="22" spans="1:19" x14ac:dyDescent="0.25">
      <c r="A22" s="15" t="s">
        <v>16</v>
      </c>
      <c r="B22" s="32">
        <v>0</v>
      </c>
      <c r="C22" s="76">
        <v>0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20">
        <f t="shared" si="5"/>
        <v>0</v>
      </c>
      <c r="P22" s="21">
        <f t="shared" si="6"/>
        <v>0</v>
      </c>
      <c r="R22" s="98">
        <f t="shared" si="0"/>
        <v>0</v>
      </c>
      <c r="S22" s="98">
        <f t="shared" si="1"/>
        <v>0</v>
      </c>
    </row>
    <row r="23" spans="1:19" x14ac:dyDescent="0.25">
      <c r="A23" s="15" t="s">
        <v>17</v>
      </c>
      <c r="B23" s="32">
        <v>-12677.29</v>
      </c>
      <c r="C23" s="76">
        <v>0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20">
        <f t="shared" si="5"/>
        <v>-12677.29</v>
      </c>
      <c r="P23" s="21">
        <f t="shared" si="6"/>
        <v>5.0445114130205984E-2</v>
      </c>
      <c r="R23" s="98">
        <f t="shared" si="0"/>
        <v>-12677.29</v>
      </c>
      <c r="S23" s="98">
        <f t="shared" si="1"/>
        <v>0</v>
      </c>
    </row>
    <row r="24" spans="1:19" x14ac:dyDescent="0.25">
      <c r="A24" s="15" t="s">
        <v>18</v>
      </c>
      <c r="B24" s="32">
        <v>-3463.77</v>
      </c>
      <c r="C24" s="76">
        <v>0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20">
        <f t="shared" si="5"/>
        <v>-3463.77</v>
      </c>
      <c r="P24" s="21">
        <f t="shared" si="6"/>
        <v>1.3782935703985913E-2</v>
      </c>
      <c r="R24" s="98">
        <f t="shared" si="0"/>
        <v>-3463.77</v>
      </c>
      <c r="S24" s="98">
        <f t="shared" si="1"/>
        <v>0</v>
      </c>
    </row>
    <row r="25" spans="1:19" x14ac:dyDescent="0.25">
      <c r="A25" s="15" t="s">
        <v>19</v>
      </c>
      <c r="B25" s="32">
        <v>-40072.76</v>
      </c>
      <c r="C25" s="76">
        <v>-86</v>
      </c>
      <c r="D25" s="76">
        <v>-1146.52</v>
      </c>
      <c r="E25" s="76">
        <v>-1059.8800000000001</v>
      </c>
      <c r="F25" s="76">
        <v>-248.38</v>
      </c>
      <c r="G25" s="76">
        <v>-443.27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20">
        <f t="shared" si="5"/>
        <v>-43056.80999999999</v>
      </c>
      <c r="P25" s="21">
        <f t="shared" si="6"/>
        <v>0.17133044164270075</v>
      </c>
      <c r="R25" s="98">
        <f t="shared" si="0"/>
        <v>-43056.80999999999</v>
      </c>
      <c r="S25" s="98">
        <f t="shared" si="1"/>
        <v>0</v>
      </c>
    </row>
    <row r="26" spans="1:19" x14ac:dyDescent="0.25">
      <c r="A26" s="15" t="s">
        <v>20</v>
      </c>
      <c r="B26" s="32">
        <v>0</v>
      </c>
      <c r="C26" s="76">
        <v>0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20">
        <f t="shared" si="5"/>
        <v>0</v>
      </c>
      <c r="P26" s="21">
        <f t="shared" si="6"/>
        <v>0</v>
      </c>
      <c r="R26" s="98">
        <f t="shared" si="0"/>
        <v>0</v>
      </c>
      <c r="S26" s="98">
        <f t="shared" si="1"/>
        <v>0</v>
      </c>
    </row>
    <row r="27" spans="1:19" x14ac:dyDescent="0.25">
      <c r="A27" s="15" t="s">
        <v>59</v>
      </c>
      <c r="B27" s="32">
        <v>0</v>
      </c>
      <c r="C27" s="76">
        <v>0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20">
        <f t="shared" si="5"/>
        <v>0</v>
      </c>
      <c r="P27" s="21">
        <f t="shared" si="6"/>
        <v>0</v>
      </c>
      <c r="R27" s="98">
        <f t="shared" si="0"/>
        <v>0</v>
      </c>
      <c r="S27" s="98">
        <f t="shared" si="1"/>
        <v>0</v>
      </c>
    </row>
    <row r="28" spans="1:19" x14ac:dyDescent="0.25">
      <c r="A28" s="15" t="s">
        <v>21</v>
      </c>
      <c r="B28" s="32">
        <v>-990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20">
        <f t="shared" si="5"/>
        <v>-990</v>
      </c>
      <c r="P28" s="21">
        <f t="shared" si="6"/>
        <v>3.9393800243509398E-3</v>
      </c>
      <c r="R28" s="98">
        <f t="shared" si="0"/>
        <v>-990</v>
      </c>
      <c r="S28" s="98">
        <f t="shared" si="1"/>
        <v>0</v>
      </c>
    </row>
    <row r="29" spans="1:19" x14ac:dyDescent="0.25">
      <c r="A29" s="15" t="s">
        <v>22</v>
      </c>
      <c r="B29" s="32">
        <v>0</v>
      </c>
      <c r="C29" s="76">
        <v>0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20">
        <f t="shared" si="5"/>
        <v>0</v>
      </c>
      <c r="P29" s="21">
        <f t="shared" si="6"/>
        <v>0</v>
      </c>
      <c r="R29" s="98">
        <f t="shared" si="0"/>
        <v>0</v>
      </c>
      <c r="S29" s="98">
        <f t="shared" si="1"/>
        <v>0</v>
      </c>
    </row>
    <row r="30" spans="1:19" x14ac:dyDescent="0.25">
      <c r="A30" s="33" t="s">
        <v>23</v>
      </c>
      <c r="B30" s="32">
        <v>-11067.44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20">
        <f t="shared" si="5"/>
        <v>-11067.44</v>
      </c>
      <c r="P30" s="21">
        <f t="shared" si="6"/>
        <v>4.4039244501719761E-2</v>
      </c>
      <c r="R30" s="98">
        <f t="shared" si="0"/>
        <v>-11067.44</v>
      </c>
      <c r="S30" s="98">
        <f t="shared" si="1"/>
        <v>0</v>
      </c>
    </row>
    <row r="31" spans="1:19" x14ac:dyDescent="0.25">
      <c r="A31" s="15" t="s">
        <v>24</v>
      </c>
      <c r="B31" s="32">
        <v>-59939.25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20">
        <f t="shared" si="5"/>
        <v>-59939.25</v>
      </c>
      <c r="P31" s="21">
        <f t="shared" si="6"/>
        <v>0.23850856982280511</v>
      </c>
      <c r="R31" s="98">
        <f t="shared" si="0"/>
        <v>-59939.25</v>
      </c>
      <c r="S31" s="98">
        <f t="shared" si="1"/>
        <v>0</v>
      </c>
    </row>
    <row r="32" spans="1:19" x14ac:dyDescent="0.25">
      <c r="A32" s="34" t="s">
        <v>25</v>
      </c>
      <c r="B32" s="32">
        <v>-119001.32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20">
        <f t="shared" si="5"/>
        <v>-119001.32</v>
      </c>
      <c r="P32" s="21">
        <f t="shared" si="6"/>
        <v>0.47352668977716567</v>
      </c>
      <c r="R32" s="98">
        <f t="shared" si="0"/>
        <v>-119001.32</v>
      </c>
      <c r="S32" s="98">
        <f t="shared" si="1"/>
        <v>0</v>
      </c>
    </row>
    <row r="33" spans="1:19" x14ac:dyDescent="0.25">
      <c r="A33" s="15" t="s">
        <v>26</v>
      </c>
      <c r="B33" s="32">
        <v>-1650</v>
      </c>
      <c r="C33" s="76">
        <v>-330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20">
        <f t="shared" si="5"/>
        <v>-1980</v>
      </c>
      <c r="P33" s="21">
        <f t="shared" si="6"/>
        <v>7.8787600487018796E-3</v>
      </c>
      <c r="R33" s="98">
        <f t="shared" si="0"/>
        <v>-1980</v>
      </c>
      <c r="S33" s="98">
        <f t="shared" si="1"/>
        <v>0</v>
      </c>
    </row>
    <row r="34" spans="1:19" x14ac:dyDescent="0.25">
      <c r="A34" s="15" t="s">
        <v>27</v>
      </c>
      <c r="B34" s="32">
        <v>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20">
        <f t="shared" si="5"/>
        <v>0</v>
      </c>
      <c r="P34" s="21">
        <f t="shared" si="6"/>
        <v>0</v>
      </c>
      <c r="R34" s="98">
        <f t="shared" si="0"/>
        <v>0</v>
      </c>
      <c r="S34" s="98">
        <f t="shared" si="1"/>
        <v>0</v>
      </c>
    </row>
    <row r="35" spans="1:19" x14ac:dyDescent="0.25">
      <c r="A35" s="33" t="s">
        <v>28</v>
      </c>
      <c r="B35" s="32">
        <v>-2887.26</v>
      </c>
      <c r="C35" s="76">
        <v>0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20">
        <f t="shared" si="5"/>
        <v>-2887.26</v>
      </c>
      <c r="P35" s="21">
        <f t="shared" si="6"/>
        <v>1.1488903403138883E-2</v>
      </c>
      <c r="R35" s="98">
        <f t="shared" si="0"/>
        <v>-2887.26</v>
      </c>
      <c r="S35" s="98">
        <f t="shared" si="1"/>
        <v>0</v>
      </c>
    </row>
    <row r="36" spans="1:19" x14ac:dyDescent="0.25">
      <c r="A36" s="15" t="s">
        <v>29</v>
      </c>
      <c r="B36" s="32">
        <v>-10913.72</v>
      </c>
      <c r="C36" s="76">
        <v>-1030.8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20">
        <f t="shared" si="5"/>
        <v>-11944.519999999999</v>
      </c>
      <c r="P36" s="21">
        <f t="shared" si="6"/>
        <v>4.7529296452990179E-2</v>
      </c>
      <c r="R36" s="98">
        <f t="shared" si="0"/>
        <v>-11944.519999999999</v>
      </c>
      <c r="S36" s="98">
        <f t="shared" si="1"/>
        <v>0</v>
      </c>
    </row>
    <row r="37" spans="1:19" x14ac:dyDescent="0.25">
      <c r="A37" s="15" t="s">
        <v>30</v>
      </c>
      <c r="B37" s="32">
        <v>-14015.35</v>
      </c>
      <c r="C37" s="76">
        <v>0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20">
        <f t="shared" si="5"/>
        <v>-14015.35</v>
      </c>
      <c r="P37" s="21">
        <f t="shared" si="6"/>
        <v>5.5769484670996912E-2</v>
      </c>
      <c r="R37" s="98">
        <f t="shared" si="0"/>
        <v>-14015.35</v>
      </c>
      <c r="S37" s="98">
        <f t="shared" si="1"/>
        <v>0</v>
      </c>
    </row>
    <row r="38" spans="1:19" x14ac:dyDescent="0.25">
      <c r="A38" s="15" t="s">
        <v>97</v>
      </c>
      <c r="B38" s="32">
        <v>0</v>
      </c>
      <c r="C38" s="76">
        <v>0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20">
        <f t="shared" si="5"/>
        <v>0</v>
      </c>
      <c r="P38" s="21">
        <f t="shared" si="6"/>
        <v>0</v>
      </c>
      <c r="R38" s="98">
        <f t="shared" si="0"/>
        <v>0</v>
      </c>
      <c r="S38" s="98">
        <f t="shared" si="1"/>
        <v>0</v>
      </c>
    </row>
    <row r="39" spans="1:19" x14ac:dyDescent="0.25">
      <c r="A39" s="15" t="s">
        <v>114</v>
      </c>
      <c r="B39" s="32">
        <v>0</v>
      </c>
      <c r="C39" s="76">
        <v>0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20">
        <f t="shared" si="5"/>
        <v>0</v>
      </c>
      <c r="P39" s="21">
        <f t="shared" si="6"/>
        <v>0</v>
      </c>
      <c r="R39" s="98">
        <f t="shared" si="0"/>
        <v>0</v>
      </c>
      <c r="S39" s="98">
        <f t="shared" si="1"/>
        <v>0</v>
      </c>
    </row>
    <row r="40" spans="1:19" x14ac:dyDescent="0.25">
      <c r="A40" s="35" t="s">
        <v>31</v>
      </c>
      <c r="B40" s="36">
        <f>SUM(B14:B39)</f>
        <v>-391673.26</v>
      </c>
      <c r="C40" s="36">
        <f t="shared" ref="C40:N40" si="7">SUM(C14:C39)</f>
        <v>-4467.8999999999996</v>
      </c>
      <c r="D40" s="36">
        <f t="shared" si="7"/>
        <v>-1730.52</v>
      </c>
      <c r="E40" s="36">
        <f t="shared" si="7"/>
        <v>-1323.88</v>
      </c>
      <c r="F40" s="36">
        <f t="shared" si="7"/>
        <v>-848.38</v>
      </c>
      <c r="G40" s="36">
        <f t="shared" si="7"/>
        <v>-995.27</v>
      </c>
      <c r="H40" s="36">
        <f t="shared" si="7"/>
        <v>0</v>
      </c>
      <c r="I40" s="36">
        <f t="shared" si="7"/>
        <v>0</v>
      </c>
      <c r="J40" s="36">
        <f t="shared" si="7"/>
        <v>0</v>
      </c>
      <c r="K40" s="36">
        <f t="shared" si="7"/>
        <v>0</v>
      </c>
      <c r="L40" s="36">
        <f t="shared" si="7"/>
        <v>0</v>
      </c>
      <c r="M40" s="36">
        <f t="shared" si="7"/>
        <v>0</v>
      </c>
      <c r="N40" s="36">
        <f t="shared" si="7"/>
        <v>0</v>
      </c>
      <c r="O40" s="36">
        <f>SUM(O14:O39)</f>
        <v>-401039.20999999996</v>
      </c>
      <c r="P40" s="21">
        <f t="shared" si="6"/>
        <v>1.5958038917732136</v>
      </c>
      <c r="R40" s="98">
        <f t="shared" si="0"/>
        <v>-401039.21000000008</v>
      </c>
      <c r="S40" s="98">
        <f t="shared" si="1"/>
        <v>0</v>
      </c>
    </row>
    <row r="41" spans="1:19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18"/>
      <c r="R41" s="98">
        <f t="shared" si="0"/>
        <v>0</v>
      </c>
      <c r="S41" s="98">
        <f t="shared" si="1"/>
        <v>0</v>
      </c>
    </row>
    <row r="42" spans="1:19" x14ac:dyDescent="0.25">
      <c r="A42" s="39" t="s">
        <v>32</v>
      </c>
      <c r="B42" s="58">
        <f t="shared" ref="B42" si="8">B11+B40</f>
        <v>-140364.68000000002</v>
      </c>
      <c r="C42" s="58">
        <f t="shared" ref="C42:N42" si="9">C11+C40</f>
        <v>-4467.8999999999996</v>
      </c>
      <c r="D42" s="58">
        <f t="shared" si="9"/>
        <v>-1730.52</v>
      </c>
      <c r="E42" s="58">
        <f t="shared" si="9"/>
        <v>-1323.88</v>
      </c>
      <c r="F42" s="58">
        <f t="shared" si="9"/>
        <v>-848.38</v>
      </c>
      <c r="G42" s="58">
        <f t="shared" si="9"/>
        <v>-995.27</v>
      </c>
      <c r="H42" s="58">
        <f t="shared" si="9"/>
        <v>0</v>
      </c>
      <c r="I42" s="58">
        <f t="shared" si="9"/>
        <v>0</v>
      </c>
      <c r="J42" s="58">
        <f t="shared" si="9"/>
        <v>0</v>
      </c>
      <c r="K42" s="58">
        <f t="shared" si="9"/>
        <v>0</v>
      </c>
      <c r="L42" s="58">
        <f t="shared" si="9"/>
        <v>0</v>
      </c>
      <c r="M42" s="58">
        <f t="shared" si="9"/>
        <v>0</v>
      </c>
      <c r="N42" s="58">
        <f t="shared" si="9"/>
        <v>0</v>
      </c>
      <c r="O42" s="154">
        <f>B42+C42+D42+E42+F42+G42+H42+I42+J42+K42+L42+M42+N42</f>
        <v>-149730.63</v>
      </c>
      <c r="P42" s="21">
        <f t="shared" si="6"/>
        <v>0.59580389177321369</v>
      </c>
      <c r="R42" s="98">
        <f t="shared" si="0"/>
        <v>-149730.63</v>
      </c>
      <c r="S42" s="98">
        <f t="shared" si="1"/>
        <v>0</v>
      </c>
    </row>
    <row r="43" spans="1:19" x14ac:dyDescent="0.25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4"/>
      <c r="R43" s="98">
        <f t="shared" si="0"/>
        <v>0</v>
      </c>
      <c r="S43" s="98">
        <f t="shared" si="1"/>
        <v>0</v>
      </c>
    </row>
    <row r="44" spans="1:19" x14ac:dyDescent="0.25">
      <c r="A44" s="29" t="s">
        <v>56</v>
      </c>
      <c r="B44" s="45">
        <f t="shared" ref="B44" si="10">-B9*13.15%</f>
        <v>-33047.078269999998</v>
      </c>
      <c r="C44" s="45">
        <f t="shared" ref="C44:K44" si="11">-C9*13.15%</f>
        <v>0</v>
      </c>
      <c r="D44" s="45">
        <f t="shared" si="11"/>
        <v>0</v>
      </c>
      <c r="E44" s="45">
        <f t="shared" si="11"/>
        <v>0</v>
      </c>
      <c r="F44" s="45">
        <f t="shared" si="11"/>
        <v>0</v>
      </c>
      <c r="G44" s="45">
        <f t="shared" si="11"/>
        <v>0</v>
      </c>
      <c r="H44" s="45">
        <f t="shared" si="11"/>
        <v>0</v>
      </c>
      <c r="I44" s="45">
        <f t="shared" si="11"/>
        <v>0</v>
      </c>
      <c r="J44" s="45">
        <f t="shared" si="11"/>
        <v>0</v>
      </c>
      <c r="K44" s="45">
        <f t="shared" si="11"/>
        <v>0</v>
      </c>
      <c r="L44" s="45">
        <f>-L9*13.15%</f>
        <v>0</v>
      </c>
      <c r="M44" s="45">
        <f t="shared" ref="M44:N44" si="12">-M9*13.15%</f>
        <v>0</v>
      </c>
      <c r="N44" s="45">
        <f t="shared" si="12"/>
        <v>0</v>
      </c>
      <c r="O44" s="20">
        <f>B44+C44+D44+E44+F44+G44+H44+I44+J44+K44+L44+M44+N44</f>
        <v>-33047.078269999998</v>
      </c>
      <c r="P44" s="21">
        <f t="shared" si="6"/>
        <v>0.13150000000000001</v>
      </c>
      <c r="R44" s="98">
        <f t="shared" si="0"/>
        <v>-33047.078269999998</v>
      </c>
      <c r="S44" s="98">
        <f t="shared" si="1"/>
        <v>0</v>
      </c>
    </row>
    <row r="45" spans="1:19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4"/>
      <c r="R45" s="98">
        <f t="shared" si="0"/>
        <v>0</v>
      </c>
      <c r="S45" s="98">
        <f t="shared" si="1"/>
        <v>0</v>
      </c>
    </row>
    <row r="46" spans="1:19" x14ac:dyDescent="0.25">
      <c r="A46" s="29" t="s">
        <v>33</v>
      </c>
      <c r="B46" s="45">
        <f t="shared" ref="B46" si="13">-B9*1.22%</f>
        <v>-3065.9646759999996</v>
      </c>
      <c r="C46" s="45">
        <f t="shared" ref="C46:N46" si="14">-C9*1.22%</f>
        <v>0</v>
      </c>
      <c r="D46" s="45">
        <f t="shared" si="14"/>
        <v>0</v>
      </c>
      <c r="E46" s="45">
        <f t="shared" si="14"/>
        <v>0</v>
      </c>
      <c r="F46" s="45">
        <f t="shared" si="14"/>
        <v>0</v>
      </c>
      <c r="G46" s="45">
        <f t="shared" si="14"/>
        <v>0</v>
      </c>
      <c r="H46" s="45">
        <f t="shared" si="14"/>
        <v>0</v>
      </c>
      <c r="I46" s="45">
        <f t="shared" si="14"/>
        <v>0</v>
      </c>
      <c r="J46" s="45">
        <f t="shared" si="14"/>
        <v>0</v>
      </c>
      <c r="K46" s="45">
        <f t="shared" si="14"/>
        <v>0</v>
      </c>
      <c r="L46" s="45">
        <f t="shared" si="14"/>
        <v>0</v>
      </c>
      <c r="M46" s="45">
        <f t="shared" si="14"/>
        <v>0</v>
      </c>
      <c r="N46" s="45">
        <f t="shared" si="14"/>
        <v>0</v>
      </c>
      <c r="O46" s="20">
        <f>B46+C46+D46+E46+F46+G46+H46+I46+J46+K46+L46+M46+N46</f>
        <v>-3065.9646759999996</v>
      </c>
      <c r="P46" s="21">
        <f t="shared" si="6"/>
        <v>1.2199999999999999E-2</v>
      </c>
      <c r="R46" s="98">
        <f t="shared" si="0"/>
        <v>-3065.9646759999996</v>
      </c>
      <c r="S46" s="98">
        <f t="shared" si="1"/>
        <v>0</v>
      </c>
    </row>
    <row r="47" spans="1:19" x14ac:dyDescent="0.2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4"/>
      <c r="R47" s="98">
        <f t="shared" si="0"/>
        <v>0</v>
      </c>
      <c r="S47" s="98">
        <f t="shared" si="1"/>
        <v>0</v>
      </c>
    </row>
    <row r="48" spans="1:19" x14ac:dyDescent="0.25">
      <c r="A48" s="48" t="s">
        <v>57</v>
      </c>
      <c r="B48" s="49">
        <f t="shared" ref="B48" si="15">B40*5.56%</f>
        <v>-21777.033255999999</v>
      </c>
      <c r="C48" s="49">
        <f t="shared" ref="C48:M48" si="16">C40*5.56%</f>
        <v>-248.41523999999995</v>
      </c>
      <c r="D48" s="49">
        <f t="shared" si="16"/>
        <v>-96.216911999999994</v>
      </c>
      <c r="E48" s="49">
        <f t="shared" si="16"/>
        <v>-73.607728000000009</v>
      </c>
      <c r="F48" s="49">
        <f t="shared" si="16"/>
        <v>-47.169927999999999</v>
      </c>
      <c r="G48" s="49">
        <f>G40*5.56%</f>
        <v>-55.337011999999994</v>
      </c>
      <c r="H48" s="49">
        <f t="shared" si="16"/>
        <v>0</v>
      </c>
      <c r="I48" s="49">
        <f t="shared" si="16"/>
        <v>0</v>
      </c>
      <c r="J48" s="49">
        <f t="shared" si="16"/>
        <v>0</v>
      </c>
      <c r="K48" s="49">
        <f t="shared" si="16"/>
        <v>0</v>
      </c>
      <c r="L48" s="49">
        <f t="shared" si="16"/>
        <v>0</v>
      </c>
      <c r="M48" s="49">
        <f t="shared" si="16"/>
        <v>0</v>
      </c>
      <c r="N48" s="49">
        <f>N40*5.56%</f>
        <v>0</v>
      </c>
      <c r="O48" s="20">
        <f>B48+C48+D48+E48+F48+G48+H48+I48+J48+K48+L48+M48+N48</f>
        <v>-22297.780075999995</v>
      </c>
      <c r="P48" s="21">
        <f t="shared" si="6"/>
        <v>8.8726696382590661E-2</v>
      </c>
      <c r="R48" s="98">
        <f t="shared" si="0"/>
        <v>-22297.780075999995</v>
      </c>
      <c r="S48" s="98">
        <f t="shared" si="1"/>
        <v>0</v>
      </c>
    </row>
    <row r="49" spans="1:19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4"/>
      <c r="R49" s="98">
        <f t="shared" si="0"/>
        <v>0</v>
      </c>
      <c r="S49" s="98">
        <f t="shared" si="1"/>
        <v>0</v>
      </c>
    </row>
    <row r="50" spans="1:19" x14ac:dyDescent="0.25">
      <c r="A50" s="48" t="s">
        <v>58</v>
      </c>
      <c r="B50" s="49">
        <f t="shared" ref="B50" si="17">B40*0.01%</f>
        <v>-39.167326000000003</v>
      </c>
      <c r="C50" s="49">
        <f t="shared" ref="C50:K50" si="18">C40*0.01%</f>
        <v>-0.44678999999999996</v>
      </c>
      <c r="D50" s="49">
        <f t="shared" si="18"/>
        <v>-0.17305200000000001</v>
      </c>
      <c r="E50" s="49">
        <f t="shared" si="18"/>
        <v>-0.13238800000000001</v>
      </c>
      <c r="F50" s="49">
        <f t="shared" si="18"/>
        <v>-8.4837999999999997E-2</v>
      </c>
      <c r="G50" s="49">
        <f t="shared" si="18"/>
        <v>-9.9527000000000004E-2</v>
      </c>
      <c r="H50" s="49">
        <f t="shared" si="18"/>
        <v>0</v>
      </c>
      <c r="I50" s="49">
        <f t="shared" si="18"/>
        <v>0</v>
      </c>
      <c r="J50" s="49">
        <f t="shared" si="18"/>
        <v>0</v>
      </c>
      <c r="K50" s="49">
        <f t="shared" si="18"/>
        <v>0</v>
      </c>
      <c r="L50" s="49">
        <f>L40*0.01%</f>
        <v>0</v>
      </c>
      <c r="M50" s="49">
        <f t="shared" ref="M50" si="19">M40*0.01%</f>
        <v>0</v>
      </c>
      <c r="N50" s="49">
        <f>N40*0.01%</f>
        <v>0</v>
      </c>
      <c r="O50" s="20">
        <f>B50+C50+D50+E50+F50+G50+H50+I50+J50+K50+L50+M50+N50</f>
        <v>-40.103921</v>
      </c>
      <c r="P50" s="21">
        <f t="shared" si="6"/>
        <v>1.5958038917732138E-4</v>
      </c>
      <c r="R50" s="98">
        <f t="shared" si="0"/>
        <v>-40.103921</v>
      </c>
      <c r="S50" s="98">
        <f t="shared" si="1"/>
        <v>0</v>
      </c>
    </row>
    <row r="51" spans="1:19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4"/>
      <c r="R51" s="98">
        <f t="shared" si="0"/>
        <v>0</v>
      </c>
      <c r="S51" s="98">
        <f t="shared" si="1"/>
        <v>0</v>
      </c>
    </row>
    <row r="52" spans="1:19" x14ac:dyDescent="0.25">
      <c r="A52" s="39" t="s">
        <v>142</v>
      </c>
      <c r="B52" s="58">
        <f>B42+B48+B50+B44+B46</f>
        <v>-198293.92352800001</v>
      </c>
      <c r="C52" s="58">
        <f>C42+C48+C50+C44+C46</f>
        <v>-4716.7620299999999</v>
      </c>
      <c r="D52" s="58">
        <f>D42+D48+D50+D44+D46</f>
        <v>-1826.9099640000002</v>
      </c>
      <c r="E52" s="58">
        <f>E42+E48+E50+E44+E46</f>
        <v>-1397.6201160000001</v>
      </c>
      <c r="F52" s="58">
        <f t="shared" ref="F52:M52" si="20">F42+F48+F50+F44+F46</f>
        <v>-895.63476600000001</v>
      </c>
      <c r="G52" s="58">
        <f t="shared" si="20"/>
        <v>-1050.706539</v>
      </c>
      <c r="H52" s="58">
        <f t="shared" si="20"/>
        <v>0</v>
      </c>
      <c r="I52" s="58">
        <f t="shared" si="20"/>
        <v>0</v>
      </c>
      <c r="J52" s="58">
        <f t="shared" si="20"/>
        <v>0</v>
      </c>
      <c r="K52" s="58">
        <f t="shared" si="20"/>
        <v>0</v>
      </c>
      <c r="L52" s="58">
        <f t="shared" si="20"/>
        <v>0</v>
      </c>
      <c r="M52" s="58">
        <f t="shared" si="20"/>
        <v>0</v>
      </c>
      <c r="N52" s="58">
        <f>N42+N48+N50+N44+N46</f>
        <v>0</v>
      </c>
      <c r="O52" s="154">
        <f>B52+C52+D52+E52+F52+G52+H52+I52+J52+K52+L52+M52+N52</f>
        <v>-208181.55694300003</v>
      </c>
      <c r="P52" s="21">
        <f t="shared" si="6"/>
        <v>0.82839016854498182</v>
      </c>
      <c r="R52" s="98">
        <f t="shared" si="0"/>
        <v>-208181.55694300003</v>
      </c>
      <c r="S52" s="98">
        <f t="shared" si="1"/>
        <v>0</v>
      </c>
    </row>
    <row r="53" spans="1:19" x14ac:dyDescent="0.2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</row>
    <row r="54" spans="1:19" x14ac:dyDescent="0.25">
      <c r="A54" s="52" t="s">
        <v>35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53"/>
      <c r="P54" s="50"/>
    </row>
    <row r="55" spans="1:19" x14ac:dyDescent="0.25">
      <c r="A55" s="8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</row>
    <row r="56" spans="1:19" x14ac:dyDescent="0.25">
      <c r="A56" s="54" t="s">
        <v>36</v>
      </c>
      <c r="B56" s="50"/>
      <c r="C56" s="83"/>
      <c r="P56" s="89">
        <v>45869</v>
      </c>
    </row>
    <row r="58" spans="1:19" x14ac:dyDescent="0.25">
      <c r="B58" s="98">
        <f>B11+B40+B44+B46+B48+B50</f>
        <v>-198293.92352800001</v>
      </c>
      <c r="C58" s="98">
        <f>C11+C40+C44+C46+C48+C50</f>
        <v>-4716.7620299999999</v>
      </c>
      <c r="D58" s="98">
        <f t="shared" ref="D58:N58" si="21">D11+D40+D44+D46+D48+D50</f>
        <v>-1826.9099640000002</v>
      </c>
      <c r="E58" s="98">
        <f t="shared" si="21"/>
        <v>-1397.6201160000001</v>
      </c>
      <c r="F58" s="98">
        <f t="shared" si="21"/>
        <v>-895.63476600000001</v>
      </c>
      <c r="G58" s="98">
        <f t="shared" si="21"/>
        <v>-1050.706539</v>
      </c>
      <c r="H58" s="98">
        <f t="shared" si="21"/>
        <v>0</v>
      </c>
      <c r="I58" s="98">
        <f t="shared" si="21"/>
        <v>0</v>
      </c>
      <c r="J58" s="98">
        <f t="shared" si="21"/>
        <v>0</v>
      </c>
      <c r="K58" s="98">
        <f t="shared" si="21"/>
        <v>0</v>
      </c>
      <c r="L58" s="98">
        <f t="shared" si="21"/>
        <v>0</v>
      </c>
      <c r="M58" s="98">
        <f t="shared" si="21"/>
        <v>0</v>
      </c>
      <c r="N58" s="98">
        <f t="shared" si="21"/>
        <v>0</v>
      </c>
      <c r="O58" s="98">
        <f>O11+O40+O44+O46+O48+O50</f>
        <v>-208181.55694299997</v>
      </c>
    </row>
    <row r="60" spans="1:19" x14ac:dyDescent="0.25">
      <c r="B60" s="98">
        <f>B58-B52</f>
        <v>0</v>
      </c>
      <c r="C60" s="98">
        <f t="shared" ref="C60:O60" si="22">C58-C52</f>
        <v>0</v>
      </c>
      <c r="D60" s="98">
        <f t="shared" si="22"/>
        <v>0</v>
      </c>
      <c r="E60" s="98">
        <f t="shared" si="22"/>
        <v>0</v>
      </c>
      <c r="F60" s="98">
        <f t="shared" si="22"/>
        <v>0</v>
      </c>
      <c r="G60" s="98">
        <f t="shared" si="22"/>
        <v>0</v>
      </c>
      <c r="H60" s="98">
        <f t="shared" si="22"/>
        <v>0</v>
      </c>
      <c r="I60" s="98">
        <f t="shared" si="22"/>
        <v>0</v>
      </c>
      <c r="J60" s="98">
        <f t="shared" si="22"/>
        <v>0</v>
      </c>
      <c r="K60" s="98">
        <f t="shared" si="22"/>
        <v>0</v>
      </c>
      <c r="L60" s="98">
        <f t="shared" si="22"/>
        <v>0</v>
      </c>
      <c r="M60" s="98">
        <f t="shared" si="22"/>
        <v>0</v>
      </c>
      <c r="N60" s="98">
        <f t="shared" si="22"/>
        <v>0</v>
      </c>
      <c r="O60" s="98">
        <f t="shared" si="22"/>
        <v>0</v>
      </c>
    </row>
  </sheetData>
  <mergeCells count="3">
    <mergeCell ref="A1:P1"/>
    <mergeCell ref="A3:P3"/>
    <mergeCell ref="A5:P5"/>
  </mergeCells>
  <phoneticPr fontId="12" type="noConversion"/>
  <conditionalFormatting sqref="F52">
    <cfRule type="cellIs" dxfId="51" priority="5" operator="lessThan">
      <formula>0</formula>
    </cfRule>
    <cfRule type="cellIs" dxfId="50" priority="6" operator="greaterThan">
      <formula>0</formula>
    </cfRule>
  </conditionalFormatting>
  <conditionalFormatting sqref="H52:I52">
    <cfRule type="cellIs" dxfId="49" priority="3" operator="lessThan">
      <formula>0</formula>
    </cfRule>
    <cfRule type="cellIs" dxfId="48" priority="4" operator="greaterThan">
      <formula>0</formula>
    </cfRule>
  </conditionalFormatting>
  <conditionalFormatting sqref="K52">
    <cfRule type="cellIs" dxfId="47" priority="1" operator="lessThan">
      <formula>0</formula>
    </cfRule>
    <cfRule type="cellIs" dxfId="46" priority="2" operator="greaterThan">
      <formula>0</formula>
    </cfRule>
  </conditionalFormatting>
  <printOptions horizontalCentered="1" verticalCentered="1"/>
  <pageMargins left="0.31496062992125984" right="0.11811023622047245" top="0.19685039370078741" bottom="0" header="0.39370078740157483" footer="0"/>
  <pageSetup paperSize="9" scale="67" orientation="landscape" r:id="rId1"/>
  <headerFooter>
    <oddHeader>&amp;C&amp;"-,Negrito"&amp;14                                  BELA NOVA CONSTRUTORA LTDA</oddHeader>
  </headerFooter>
  <colBreaks count="1" manualBreakCount="1">
    <brk id="16" max="1048575" man="1"/>
  </colBreaks>
  <ignoredErrors>
    <ignoredError sqref="R53 R56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R59"/>
  <sheetViews>
    <sheetView zoomScaleNormal="100" workbookViewId="0">
      <pane xSplit="1" topLeftCell="B1" activePane="topRight" state="frozen"/>
      <selection activeCell="E22" sqref="E22"/>
      <selection pane="topRight" activeCell="F51" sqref="F51"/>
    </sheetView>
  </sheetViews>
  <sheetFormatPr defaultRowHeight="15" x14ac:dyDescent="0.25"/>
  <cols>
    <col min="1" max="1" width="61.5703125" bestFit="1" customWidth="1"/>
    <col min="2" max="2" width="15" bestFit="1" customWidth="1"/>
    <col min="3" max="3" width="16.28515625" bestFit="1" customWidth="1"/>
    <col min="4" max="4" width="13.85546875" bestFit="1" customWidth="1"/>
    <col min="5" max="5" width="14.7109375" customWidth="1"/>
    <col min="6" max="6" width="14.42578125" customWidth="1"/>
    <col min="7" max="7" width="12.42578125" hidden="1" customWidth="1"/>
    <col min="8" max="8" width="11.7109375" hidden="1" customWidth="1"/>
    <col min="9" max="9" width="13.28515625" hidden="1" customWidth="1"/>
    <col min="10" max="10" width="16.140625" hidden="1" customWidth="1"/>
    <col min="11" max="11" width="14.7109375" hidden="1" customWidth="1"/>
    <col min="12" max="12" width="16.85546875" hidden="1" customWidth="1"/>
    <col min="13" max="13" width="16.7109375" hidden="1" customWidth="1"/>
    <col min="14" max="14" width="15" bestFit="1" customWidth="1"/>
    <col min="15" max="15" width="10.7109375" bestFit="1" customWidth="1"/>
    <col min="17" max="17" width="13.28515625" bestFit="1" customWidth="1"/>
  </cols>
  <sheetData>
    <row r="1" spans="1:18" ht="15.75" customHeight="1" x14ac:dyDescent="0.25">
      <c r="A1" s="88"/>
      <c r="B1" s="209" t="s">
        <v>160</v>
      </c>
      <c r="C1" s="209"/>
      <c r="D1" s="209"/>
      <c r="E1" s="209"/>
    </row>
    <row r="2" spans="1:18" ht="15.75" x14ac:dyDescent="0.25">
      <c r="A2" s="71"/>
      <c r="B2" s="10"/>
    </row>
    <row r="3" spans="1:18" ht="15.75" customHeight="1" x14ac:dyDescent="0.25">
      <c r="A3" s="88"/>
      <c r="B3" s="209" t="s">
        <v>161</v>
      </c>
      <c r="C3" s="209"/>
      <c r="D3" s="209"/>
      <c r="E3" s="209"/>
    </row>
    <row r="4" spans="1:18" ht="15.75" x14ac:dyDescent="0.25">
      <c r="A4" s="71"/>
      <c r="B4" s="10"/>
    </row>
    <row r="5" spans="1:18" ht="15.75" x14ac:dyDescent="0.25">
      <c r="A5" s="71"/>
      <c r="B5" s="209" t="s">
        <v>167</v>
      </c>
      <c r="C5" s="209"/>
      <c r="D5" s="209"/>
      <c r="E5" s="209"/>
    </row>
    <row r="6" spans="1:18" x14ac:dyDescent="0.25">
      <c r="A6" s="10"/>
      <c r="B6" s="10"/>
    </row>
    <row r="7" spans="1:18" x14ac:dyDescent="0.25">
      <c r="A7" s="12"/>
      <c r="B7" s="60" t="s">
        <v>117</v>
      </c>
      <c r="C7" s="60" t="s">
        <v>118</v>
      </c>
      <c r="D7" s="60" t="s">
        <v>119</v>
      </c>
      <c r="E7" s="60" t="s">
        <v>120</v>
      </c>
      <c r="F7" s="60" t="s">
        <v>121</v>
      </c>
      <c r="G7" s="60" t="s">
        <v>123</v>
      </c>
      <c r="H7" s="60" t="s">
        <v>124</v>
      </c>
      <c r="I7" s="60" t="s">
        <v>125</v>
      </c>
      <c r="J7" s="60" t="s">
        <v>126</v>
      </c>
      <c r="K7" s="60" t="s">
        <v>127</v>
      </c>
      <c r="L7" s="60" t="s">
        <v>128</v>
      </c>
      <c r="M7" s="60" t="s">
        <v>129</v>
      </c>
      <c r="N7" s="13" t="s">
        <v>1</v>
      </c>
      <c r="O7" s="14" t="s">
        <v>2</v>
      </c>
    </row>
    <row r="8" spans="1:18" x14ac:dyDescent="0.25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7"/>
      <c r="O8" s="18"/>
    </row>
    <row r="9" spans="1:18" x14ac:dyDescent="0.25">
      <c r="A9" s="78" t="s">
        <v>4</v>
      </c>
      <c r="B9" s="19">
        <v>17362.62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20">
        <f>B9+C9+D9+E9+F9+G9+H9+I9+J9+K9+L9+M9</f>
        <v>17362.62</v>
      </c>
      <c r="O9" s="21">
        <v>1</v>
      </c>
      <c r="Q9" s="98">
        <f>SUM(B9:F9)</f>
        <v>17362.62</v>
      </c>
      <c r="R9" s="98">
        <f>Q9-N9</f>
        <v>0</v>
      </c>
    </row>
    <row r="10" spans="1:18" x14ac:dyDescent="0.25">
      <c r="A10" s="15" t="s">
        <v>5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20">
        <f>B10+C10+D10+E10+F10+G10+H10+I10+J10+K10+L10+M10</f>
        <v>0</v>
      </c>
      <c r="O10" s="21"/>
      <c r="Q10" s="98">
        <f t="shared" ref="Q10:Q52" si="0">SUM(B10:F10)</f>
        <v>0</v>
      </c>
      <c r="R10" s="98">
        <f t="shared" ref="R10:R52" si="1">Q10-N10</f>
        <v>0</v>
      </c>
    </row>
    <row r="11" spans="1:18" x14ac:dyDescent="0.25">
      <c r="A11" s="23" t="s">
        <v>6</v>
      </c>
      <c r="B11" s="24">
        <f t="shared" ref="B11:D11" si="2">SUM(B9:B10)</f>
        <v>17362.62</v>
      </c>
      <c r="C11" s="24">
        <f t="shared" si="2"/>
        <v>0</v>
      </c>
      <c r="D11" s="24">
        <f t="shared" si="2"/>
        <v>0</v>
      </c>
      <c r="E11" s="24">
        <f t="shared" ref="E11:M11" si="3">SUM(E9:E10)</f>
        <v>0</v>
      </c>
      <c r="F11" s="24">
        <f t="shared" si="3"/>
        <v>0</v>
      </c>
      <c r="G11" s="24">
        <f t="shared" si="3"/>
        <v>0</v>
      </c>
      <c r="H11" s="24">
        <f t="shared" si="3"/>
        <v>0</v>
      </c>
      <c r="I11" s="24">
        <f t="shared" si="3"/>
        <v>0</v>
      </c>
      <c r="J11" s="24">
        <f t="shared" si="3"/>
        <v>0</v>
      </c>
      <c r="K11" s="24">
        <f t="shared" si="3"/>
        <v>0</v>
      </c>
      <c r="L11" s="24">
        <f t="shared" si="3"/>
        <v>0</v>
      </c>
      <c r="M11" s="24">
        <f t="shared" si="3"/>
        <v>0</v>
      </c>
      <c r="N11" s="24">
        <f>SUM(N9:N10)</f>
        <v>17362.62</v>
      </c>
      <c r="O11" s="21">
        <v>1</v>
      </c>
      <c r="Q11" s="98">
        <f t="shared" si="0"/>
        <v>17362.62</v>
      </c>
      <c r="R11" s="98">
        <f t="shared" si="1"/>
        <v>0</v>
      </c>
    </row>
    <row r="12" spans="1:18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7"/>
      <c r="O12" s="28"/>
      <c r="Q12" s="98">
        <f t="shared" si="0"/>
        <v>0</v>
      </c>
      <c r="R12" s="98">
        <f t="shared" si="1"/>
        <v>0</v>
      </c>
    </row>
    <row r="13" spans="1:18" x14ac:dyDescent="0.25">
      <c r="A13" s="29" t="s">
        <v>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30"/>
      <c r="O13" s="31"/>
      <c r="Q13" s="98">
        <f t="shared" si="0"/>
        <v>0</v>
      </c>
      <c r="R13" s="98">
        <f t="shared" si="1"/>
        <v>0</v>
      </c>
    </row>
    <row r="14" spans="1:18" x14ac:dyDescent="0.25">
      <c r="A14" s="15" t="s">
        <v>8</v>
      </c>
      <c r="B14" s="32">
        <v>0</v>
      </c>
      <c r="C14" s="32">
        <v>45.21</v>
      </c>
      <c r="D14" s="32">
        <v>-5860.01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20">
        <f>B14+C14+D14+E14+F14+G14+H14+I14+J14+K14+L14+M14</f>
        <v>-5814.8</v>
      </c>
      <c r="O14" s="21">
        <f>-N14/$N$11</f>
        <v>0.33490337287805644</v>
      </c>
      <c r="Q14" s="98">
        <f t="shared" si="0"/>
        <v>-5814.8</v>
      </c>
      <c r="R14" s="98">
        <f t="shared" si="1"/>
        <v>0</v>
      </c>
    </row>
    <row r="15" spans="1:18" x14ac:dyDescent="0.25">
      <c r="A15" s="33" t="s">
        <v>9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20">
        <f t="shared" ref="N15:N39" si="4">B15+C15+D15+E15+F15+G15+H15+I15+J15+K15+L15+M15</f>
        <v>0</v>
      </c>
      <c r="O15" s="21">
        <f t="shared" ref="O15:O50" si="5">-N15/$N$11</f>
        <v>0</v>
      </c>
      <c r="Q15" s="98">
        <f t="shared" si="0"/>
        <v>0</v>
      </c>
      <c r="R15" s="98">
        <f t="shared" si="1"/>
        <v>0</v>
      </c>
    </row>
    <row r="16" spans="1:18" x14ac:dyDescent="0.25">
      <c r="A16" s="15" t="s">
        <v>10</v>
      </c>
      <c r="B16" s="32">
        <v>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20">
        <f t="shared" si="4"/>
        <v>0</v>
      </c>
      <c r="O16" s="21">
        <f t="shared" si="5"/>
        <v>0</v>
      </c>
      <c r="Q16" s="98">
        <f t="shared" si="0"/>
        <v>0</v>
      </c>
      <c r="R16" s="98">
        <f t="shared" si="1"/>
        <v>0</v>
      </c>
    </row>
    <row r="17" spans="1:18" x14ac:dyDescent="0.25">
      <c r="A17" s="33" t="s">
        <v>11</v>
      </c>
      <c r="B17" s="32">
        <v>0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20">
        <f t="shared" si="4"/>
        <v>0</v>
      </c>
      <c r="O17" s="21">
        <f t="shared" si="5"/>
        <v>0</v>
      </c>
      <c r="Q17" s="98">
        <f t="shared" si="0"/>
        <v>0</v>
      </c>
      <c r="R17" s="98">
        <f t="shared" si="1"/>
        <v>0</v>
      </c>
    </row>
    <row r="18" spans="1:18" x14ac:dyDescent="0.25">
      <c r="A18" s="15" t="s">
        <v>12</v>
      </c>
      <c r="B18" s="32">
        <v>0</v>
      </c>
      <c r="C18" s="32">
        <v>-256.58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20">
        <f t="shared" si="4"/>
        <v>-256.58</v>
      </c>
      <c r="O18" s="21">
        <f t="shared" si="5"/>
        <v>1.4777723638483132E-2</v>
      </c>
      <c r="Q18" s="98">
        <f t="shared" si="0"/>
        <v>-256.58</v>
      </c>
      <c r="R18" s="98">
        <f t="shared" si="1"/>
        <v>0</v>
      </c>
    </row>
    <row r="19" spans="1:18" x14ac:dyDescent="0.25">
      <c r="A19" s="15" t="s">
        <v>13</v>
      </c>
      <c r="B19" s="32">
        <v>0</v>
      </c>
      <c r="C19" s="32">
        <v>-216.16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20">
        <f t="shared" si="4"/>
        <v>-216.16</v>
      </c>
      <c r="O19" s="21">
        <f t="shared" si="5"/>
        <v>1.2449733968721311E-2</v>
      </c>
      <c r="Q19" s="98">
        <f t="shared" si="0"/>
        <v>-216.16</v>
      </c>
      <c r="R19" s="98">
        <f t="shared" si="1"/>
        <v>0</v>
      </c>
    </row>
    <row r="20" spans="1:18" x14ac:dyDescent="0.25">
      <c r="A20" s="15" t="s">
        <v>14</v>
      </c>
      <c r="B20" s="32">
        <v>0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20">
        <f t="shared" si="4"/>
        <v>0</v>
      </c>
      <c r="O20" s="21">
        <f t="shared" si="5"/>
        <v>0</v>
      </c>
      <c r="Q20" s="98">
        <f t="shared" si="0"/>
        <v>0</v>
      </c>
      <c r="R20" s="98">
        <f t="shared" si="1"/>
        <v>0</v>
      </c>
    </row>
    <row r="21" spans="1:18" x14ac:dyDescent="0.25">
      <c r="A21" s="15" t="s">
        <v>15</v>
      </c>
      <c r="B21" s="32">
        <v>0</v>
      </c>
      <c r="C21" s="32">
        <v>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20">
        <f t="shared" si="4"/>
        <v>0</v>
      </c>
      <c r="O21" s="21">
        <f t="shared" si="5"/>
        <v>0</v>
      </c>
      <c r="Q21" s="98">
        <f t="shared" si="0"/>
        <v>0</v>
      </c>
      <c r="R21" s="98">
        <f t="shared" si="1"/>
        <v>0</v>
      </c>
    </row>
    <row r="22" spans="1:18" x14ac:dyDescent="0.25">
      <c r="A22" s="15" t="s">
        <v>16</v>
      </c>
      <c r="B22" s="32">
        <v>0</v>
      </c>
      <c r="C22" s="32">
        <v>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20">
        <f t="shared" si="4"/>
        <v>0</v>
      </c>
      <c r="O22" s="21">
        <f t="shared" si="5"/>
        <v>0</v>
      </c>
      <c r="Q22" s="98">
        <f t="shared" si="0"/>
        <v>0</v>
      </c>
      <c r="R22" s="98">
        <f t="shared" si="1"/>
        <v>0</v>
      </c>
    </row>
    <row r="23" spans="1:18" x14ac:dyDescent="0.25">
      <c r="A23" s="15" t="s">
        <v>17</v>
      </c>
      <c r="B23" s="32">
        <v>0</v>
      </c>
      <c r="C23" s="32">
        <v>-237.77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20">
        <f t="shared" si="4"/>
        <v>-237.77</v>
      </c>
      <c r="O23" s="21">
        <f t="shared" si="5"/>
        <v>1.369436179562762E-2</v>
      </c>
      <c r="Q23" s="98">
        <f t="shared" si="0"/>
        <v>-237.77</v>
      </c>
      <c r="R23" s="98">
        <f t="shared" si="1"/>
        <v>0</v>
      </c>
    </row>
    <row r="24" spans="1:18" x14ac:dyDescent="0.25">
      <c r="A24" s="15" t="s">
        <v>18</v>
      </c>
      <c r="B24" s="32">
        <v>0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20">
        <f t="shared" si="4"/>
        <v>0</v>
      </c>
      <c r="O24" s="21">
        <f t="shared" si="5"/>
        <v>0</v>
      </c>
      <c r="Q24" s="98">
        <f t="shared" si="0"/>
        <v>0</v>
      </c>
      <c r="R24" s="98">
        <f t="shared" si="1"/>
        <v>0</v>
      </c>
    </row>
    <row r="25" spans="1:18" x14ac:dyDescent="0.25">
      <c r="A25" s="15" t="s">
        <v>19</v>
      </c>
      <c r="B25" s="32">
        <v>0</v>
      </c>
      <c r="C25" s="76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20">
        <f t="shared" si="4"/>
        <v>0</v>
      </c>
      <c r="O25" s="21">
        <f t="shared" si="5"/>
        <v>0</v>
      </c>
      <c r="Q25" s="98">
        <f t="shared" si="0"/>
        <v>0</v>
      </c>
      <c r="R25" s="98">
        <f t="shared" si="1"/>
        <v>0</v>
      </c>
    </row>
    <row r="26" spans="1:18" x14ac:dyDescent="0.25">
      <c r="A26" s="15" t="s">
        <v>20</v>
      </c>
      <c r="B26" s="32">
        <v>0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20">
        <f t="shared" si="4"/>
        <v>0</v>
      </c>
      <c r="O26" s="21">
        <f t="shared" si="5"/>
        <v>0</v>
      </c>
      <c r="Q26" s="98">
        <f t="shared" si="0"/>
        <v>0</v>
      </c>
      <c r="R26" s="98">
        <f t="shared" si="1"/>
        <v>0</v>
      </c>
    </row>
    <row r="27" spans="1:18" x14ac:dyDescent="0.25">
      <c r="A27" s="15" t="s">
        <v>59</v>
      </c>
      <c r="B27" s="32">
        <v>0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20">
        <f t="shared" si="4"/>
        <v>0</v>
      </c>
      <c r="O27" s="21">
        <f t="shared" si="5"/>
        <v>0</v>
      </c>
      <c r="Q27" s="98">
        <f t="shared" si="0"/>
        <v>0</v>
      </c>
      <c r="R27" s="98">
        <f t="shared" si="1"/>
        <v>0</v>
      </c>
    </row>
    <row r="28" spans="1:18" x14ac:dyDescent="0.25">
      <c r="A28" s="15" t="s">
        <v>21</v>
      </c>
      <c r="B28" s="32">
        <v>0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20">
        <f t="shared" si="4"/>
        <v>0</v>
      </c>
      <c r="O28" s="21">
        <f t="shared" si="5"/>
        <v>0</v>
      </c>
      <c r="Q28" s="98">
        <f t="shared" si="0"/>
        <v>0</v>
      </c>
      <c r="R28" s="98">
        <f t="shared" si="1"/>
        <v>0</v>
      </c>
    </row>
    <row r="29" spans="1:18" x14ac:dyDescent="0.25">
      <c r="A29" s="15" t="s">
        <v>22</v>
      </c>
      <c r="B29" s="32">
        <v>0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20">
        <f t="shared" si="4"/>
        <v>0</v>
      </c>
      <c r="O29" s="21">
        <f t="shared" si="5"/>
        <v>0</v>
      </c>
      <c r="Q29" s="98">
        <f t="shared" si="0"/>
        <v>0</v>
      </c>
      <c r="R29" s="98">
        <f t="shared" si="1"/>
        <v>0</v>
      </c>
    </row>
    <row r="30" spans="1:18" x14ac:dyDescent="0.25">
      <c r="A30" s="33" t="s">
        <v>23</v>
      </c>
      <c r="B30" s="32">
        <v>0</v>
      </c>
      <c r="C30" s="32">
        <v>0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20">
        <f t="shared" si="4"/>
        <v>0</v>
      </c>
      <c r="O30" s="21">
        <f t="shared" si="5"/>
        <v>0</v>
      </c>
      <c r="Q30" s="98">
        <f t="shared" si="0"/>
        <v>0</v>
      </c>
      <c r="R30" s="98">
        <f t="shared" si="1"/>
        <v>0</v>
      </c>
    </row>
    <row r="31" spans="1:18" x14ac:dyDescent="0.25">
      <c r="A31" s="15" t="s">
        <v>24</v>
      </c>
      <c r="B31" s="32">
        <v>0</v>
      </c>
      <c r="C31" s="32">
        <v>0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20">
        <f t="shared" si="4"/>
        <v>0</v>
      </c>
      <c r="O31" s="21">
        <f t="shared" si="5"/>
        <v>0</v>
      </c>
      <c r="Q31" s="98">
        <f t="shared" si="0"/>
        <v>0</v>
      </c>
      <c r="R31" s="98">
        <f t="shared" si="1"/>
        <v>0</v>
      </c>
    </row>
    <row r="32" spans="1:18" x14ac:dyDescent="0.25">
      <c r="A32" s="34" t="s">
        <v>25</v>
      </c>
      <c r="B32" s="32">
        <v>0</v>
      </c>
      <c r="C32" s="32">
        <v>-2703.2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20">
        <f t="shared" si="4"/>
        <v>-2703.2</v>
      </c>
      <c r="O32" s="21">
        <f t="shared" si="5"/>
        <v>0.155690788602181</v>
      </c>
      <c r="Q32" s="98">
        <f t="shared" si="0"/>
        <v>-2703.2</v>
      </c>
      <c r="R32" s="98">
        <f t="shared" si="1"/>
        <v>0</v>
      </c>
    </row>
    <row r="33" spans="1:18" x14ac:dyDescent="0.25">
      <c r="A33" s="15" t="s">
        <v>26</v>
      </c>
      <c r="B33" s="32">
        <v>0</v>
      </c>
      <c r="C33" s="32">
        <v>0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20">
        <f t="shared" si="4"/>
        <v>0</v>
      </c>
      <c r="O33" s="21">
        <f t="shared" si="5"/>
        <v>0</v>
      </c>
      <c r="Q33" s="98">
        <f t="shared" si="0"/>
        <v>0</v>
      </c>
      <c r="R33" s="98">
        <f t="shared" si="1"/>
        <v>0</v>
      </c>
    </row>
    <row r="34" spans="1:18" x14ac:dyDescent="0.25">
      <c r="A34" s="15" t="s">
        <v>27</v>
      </c>
      <c r="B34" s="32">
        <v>0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20">
        <f t="shared" si="4"/>
        <v>0</v>
      </c>
      <c r="O34" s="21">
        <f t="shared" si="5"/>
        <v>0</v>
      </c>
      <c r="Q34" s="98">
        <f t="shared" si="0"/>
        <v>0</v>
      </c>
      <c r="R34" s="98">
        <f t="shared" si="1"/>
        <v>0</v>
      </c>
    </row>
    <row r="35" spans="1:18" x14ac:dyDescent="0.25">
      <c r="A35" s="33" t="s">
        <v>28</v>
      </c>
      <c r="B35" s="32">
        <v>0</v>
      </c>
      <c r="C35" s="32">
        <v>0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20">
        <f t="shared" si="4"/>
        <v>0</v>
      </c>
      <c r="O35" s="21">
        <f t="shared" si="5"/>
        <v>0</v>
      </c>
      <c r="Q35" s="98">
        <f t="shared" si="0"/>
        <v>0</v>
      </c>
      <c r="R35" s="98">
        <f t="shared" si="1"/>
        <v>0</v>
      </c>
    </row>
    <row r="36" spans="1:18" x14ac:dyDescent="0.25">
      <c r="A36" s="15" t="s">
        <v>29</v>
      </c>
      <c r="B36" s="32">
        <v>0</v>
      </c>
      <c r="C36" s="32">
        <v>-283.74</v>
      </c>
      <c r="D36" s="32">
        <v>-1033.2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20">
        <f t="shared" si="4"/>
        <v>-1316.94</v>
      </c>
      <c r="O36" s="21">
        <f t="shared" si="5"/>
        <v>7.5849151798518893E-2</v>
      </c>
      <c r="Q36" s="98">
        <f t="shared" si="0"/>
        <v>-1316.94</v>
      </c>
      <c r="R36" s="98">
        <f t="shared" si="1"/>
        <v>0</v>
      </c>
    </row>
    <row r="37" spans="1:18" x14ac:dyDescent="0.25">
      <c r="A37" s="15" t="s">
        <v>30</v>
      </c>
      <c r="B37" s="32">
        <v>0</v>
      </c>
      <c r="C37" s="32">
        <v>-192.43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20">
        <f t="shared" si="4"/>
        <v>-192.43</v>
      </c>
      <c r="O37" s="21">
        <f t="shared" si="5"/>
        <v>1.108300475389083E-2</v>
      </c>
      <c r="Q37" s="98">
        <f t="shared" si="0"/>
        <v>-192.43</v>
      </c>
      <c r="R37" s="98">
        <f t="shared" si="1"/>
        <v>0</v>
      </c>
    </row>
    <row r="38" spans="1:18" x14ac:dyDescent="0.25">
      <c r="A38" s="15" t="s">
        <v>97</v>
      </c>
      <c r="B38" s="32">
        <v>0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20">
        <f t="shared" si="4"/>
        <v>0</v>
      </c>
      <c r="O38" s="21">
        <f t="shared" si="5"/>
        <v>0</v>
      </c>
      <c r="Q38" s="98">
        <f t="shared" si="0"/>
        <v>0</v>
      </c>
      <c r="R38" s="98">
        <f t="shared" si="1"/>
        <v>0</v>
      </c>
    </row>
    <row r="39" spans="1:18" x14ac:dyDescent="0.25">
      <c r="A39" s="15" t="s">
        <v>114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20">
        <f t="shared" si="4"/>
        <v>0</v>
      </c>
      <c r="O39" s="21">
        <f t="shared" si="5"/>
        <v>0</v>
      </c>
      <c r="Q39" s="98">
        <f t="shared" si="0"/>
        <v>0</v>
      </c>
      <c r="R39" s="98">
        <f t="shared" si="1"/>
        <v>0</v>
      </c>
    </row>
    <row r="40" spans="1:18" x14ac:dyDescent="0.25">
      <c r="A40" s="35" t="s">
        <v>31</v>
      </c>
      <c r="B40" s="36">
        <f>SUM(B14:B39)</f>
        <v>0</v>
      </c>
      <c r="C40" s="36">
        <f t="shared" ref="C40:M40" si="6">SUM(C14:C39)</f>
        <v>-3844.6699999999996</v>
      </c>
      <c r="D40" s="36">
        <f t="shared" si="6"/>
        <v>-6893.21</v>
      </c>
      <c r="E40" s="36">
        <f t="shared" si="6"/>
        <v>0</v>
      </c>
      <c r="F40" s="36">
        <f t="shared" si="6"/>
        <v>0</v>
      </c>
      <c r="G40" s="36">
        <f t="shared" si="6"/>
        <v>0</v>
      </c>
      <c r="H40" s="36">
        <f t="shared" si="6"/>
        <v>0</v>
      </c>
      <c r="I40" s="36">
        <f t="shared" si="6"/>
        <v>0</v>
      </c>
      <c r="J40" s="36">
        <f t="shared" si="6"/>
        <v>0</v>
      </c>
      <c r="K40" s="36">
        <f t="shared" si="6"/>
        <v>0</v>
      </c>
      <c r="L40" s="36">
        <f t="shared" si="6"/>
        <v>0</v>
      </c>
      <c r="M40" s="36">
        <f t="shared" si="6"/>
        <v>0</v>
      </c>
      <c r="N40" s="36">
        <f>SUM(N14:N39)</f>
        <v>-10737.880000000001</v>
      </c>
      <c r="O40" s="21">
        <f t="shared" si="5"/>
        <v>0.61844813743547933</v>
      </c>
      <c r="Q40" s="98">
        <f t="shared" si="0"/>
        <v>-10737.88</v>
      </c>
      <c r="R40" s="98">
        <f t="shared" si="1"/>
        <v>0</v>
      </c>
    </row>
    <row r="41" spans="1:18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18"/>
      <c r="Q41" s="98">
        <f t="shared" si="0"/>
        <v>0</v>
      </c>
      <c r="R41" s="98">
        <f t="shared" si="1"/>
        <v>0</v>
      </c>
    </row>
    <row r="42" spans="1:18" x14ac:dyDescent="0.25">
      <c r="A42" s="39" t="s">
        <v>32</v>
      </c>
      <c r="B42" s="40">
        <f t="shared" ref="B42:M42" si="7">B11+B40</f>
        <v>17362.62</v>
      </c>
      <c r="C42" s="58">
        <f t="shared" si="7"/>
        <v>-3844.6699999999996</v>
      </c>
      <c r="D42" s="58">
        <f t="shared" si="7"/>
        <v>-6893.21</v>
      </c>
      <c r="E42" s="58">
        <f t="shared" si="7"/>
        <v>0</v>
      </c>
      <c r="F42" s="58">
        <f t="shared" si="7"/>
        <v>0</v>
      </c>
      <c r="G42" s="58">
        <f t="shared" si="7"/>
        <v>0</v>
      </c>
      <c r="H42" s="58">
        <f t="shared" si="7"/>
        <v>0</v>
      </c>
      <c r="I42" s="58">
        <f t="shared" si="7"/>
        <v>0</v>
      </c>
      <c r="J42" s="58">
        <f t="shared" si="7"/>
        <v>0</v>
      </c>
      <c r="K42" s="58">
        <f t="shared" si="7"/>
        <v>0</v>
      </c>
      <c r="L42" s="58">
        <f t="shared" si="7"/>
        <v>0</v>
      </c>
      <c r="M42" s="58">
        <f t="shared" si="7"/>
        <v>0</v>
      </c>
      <c r="N42" s="40">
        <f>B42+C42+D42+E42+F42+G42+H42+I42+J42+K42+L42+M42</f>
        <v>6624.7399999999989</v>
      </c>
      <c r="O42" s="21">
        <f>N42/$N$11</f>
        <v>0.38155186256452073</v>
      </c>
      <c r="Q42" s="98">
        <f t="shared" si="0"/>
        <v>6624.7399999999989</v>
      </c>
      <c r="R42" s="98">
        <f t="shared" si="1"/>
        <v>0</v>
      </c>
    </row>
    <row r="43" spans="1:18" x14ac:dyDescent="0.25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4"/>
      <c r="Q43" s="98">
        <f t="shared" si="0"/>
        <v>0</v>
      </c>
      <c r="R43" s="98">
        <f t="shared" si="1"/>
        <v>0</v>
      </c>
    </row>
    <row r="44" spans="1:18" x14ac:dyDescent="0.25">
      <c r="A44" s="29" t="s">
        <v>56</v>
      </c>
      <c r="B44" s="45">
        <f t="shared" ref="B44:J44" si="8">-B9*13.15%</f>
        <v>-2283.18453</v>
      </c>
      <c r="C44" s="45">
        <f t="shared" si="8"/>
        <v>0</v>
      </c>
      <c r="D44" s="45">
        <f t="shared" si="8"/>
        <v>0</v>
      </c>
      <c r="E44" s="45">
        <f t="shared" si="8"/>
        <v>0</v>
      </c>
      <c r="F44" s="45">
        <f t="shared" si="8"/>
        <v>0</v>
      </c>
      <c r="G44" s="45">
        <f t="shared" si="8"/>
        <v>0</v>
      </c>
      <c r="H44" s="45">
        <f t="shared" si="8"/>
        <v>0</v>
      </c>
      <c r="I44" s="45">
        <f t="shared" si="8"/>
        <v>0</v>
      </c>
      <c r="J44" s="45">
        <f t="shared" si="8"/>
        <v>0</v>
      </c>
      <c r="K44" s="45">
        <f>-K9*13.15%</f>
        <v>0</v>
      </c>
      <c r="L44" s="45">
        <f t="shared" ref="L44:M44" si="9">-L9*13.15%</f>
        <v>0</v>
      </c>
      <c r="M44" s="45">
        <f t="shared" si="9"/>
        <v>0</v>
      </c>
      <c r="N44" s="45">
        <f>B44+C44+D44+E44+F44+G44+H44+I44+J44+K44+L44+M44</f>
        <v>-2283.18453</v>
      </c>
      <c r="O44" s="21">
        <f t="shared" si="5"/>
        <v>0.13150000000000001</v>
      </c>
      <c r="Q44" s="98">
        <f t="shared" si="0"/>
        <v>-2283.18453</v>
      </c>
      <c r="R44" s="98">
        <f t="shared" si="1"/>
        <v>0</v>
      </c>
    </row>
    <row r="45" spans="1:18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4"/>
      <c r="Q45" s="98">
        <f t="shared" si="0"/>
        <v>0</v>
      </c>
      <c r="R45" s="98">
        <f t="shared" si="1"/>
        <v>0</v>
      </c>
    </row>
    <row r="46" spans="1:18" x14ac:dyDescent="0.25">
      <c r="A46" s="29" t="s">
        <v>33</v>
      </c>
      <c r="B46" s="45">
        <f t="shared" ref="B46:M46" si="10">-B9*1.22%</f>
        <v>-211.82396399999996</v>
      </c>
      <c r="C46" s="45">
        <f t="shared" si="10"/>
        <v>0</v>
      </c>
      <c r="D46" s="45">
        <f t="shared" si="10"/>
        <v>0</v>
      </c>
      <c r="E46" s="45">
        <f t="shared" si="10"/>
        <v>0</v>
      </c>
      <c r="F46" s="45">
        <f t="shared" si="10"/>
        <v>0</v>
      </c>
      <c r="G46" s="45">
        <f t="shared" si="10"/>
        <v>0</v>
      </c>
      <c r="H46" s="45">
        <f t="shared" si="10"/>
        <v>0</v>
      </c>
      <c r="I46" s="45">
        <f t="shared" si="10"/>
        <v>0</v>
      </c>
      <c r="J46" s="45">
        <f t="shared" si="10"/>
        <v>0</v>
      </c>
      <c r="K46" s="45">
        <f t="shared" si="10"/>
        <v>0</v>
      </c>
      <c r="L46" s="45">
        <f t="shared" si="10"/>
        <v>0</v>
      </c>
      <c r="M46" s="45">
        <f t="shared" si="10"/>
        <v>0</v>
      </c>
      <c r="N46" s="45">
        <f>B46+C46+D46+E46+F46+G46+H46+I46+J46+K46+L46+M46</f>
        <v>-211.82396399999996</v>
      </c>
      <c r="O46" s="21">
        <f t="shared" si="5"/>
        <v>1.2199999999999999E-2</v>
      </c>
      <c r="Q46" s="98">
        <f t="shared" si="0"/>
        <v>-211.82396399999996</v>
      </c>
      <c r="R46" s="98">
        <f t="shared" si="1"/>
        <v>0</v>
      </c>
    </row>
    <row r="47" spans="1:18" x14ac:dyDescent="0.2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4"/>
      <c r="Q47" s="98">
        <f t="shared" si="0"/>
        <v>0</v>
      </c>
      <c r="R47" s="98">
        <f t="shared" si="1"/>
        <v>0</v>
      </c>
    </row>
    <row r="48" spans="1:18" x14ac:dyDescent="0.25">
      <c r="A48" s="48" t="s">
        <v>57</v>
      </c>
      <c r="B48" s="49">
        <f t="shared" ref="B48:L48" si="11">B40*5.56%</f>
        <v>0</v>
      </c>
      <c r="C48" s="49">
        <f t="shared" si="11"/>
        <v>-213.76365199999998</v>
      </c>
      <c r="D48" s="49">
        <f t="shared" si="11"/>
        <v>-383.26247599999999</v>
      </c>
      <c r="E48" s="49">
        <f t="shared" si="11"/>
        <v>0</v>
      </c>
      <c r="F48" s="49">
        <f>F40*5.56%</f>
        <v>0</v>
      </c>
      <c r="G48" s="49">
        <f t="shared" si="11"/>
        <v>0</v>
      </c>
      <c r="H48" s="49">
        <f t="shared" si="11"/>
        <v>0</v>
      </c>
      <c r="I48" s="49">
        <f t="shared" si="11"/>
        <v>0</v>
      </c>
      <c r="J48" s="49">
        <f t="shared" si="11"/>
        <v>0</v>
      </c>
      <c r="K48" s="49">
        <f t="shared" si="11"/>
        <v>0</v>
      </c>
      <c r="L48" s="49">
        <f t="shared" si="11"/>
        <v>0</v>
      </c>
      <c r="M48" s="49">
        <f>M40*5.56%</f>
        <v>0</v>
      </c>
      <c r="N48" s="45">
        <f>B48+C48+D48+E48+F48+G48+H48+I48+J48+K48+L48+M48</f>
        <v>-597.02612799999997</v>
      </c>
      <c r="O48" s="21">
        <f t="shared" si="5"/>
        <v>3.4385716441412646E-2</v>
      </c>
      <c r="Q48" s="98">
        <f t="shared" si="0"/>
        <v>-597.02612799999997</v>
      </c>
      <c r="R48" s="98">
        <f t="shared" si="1"/>
        <v>0</v>
      </c>
    </row>
    <row r="49" spans="1:18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4"/>
      <c r="Q49" s="98">
        <f t="shared" si="0"/>
        <v>0</v>
      </c>
      <c r="R49" s="98">
        <f t="shared" si="1"/>
        <v>0</v>
      </c>
    </row>
    <row r="50" spans="1:18" x14ac:dyDescent="0.25">
      <c r="A50" s="48" t="s">
        <v>58</v>
      </c>
      <c r="B50" s="49">
        <f t="shared" ref="B50:J50" si="12">B40*0.01%</f>
        <v>0</v>
      </c>
      <c r="C50" s="49">
        <f t="shared" si="12"/>
        <v>-0.384467</v>
      </c>
      <c r="D50" s="49">
        <f t="shared" si="12"/>
        <v>-0.68932100000000007</v>
      </c>
      <c r="E50" s="49">
        <f t="shared" si="12"/>
        <v>0</v>
      </c>
      <c r="F50" s="49">
        <f t="shared" si="12"/>
        <v>0</v>
      </c>
      <c r="G50" s="49">
        <f t="shared" si="12"/>
        <v>0</v>
      </c>
      <c r="H50" s="49">
        <f t="shared" si="12"/>
        <v>0</v>
      </c>
      <c r="I50" s="49">
        <f t="shared" si="12"/>
        <v>0</v>
      </c>
      <c r="J50" s="49">
        <f t="shared" si="12"/>
        <v>0</v>
      </c>
      <c r="K50" s="49">
        <f>K40*0.01%</f>
        <v>0</v>
      </c>
      <c r="L50" s="49">
        <f t="shared" ref="L50" si="13">L40*0.01%</f>
        <v>0</v>
      </c>
      <c r="M50" s="49">
        <f>M40*0.01%</f>
        <v>0</v>
      </c>
      <c r="N50" s="45">
        <f>B50+C50+D50+E50+F50+G50+H50+I50+J50+K50+L50+M50</f>
        <v>-1.073788</v>
      </c>
      <c r="O50" s="21">
        <f t="shared" si="5"/>
        <v>6.1844813743547927E-5</v>
      </c>
      <c r="Q50" s="98">
        <f t="shared" si="0"/>
        <v>-1.073788</v>
      </c>
      <c r="R50" s="98">
        <f t="shared" si="1"/>
        <v>0</v>
      </c>
    </row>
    <row r="51" spans="1:18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4"/>
      <c r="Q51" s="98">
        <f t="shared" si="0"/>
        <v>0</v>
      </c>
      <c r="R51" s="98">
        <f t="shared" si="1"/>
        <v>0</v>
      </c>
    </row>
    <row r="52" spans="1:18" x14ac:dyDescent="0.25">
      <c r="A52" s="39" t="s">
        <v>145</v>
      </c>
      <c r="B52" s="40">
        <f>B42+B48+B50+B44+B46</f>
        <v>14867.611505999999</v>
      </c>
      <c r="C52" s="58">
        <f>C42+C48+C50+C44+C46</f>
        <v>-4058.8181189999996</v>
      </c>
      <c r="D52" s="58">
        <f>D42+D48+D50+D44+D46</f>
        <v>-7277.1617969999998</v>
      </c>
      <c r="E52" s="58">
        <f t="shared" ref="E52:L52" si="14">E42+E48+E50+E44+E46</f>
        <v>0</v>
      </c>
      <c r="F52" s="58">
        <f t="shared" si="14"/>
        <v>0</v>
      </c>
      <c r="G52" s="58">
        <f t="shared" si="14"/>
        <v>0</v>
      </c>
      <c r="H52" s="58">
        <f t="shared" si="14"/>
        <v>0</v>
      </c>
      <c r="I52" s="58">
        <f t="shared" si="14"/>
        <v>0</v>
      </c>
      <c r="J52" s="58">
        <f t="shared" si="14"/>
        <v>0</v>
      </c>
      <c r="K52" s="58">
        <f t="shared" si="14"/>
        <v>0</v>
      </c>
      <c r="L52" s="58">
        <f t="shared" si="14"/>
        <v>0</v>
      </c>
      <c r="M52" s="58">
        <f>M42+M48+M50+M44+M46</f>
        <v>0</v>
      </c>
      <c r="N52" s="40">
        <f>B52+C52+D52+E52+F52+G52+H52+I52+J52+K52+L52+M52</f>
        <v>3531.63159</v>
      </c>
      <c r="O52" s="21">
        <f>N52/$N$11</f>
        <v>0.2034043013093646</v>
      </c>
      <c r="Q52" s="98">
        <f t="shared" si="0"/>
        <v>3531.63159</v>
      </c>
      <c r="R52" s="98">
        <f t="shared" si="1"/>
        <v>0</v>
      </c>
    </row>
    <row r="53" spans="1:18" x14ac:dyDescent="0.25">
      <c r="A53" s="5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50"/>
    </row>
    <row r="54" spans="1:18" x14ac:dyDescent="0.25">
      <c r="A54" s="52" t="s">
        <v>35</v>
      </c>
      <c r="B54" s="13"/>
      <c r="C54" s="13">
        <v>3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53"/>
      <c r="O54" s="50"/>
    </row>
    <row r="55" spans="1:18" x14ac:dyDescent="0.25">
      <c r="A55" s="81"/>
      <c r="B55" s="10"/>
      <c r="O55" s="89"/>
    </row>
    <row r="56" spans="1:18" x14ac:dyDescent="0.25">
      <c r="A56" s="54" t="s">
        <v>36</v>
      </c>
      <c r="B56" s="83"/>
      <c r="O56" s="89">
        <v>45443</v>
      </c>
    </row>
    <row r="57" spans="1:18" x14ac:dyDescent="0.25">
      <c r="B57" s="98">
        <f>B11+B40+B44+B46+B48+B50</f>
        <v>14867.611505999999</v>
      </c>
      <c r="C57" s="98">
        <f t="shared" ref="C57:N57" si="15">C11+C40+C44+C46+C48+C50</f>
        <v>-4058.8181189999996</v>
      </c>
      <c r="D57" s="98">
        <f t="shared" si="15"/>
        <v>-7277.1617969999998</v>
      </c>
      <c r="E57" s="98">
        <f t="shared" si="15"/>
        <v>0</v>
      </c>
      <c r="F57" s="98">
        <f t="shared" si="15"/>
        <v>0</v>
      </c>
      <c r="G57" s="98">
        <f t="shared" si="15"/>
        <v>0</v>
      </c>
      <c r="H57" s="98">
        <f t="shared" si="15"/>
        <v>0</v>
      </c>
      <c r="I57" s="98">
        <f t="shared" si="15"/>
        <v>0</v>
      </c>
      <c r="J57" s="98">
        <f t="shared" si="15"/>
        <v>0</v>
      </c>
      <c r="K57" s="98">
        <f t="shared" si="15"/>
        <v>0</v>
      </c>
      <c r="L57" s="98">
        <f t="shared" si="15"/>
        <v>0</v>
      </c>
      <c r="M57" s="98">
        <f t="shared" si="15"/>
        <v>0</v>
      </c>
      <c r="N57" s="98">
        <f t="shared" si="15"/>
        <v>3531.6315899999972</v>
      </c>
    </row>
    <row r="59" spans="1:18" x14ac:dyDescent="0.25">
      <c r="B59" s="98">
        <f>B57-B52</f>
        <v>0</v>
      </c>
      <c r="C59" s="98">
        <f t="shared" ref="C59:N59" si="16">C57-C52</f>
        <v>0</v>
      </c>
      <c r="D59" s="98">
        <f t="shared" si="16"/>
        <v>0</v>
      </c>
      <c r="E59" s="98">
        <f t="shared" si="16"/>
        <v>0</v>
      </c>
      <c r="F59" s="98">
        <f t="shared" si="16"/>
        <v>0</v>
      </c>
      <c r="G59" s="98">
        <f t="shared" si="16"/>
        <v>0</v>
      </c>
      <c r="H59" s="98">
        <f t="shared" si="16"/>
        <v>0</v>
      </c>
      <c r="I59" s="98">
        <f t="shared" si="16"/>
        <v>0</v>
      </c>
      <c r="J59" s="98">
        <f t="shared" si="16"/>
        <v>0</v>
      </c>
      <c r="K59" s="98">
        <f t="shared" si="16"/>
        <v>0</v>
      </c>
      <c r="L59" s="98">
        <f t="shared" si="16"/>
        <v>0</v>
      </c>
      <c r="M59" s="98">
        <f t="shared" si="16"/>
        <v>0</v>
      </c>
      <c r="N59" s="98">
        <f t="shared" si="16"/>
        <v>0</v>
      </c>
    </row>
  </sheetData>
  <mergeCells count="3">
    <mergeCell ref="B1:E1"/>
    <mergeCell ref="B3:E3"/>
    <mergeCell ref="B5:E5"/>
  </mergeCells>
  <conditionalFormatting sqref="E52">
    <cfRule type="cellIs" dxfId="45" priority="5" operator="lessThan">
      <formula>0</formula>
    </cfRule>
    <cfRule type="cellIs" dxfId="44" priority="6" operator="greaterThan">
      <formula>0</formula>
    </cfRule>
  </conditionalFormatting>
  <conditionalFormatting sqref="G52:H52">
    <cfRule type="cellIs" dxfId="43" priority="3" operator="lessThan">
      <formula>0</formula>
    </cfRule>
    <cfRule type="cellIs" dxfId="42" priority="4" operator="greaterThan">
      <formula>0</formula>
    </cfRule>
  </conditionalFormatting>
  <conditionalFormatting sqref="J52">
    <cfRule type="cellIs" dxfId="41" priority="1" operator="lessThan">
      <formula>0</formula>
    </cfRule>
    <cfRule type="cellIs" dxfId="40" priority="2" operator="greaterThan">
      <formula>0</formula>
    </cfRule>
  </conditionalFormatting>
  <printOptions horizontalCentered="1" verticalCentered="1"/>
  <pageMargins left="0.31496062992125984" right="0.19685039370078741" top="0.39370078740157483" bottom="0" header="0.19685039370078741" footer="0"/>
  <pageSetup paperSize="9" scale="70" orientation="landscape" r:id="rId1"/>
  <headerFooter>
    <oddHeader>&amp;C&amp;"-,Negrito"&amp;14                                 BELA NOVA CONSTRUTORA LTDA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:U59"/>
  <sheetViews>
    <sheetView topLeftCell="A4" zoomScale="85" zoomScaleNormal="85" workbookViewId="0">
      <pane xSplit="1" topLeftCell="B1" activePane="topRight" state="frozen"/>
      <selection activeCell="E22" sqref="E22"/>
      <selection pane="topRight" activeCell="D29" sqref="D29"/>
    </sheetView>
  </sheetViews>
  <sheetFormatPr defaultRowHeight="15" x14ac:dyDescent="0.25"/>
  <cols>
    <col min="1" max="1" width="47.42578125" customWidth="1"/>
    <col min="2" max="2" width="19" bestFit="1" customWidth="1"/>
    <col min="3" max="3" width="19" customWidth="1"/>
    <col min="4" max="4" width="15" customWidth="1"/>
    <col min="5" max="5" width="16.7109375" customWidth="1"/>
    <col min="6" max="6" width="17.140625" hidden="1" customWidth="1"/>
    <col min="7" max="7" width="16.42578125" hidden="1" customWidth="1"/>
    <col min="8" max="8" width="15" hidden="1" customWidth="1"/>
    <col min="9" max="9" width="18.5703125" hidden="1" customWidth="1"/>
    <col min="10" max="10" width="16.140625" hidden="1" customWidth="1"/>
    <col min="11" max="11" width="14.7109375" hidden="1" customWidth="1"/>
    <col min="12" max="12" width="16.85546875" hidden="1" customWidth="1"/>
    <col min="13" max="15" width="16.7109375" hidden="1" customWidth="1"/>
    <col min="16" max="16" width="18.140625" bestFit="1" customWidth="1"/>
    <col min="17" max="17" width="11.28515625" bestFit="1" customWidth="1"/>
    <col min="18" max="18" width="4" customWidth="1"/>
    <col min="19" max="19" width="16.5703125" bestFit="1" customWidth="1"/>
    <col min="20" max="20" width="13.28515625" bestFit="1" customWidth="1"/>
    <col min="21" max="21" width="14.42578125" bestFit="1" customWidth="1"/>
  </cols>
  <sheetData>
    <row r="1" spans="1:21" ht="15.75" customHeight="1" x14ac:dyDescent="0.25">
      <c r="A1" s="209" t="s">
        <v>105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</row>
    <row r="2" spans="1:21" ht="11.25" customHeight="1" x14ac:dyDescent="0.25">
      <c r="A2" s="71"/>
    </row>
    <row r="3" spans="1:21" ht="15.75" customHeight="1" x14ac:dyDescent="0.25">
      <c r="A3" s="209" t="s">
        <v>199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</row>
    <row r="4" spans="1:21" ht="7.5" customHeight="1" x14ac:dyDescent="0.25">
      <c r="A4" s="71"/>
    </row>
    <row r="5" spans="1:21" ht="15.75" customHeight="1" x14ac:dyDescent="0.25">
      <c r="A5" s="209" t="s">
        <v>177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</row>
    <row r="6" spans="1:21" x14ac:dyDescent="0.25">
      <c r="A6" s="10"/>
    </row>
    <row r="7" spans="1:21" x14ac:dyDescent="0.25">
      <c r="A7" s="12"/>
      <c r="B7" s="60" t="s">
        <v>224</v>
      </c>
      <c r="C7" s="60" t="s">
        <v>303</v>
      </c>
      <c r="D7" s="60" t="s">
        <v>304</v>
      </c>
      <c r="E7" s="60" t="s">
        <v>305</v>
      </c>
      <c r="F7" s="60" t="s">
        <v>306</v>
      </c>
      <c r="G7" s="60" t="s">
        <v>307</v>
      </c>
      <c r="H7" s="60" t="s">
        <v>308</v>
      </c>
      <c r="I7" s="60" t="s">
        <v>309</v>
      </c>
      <c r="J7" s="60" t="s">
        <v>310</v>
      </c>
      <c r="K7" s="60" t="s">
        <v>311</v>
      </c>
      <c r="L7" s="60" t="s">
        <v>312</v>
      </c>
      <c r="M7" s="60" t="s">
        <v>313</v>
      </c>
      <c r="N7" s="60" t="s">
        <v>314</v>
      </c>
      <c r="O7" s="60" t="s">
        <v>225</v>
      </c>
      <c r="P7" s="13" t="s">
        <v>1</v>
      </c>
      <c r="Q7" s="14" t="s">
        <v>2</v>
      </c>
      <c r="U7" s="175">
        <v>2025</v>
      </c>
    </row>
    <row r="8" spans="1:21" x14ac:dyDescent="0.25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7"/>
      <c r="Q8" s="18"/>
    </row>
    <row r="9" spans="1:21" x14ac:dyDescent="0.25">
      <c r="A9" s="78" t="s">
        <v>4</v>
      </c>
      <c r="B9" s="19">
        <v>1194949.73</v>
      </c>
      <c r="C9" s="19">
        <v>855040.1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20">
        <f>SUM(B9:O9)</f>
        <v>2049989.83</v>
      </c>
      <c r="Q9" s="21">
        <v>1</v>
      </c>
      <c r="S9" s="98">
        <f>SUM(B9:O9)</f>
        <v>2049989.83</v>
      </c>
      <c r="T9" s="98">
        <f>P9-S9</f>
        <v>0</v>
      </c>
      <c r="U9" s="98">
        <f>P9-B9</f>
        <v>855040.10000000009</v>
      </c>
    </row>
    <row r="10" spans="1:21" x14ac:dyDescent="0.25">
      <c r="A10" s="15" t="s">
        <v>5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SUM(B10:O10)</f>
        <v>0</v>
      </c>
      <c r="Q10" s="21"/>
      <c r="S10" s="98">
        <f t="shared" ref="S10:S11" si="0">SUM(B10:O10)</f>
        <v>0</v>
      </c>
      <c r="T10" s="98">
        <f t="shared" ref="T10:T52" si="1">P10-S10</f>
        <v>0</v>
      </c>
      <c r="U10" s="98">
        <f t="shared" ref="U10:U52" si="2">P10-B10</f>
        <v>0</v>
      </c>
    </row>
    <row r="11" spans="1:21" x14ac:dyDescent="0.25">
      <c r="A11" s="23" t="s">
        <v>6</v>
      </c>
      <c r="B11" s="24">
        <f t="shared" ref="B11:D11" si="3">SUM(B9:B10)</f>
        <v>1194949.73</v>
      </c>
      <c r="C11" s="24">
        <f t="shared" si="3"/>
        <v>855040.1</v>
      </c>
      <c r="D11" s="24">
        <f t="shared" si="3"/>
        <v>0</v>
      </c>
      <c r="E11" s="24">
        <f t="shared" ref="E11:M11" si="4">SUM(E9:E10)</f>
        <v>0</v>
      </c>
      <c r="F11" s="24">
        <f t="shared" si="4"/>
        <v>0</v>
      </c>
      <c r="G11" s="24">
        <f t="shared" si="4"/>
        <v>0</v>
      </c>
      <c r="H11" s="24">
        <f t="shared" si="4"/>
        <v>0</v>
      </c>
      <c r="I11" s="24">
        <f t="shared" si="4"/>
        <v>0</v>
      </c>
      <c r="J11" s="24">
        <f t="shared" si="4"/>
        <v>0</v>
      </c>
      <c r="K11" s="24">
        <f t="shared" si="4"/>
        <v>0</v>
      </c>
      <c r="L11" s="24">
        <f t="shared" si="4"/>
        <v>0</v>
      </c>
      <c r="M11" s="24">
        <f t="shared" si="4"/>
        <v>0</v>
      </c>
      <c r="N11" s="24">
        <f t="shared" ref="N11:O11" si="5">SUM(N9:N10)</f>
        <v>0</v>
      </c>
      <c r="O11" s="24">
        <f t="shared" si="5"/>
        <v>0</v>
      </c>
      <c r="P11" s="24">
        <f>SUM(P9:P10)</f>
        <v>2049989.83</v>
      </c>
      <c r="Q11" s="21">
        <v>1</v>
      </c>
      <c r="S11" s="98">
        <f t="shared" si="0"/>
        <v>2049989.83</v>
      </c>
      <c r="T11" s="98">
        <f t="shared" si="1"/>
        <v>0</v>
      </c>
      <c r="U11" s="98">
        <f t="shared" si="2"/>
        <v>855040.10000000009</v>
      </c>
    </row>
    <row r="12" spans="1:21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8"/>
      <c r="S12" s="98"/>
      <c r="T12" s="98"/>
      <c r="U12" s="98">
        <f t="shared" si="2"/>
        <v>0</v>
      </c>
    </row>
    <row r="13" spans="1:21" x14ac:dyDescent="0.25">
      <c r="A13" s="29" t="s">
        <v>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31"/>
      <c r="S13" s="98">
        <f t="shared" ref="S13" si="6">SUM(B13:M13)</f>
        <v>0</v>
      </c>
      <c r="T13" s="98"/>
      <c r="U13" s="98">
        <f t="shared" si="2"/>
        <v>0</v>
      </c>
    </row>
    <row r="14" spans="1:21" x14ac:dyDescent="0.25">
      <c r="A14" s="15" t="s">
        <v>8</v>
      </c>
      <c r="B14" s="32">
        <v>-80775.87</v>
      </c>
      <c r="C14" s="32">
        <v>-52090.68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20">
        <f>SUM(B14:O14)</f>
        <v>-132866.54999999999</v>
      </c>
      <c r="Q14" s="21">
        <f>-P14/$P$11</f>
        <v>6.4813272756577514E-2</v>
      </c>
      <c r="S14" s="98">
        <f>SUM(B14:O14)</f>
        <v>-132866.54999999999</v>
      </c>
      <c r="T14" s="98">
        <f t="shared" si="1"/>
        <v>0</v>
      </c>
      <c r="U14" s="98">
        <f t="shared" si="2"/>
        <v>-52090.679999999993</v>
      </c>
    </row>
    <row r="15" spans="1:21" x14ac:dyDescent="0.25">
      <c r="A15" s="33" t="s">
        <v>9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20">
        <f t="shared" ref="P15:P39" si="7">SUM(B15:O15)</f>
        <v>0</v>
      </c>
      <c r="Q15" s="21">
        <f t="shared" ref="Q15:Q50" si="8">-P15/$P$11</f>
        <v>0</v>
      </c>
      <c r="S15" s="98">
        <f t="shared" ref="S15:S52" si="9">SUM(B15:O15)</f>
        <v>0</v>
      </c>
      <c r="T15" s="98">
        <f t="shared" si="1"/>
        <v>0</v>
      </c>
      <c r="U15" s="98">
        <f t="shared" si="2"/>
        <v>0</v>
      </c>
    </row>
    <row r="16" spans="1:21" x14ac:dyDescent="0.25">
      <c r="A16" s="15" t="s">
        <v>10</v>
      </c>
      <c r="B16" s="32">
        <v>-818.4</v>
      </c>
      <c r="C16" s="32">
        <v>-1468.8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20">
        <f t="shared" si="7"/>
        <v>-2287.1999999999998</v>
      </c>
      <c r="Q16" s="21">
        <f t="shared" si="8"/>
        <v>1.1157128520974174E-3</v>
      </c>
      <c r="S16" s="98">
        <f t="shared" si="9"/>
        <v>-2287.1999999999998</v>
      </c>
      <c r="T16" s="98">
        <f t="shared" si="1"/>
        <v>0</v>
      </c>
      <c r="U16" s="98">
        <f t="shared" si="2"/>
        <v>-1468.7999999999997</v>
      </c>
    </row>
    <row r="17" spans="1:21" x14ac:dyDescent="0.25">
      <c r="A17" s="33" t="s">
        <v>11</v>
      </c>
      <c r="B17" s="32">
        <v>-6498.57</v>
      </c>
      <c r="C17" s="32">
        <v>-406.47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20">
        <f t="shared" si="7"/>
        <v>-6905.04</v>
      </c>
      <c r="Q17" s="21">
        <f t="shared" si="8"/>
        <v>3.3683289053194959E-3</v>
      </c>
      <c r="S17" s="98">
        <f t="shared" si="9"/>
        <v>-6905.04</v>
      </c>
      <c r="T17" s="98">
        <f t="shared" si="1"/>
        <v>0</v>
      </c>
      <c r="U17" s="98">
        <f t="shared" si="2"/>
        <v>-406.47000000000025</v>
      </c>
    </row>
    <row r="18" spans="1:21" x14ac:dyDescent="0.25">
      <c r="A18" s="15" t="s">
        <v>12</v>
      </c>
      <c r="B18" s="32">
        <v>-32693.78</v>
      </c>
      <c r="C18" s="32">
        <v>-14739.08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20">
        <f t="shared" si="7"/>
        <v>-47432.86</v>
      </c>
      <c r="Q18" s="21">
        <f t="shared" si="8"/>
        <v>2.3138095275331196E-2</v>
      </c>
      <c r="S18" s="98">
        <f t="shared" si="9"/>
        <v>-47432.86</v>
      </c>
      <c r="T18" s="98">
        <f t="shared" si="1"/>
        <v>0</v>
      </c>
      <c r="U18" s="98">
        <f t="shared" si="2"/>
        <v>-14739.080000000002</v>
      </c>
    </row>
    <row r="19" spans="1:21" x14ac:dyDescent="0.25">
      <c r="A19" s="15" t="s">
        <v>13</v>
      </c>
      <c r="B19" s="32">
        <v>-23084.47</v>
      </c>
      <c r="C19" s="32">
        <v>-11187.98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20">
        <f t="shared" si="7"/>
        <v>-34272.449999999997</v>
      </c>
      <c r="Q19" s="21">
        <f t="shared" si="8"/>
        <v>1.6718351232015621E-2</v>
      </c>
      <c r="S19" s="98">
        <f t="shared" si="9"/>
        <v>-34272.449999999997</v>
      </c>
      <c r="T19" s="98">
        <f t="shared" si="1"/>
        <v>0</v>
      </c>
      <c r="U19" s="98">
        <f t="shared" si="2"/>
        <v>-11187.979999999996</v>
      </c>
    </row>
    <row r="20" spans="1:21" x14ac:dyDescent="0.25">
      <c r="A20" s="15" t="s">
        <v>14</v>
      </c>
      <c r="B20" s="32">
        <v>-30214.36</v>
      </c>
      <c r="C20" s="32">
        <v>-9760.7199999999993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20">
        <f t="shared" si="7"/>
        <v>-39975.08</v>
      </c>
      <c r="Q20" s="21">
        <f t="shared" si="8"/>
        <v>1.9500135764088156E-2</v>
      </c>
      <c r="S20" s="98">
        <f t="shared" si="9"/>
        <v>-39975.08</v>
      </c>
      <c r="T20" s="98">
        <f t="shared" si="1"/>
        <v>0</v>
      </c>
      <c r="U20" s="98">
        <f t="shared" si="2"/>
        <v>-9760.7200000000012</v>
      </c>
    </row>
    <row r="21" spans="1:21" x14ac:dyDescent="0.25">
      <c r="A21" s="15" t="s">
        <v>15</v>
      </c>
      <c r="B21" s="32">
        <v>-2066.0100000000002</v>
      </c>
      <c r="C21" s="32">
        <v>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20">
        <f t="shared" si="7"/>
        <v>-2066.0100000000002</v>
      </c>
      <c r="Q21" s="21">
        <f t="shared" si="8"/>
        <v>1.0078147558419839E-3</v>
      </c>
      <c r="S21" s="98">
        <f t="shared" si="9"/>
        <v>-2066.0100000000002</v>
      </c>
      <c r="T21" s="98">
        <f t="shared" si="1"/>
        <v>0</v>
      </c>
      <c r="U21" s="98">
        <f t="shared" si="2"/>
        <v>0</v>
      </c>
    </row>
    <row r="22" spans="1:21" x14ac:dyDescent="0.25">
      <c r="A22" s="15" t="s">
        <v>16</v>
      </c>
      <c r="B22" s="32">
        <v>0</v>
      </c>
      <c r="C22" s="32">
        <v>-1538.91</v>
      </c>
      <c r="D22" s="32">
        <v>-574.69000000000005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20">
        <f t="shared" si="7"/>
        <v>-2113.6000000000004</v>
      </c>
      <c r="Q22" s="21">
        <f t="shared" si="8"/>
        <v>1.0310295051561306E-3</v>
      </c>
      <c r="S22" s="98">
        <f t="shared" si="9"/>
        <v>-2113.6000000000004</v>
      </c>
      <c r="T22" s="98">
        <f t="shared" si="1"/>
        <v>0</v>
      </c>
      <c r="U22" s="98">
        <f t="shared" si="2"/>
        <v>-2113.6000000000004</v>
      </c>
    </row>
    <row r="23" spans="1:21" x14ac:dyDescent="0.25">
      <c r="A23" s="15" t="s">
        <v>17</v>
      </c>
      <c r="B23" s="32">
        <v>-24953.86</v>
      </c>
      <c r="C23" s="32">
        <v>-18295.650000000001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20">
        <f t="shared" si="7"/>
        <v>-43249.51</v>
      </c>
      <c r="Q23" s="21">
        <f t="shared" si="8"/>
        <v>2.1097426615038377E-2</v>
      </c>
      <c r="S23" s="98">
        <f t="shared" si="9"/>
        <v>-43249.51</v>
      </c>
      <c r="T23" s="98">
        <f t="shared" si="1"/>
        <v>0</v>
      </c>
      <c r="U23" s="98">
        <f t="shared" si="2"/>
        <v>-18295.650000000001</v>
      </c>
    </row>
    <row r="24" spans="1:21" x14ac:dyDescent="0.25">
      <c r="A24" s="15" t="s">
        <v>18</v>
      </c>
      <c r="B24" s="32">
        <v>-1442.98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20">
        <f t="shared" si="7"/>
        <v>-1442.98</v>
      </c>
      <c r="Q24" s="21">
        <f t="shared" si="8"/>
        <v>7.0389617493858496E-4</v>
      </c>
      <c r="S24" s="98">
        <f t="shared" si="9"/>
        <v>-1442.98</v>
      </c>
      <c r="T24" s="98">
        <f t="shared" si="1"/>
        <v>0</v>
      </c>
      <c r="U24" s="98">
        <f t="shared" si="2"/>
        <v>0</v>
      </c>
    </row>
    <row r="25" spans="1:21" x14ac:dyDescent="0.25">
      <c r="A25" s="15" t="s">
        <v>19</v>
      </c>
      <c r="B25" s="32">
        <v>-38151.879999999997</v>
      </c>
      <c r="C25" s="32">
        <v>-34552.35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20">
        <f t="shared" si="7"/>
        <v>-72704.23</v>
      </c>
      <c r="Q25" s="21">
        <f t="shared" si="8"/>
        <v>3.5465653993024926E-2</v>
      </c>
      <c r="S25" s="98">
        <f t="shared" si="9"/>
        <v>-72704.23</v>
      </c>
      <c r="T25" s="98">
        <f t="shared" si="1"/>
        <v>0</v>
      </c>
      <c r="U25" s="98">
        <f t="shared" si="2"/>
        <v>-34552.35</v>
      </c>
    </row>
    <row r="26" spans="1:21" x14ac:dyDescent="0.25">
      <c r="A26" s="15" t="s">
        <v>20</v>
      </c>
      <c r="B26" s="32">
        <v>-280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20">
        <f t="shared" si="7"/>
        <v>-280</v>
      </c>
      <c r="Q26" s="21">
        <f t="shared" si="8"/>
        <v>1.3658604345368874E-4</v>
      </c>
      <c r="S26" s="98">
        <f t="shared" si="9"/>
        <v>-280</v>
      </c>
      <c r="T26" s="98">
        <f t="shared" si="1"/>
        <v>0</v>
      </c>
      <c r="U26" s="98">
        <f t="shared" si="2"/>
        <v>0</v>
      </c>
    </row>
    <row r="27" spans="1:21" x14ac:dyDescent="0.25">
      <c r="A27" s="15" t="s">
        <v>59</v>
      </c>
      <c r="B27" s="32">
        <v>0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20">
        <f t="shared" si="7"/>
        <v>0</v>
      </c>
      <c r="Q27" s="21">
        <f t="shared" si="8"/>
        <v>0</v>
      </c>
      <c r="S27" s="98">
        <f t="shared" si="9"/>
        <v>0</v>
      </c>
      <c r="T27" s="98">
        <f t="shared" si="1"/>
        <v>0</v>
      </c>
      <c r="U27" s="98">
        <f t="shared" si="2"/>
        <v>0</v>
      </c>
    </row>
    <row r="28" spans="1:21" x14ac:dyDescent="0.25">
      <c r="A28" s="15" t="s">
        <v>21</v>
      </c>
      <c r="B28" s="32">
        <v>-2396</v>
      </c>
      <c r="C28" s="32">
        <v>-7620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20">
        <f t="shared" si="7"/>
        <v>-10016</v>
      </c>
      <c r="Q28" s="21">
        <f t="shared" si="8"/>
        <v>4.885877897257666E-3</v>
      </c>
      <c r="S28" s="98">
        <f t="shared" si="9"/>
        <v>-10016</v>
      </c>
      <c r="T28" s="98">
        <f t="shared" si="1"/>
        <v>0</v>
      </c>
      <c r="U28" s="98">
        <f t="shared" si="2"/>
        <v>-7620</v>
      </c>
    </row>
    <row r="29" spans="1:21" x14ac:dyDescent="0.25">
      <c r="A29" s="15" t="s">
        <v>22</v>
      </c>
      <c r="B29" s="32">
        <v>0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20">
        <f t="shared" si="7"/>
        <v>0</v>
      </c>
      <c r="Q29" s="21">
        <f t="shared" si="8"/>
        <v>0</v>
      </c>
      <c r="S29" s="98">
        <f t="shared" si="9"/>
        <v>0</v>
      </c>
      <c r="T29" s="98">
        <f t="shared" si="1"/>
        <v>0</v>
      </c>
      <c r="U29" s="98">
        <f t="shared" si="2"/>
        <v>0</v>
      </c>
    </row>
    <row r="30" spans="1:21" x14ac:dyDescent="0.25">
      <c r="A30" s="33" t="s">
        <v>23</v>
      </c>
      <c r="B30" s="32">
        <v>-7242.27</v>
      </c>
      <c r="C30" s="32">
        <v>-98.83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20">
        <f t="shared" si="7"/>
        <v>-7341.1</v>
      </c>
      <c r="Q30" s="21">
        <f t="shared" si="8"/>
        <v>3.5810421557066945E-3</v>
      </c>
      <c r="S30" s="98">
        <f t="shared" si="9"/>
        <v>-7341.1</v>
      </c>
      <c r="T30" s="98">
        <f t="shared" si="1"/>
        <v>0</v>
      </c>
      <c r="U30" s="98">
        <f t="shared" si="2"/>
        <v>-98.829999999999927</v>
      </c>
    </row>
    <row r="31" spans="1:21" x14ac:dyDescent="0.25">
      <c r="A31" s="15" t="s">
        <v>24</v>
      </c>
      <c r="B31" s="32">
        <v>-141439.87</v>
      </c>
      <c r="C31" s="32">
        <v>-65101.33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20">
        <f t="shared" si="7"/>
        <v>-206541.2</v>
      </c>
      <c r="Q31" s="21">
        <f t="shared" si="8"/>
        <v>0.10075230470777506</v>
      </c>
      <c r="S31" s="98">
        <f t="shared" si="9"/>
        <v>-206541.2</v>
      </c>
      <c r="T31" s="98">
        <f t="shared" si="1"/>
        <v>0</v>
      </c>
      <c r="U31" s="98">
        <f t="shared" si="2"/>
        <v>-65101.330000000016</v>
      </c>
    </row>
    <row r="32" spans="1:21" x14ac:dyDescent="0.25">
      <c r="A32" s="34" t="s">
        <v>25</v>
      </c>
      <c r="B32" s="32">
        <v>-219537.67</v>
      </c>
      <c r="C32" s="32">
        <v>-109096.5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20">
        <f t="shared" si="7"/>
        <v>-328634.17000000004</v>
      </c>
      <c r="Q32" s="21">
        <f t="shared" si="8"/>
        <v>0.16031014651423905</v>
      </c>
      <c r="S32" s="98">
        <f t="shared" si="9"/>
        <v>-328634.17000000004</v>
      </c>
      <c r="T32" s="98">
        <f t="shared" si="1"/>
        <v>0</v>
      </c>
      <c r="U32" s="98">
        <f t="shared" si="2"/>
        <v>-109096.50000000003</v>
      </c>
    </row>
    <row r="33" spans="1:21" x14ac:dyDescent="0.25">
      <c r="A33" s="15" t="s">
        <v>26</v>
      </c>
      <c r="B33" s="32">
        <v>-1320</v>
      </c>
      <c r="C33" s="32">
        <v>-2640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20">
        <f t="shared" si="7"/>
        <v>-3960</v>
      </c>
      <c r="Q33" s="21">
        <f t="shared" si="8"/>
        <v>1.9317169002735978E-3</v>
      </c>
      <c r="S33" s="98">
        <f t="shared" si="9"/>
        <v>-3960</v>
      </c>
      <c r="T33" s="98">
        <f t="shared" si="1"/>
        <v>0</v>
      </c>
      <c r="U33" s="98">
        <f t="shared" si="2"/>
        <v>-2640</v>
      </c>
    </row>
    <row r="34" spans="1:21" x14ac:dyDescent="0.25">
      <c r="A34" s="15" t="s">
        <v>27</v>
      </c>
      <c r="B34" s="32">
        <v>0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20">
        <f t="shared" si="7"/>
        <v>0</v>
      </c>
      <c r="Q34" s="21">
        <f t="shared" si="8"/>
        <v>0</v>
      </c>
      <c r="S34" s="98">
        <f t="shared" si="9"/>
        <v>0</v>
      </c>
      <c r="T34" s="98">
        <f t="shared" si="1"/>
        <v>0</v>
      </c>
      <c r="U34" s="98">
        <f t="shared" si="2"/>
        <v>0</v>
      </c>
    </row>
    <row r="35" spans="1:21" x14ac:dyDescent="0.25">
      <c r="A35" s="33" t="s">
        <v>28</v>
      </c>
      <c r="B35" s="32">
        <v>-2265.4299999999998</v>
      </c>
      <c r="C35" s="32">
        <v>-642.03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20">
        <f t="shared" si="7"/>
        <v>-2907.46</v>
      </c>
      <c r="Q35" s="21">
        <f t="shared" si="8"/>
        <v>1.418280206785221E-3</v>
      </c>
      <c r="S35" s="98">
        <f t="shared" si="9"/>
        <v>-2907.46</v>
      </c>
      <c r="T35" s="98">
        <f t="shared" si="1"/>
        <v>0</v>
      </c>
      <c r="U35" s="98">
        <f t="shared" si="2"/>
        <v>-642.0300000000002</v>
      </c>
    </row>
    <row r="36" spans="1:21" x14ac:dyDescent="0.25">
      <c r="A36" s="15" t="s">
        <v>29</v>
      </c>
      <c r="B36" s="32">
        <v>-21065.919999999998</v>
      </c>
      <c r="C36" s="32">
        <v>-11721.05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20">
        <f t="shared" si="7"/>
        <v>-32786.97</v>
      </c>
      <c r="Q36" s="21">
        <f t="shared" si="8"/>
        <v>1.5993723246909963E-2</v>
      </c>
      <c r="S36" s="98">
        <f t="shared" si="9"/>
        <v>-32786.97</v>
      </c>
      <c r="T36" s="98">
        <f t="shared" si="1"/>
        <v>0</v>
      </c>
      <c r="U36" s="98">
        <f t="shared" si="2"/>
        <v>-11721.050000000003</v>
      </c>
    </row>
    <row r="37" spans="1:21" x14ac:dyDescent="0.25">
      <c r="A37" s="15" t="s">
        <v>276</v>
      </c>
      <c r="B37" s="32">
        <v>-19077.88</v>
      </c>
      <c r="C37" s="32">
        <v>-11738.03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20">
        <f t="shared" si="7"/>
        <v>-30815.910000000003</v>
      </c>
      <c r="Q37" s="21">
        <f t="shared" si="8"/>
        <v>1.5032225794017721E-2</v>
      </c>
      <c r="S37" s="98">
        <f t="shared" si="9"/>
        <v>-30815.910000000003</v>
      </c>
      <c r="T37" s="98">
        <f t="shared" si="1"/>
        <v>0</v>
      </c>
      <c r="U37" s="98">
        <f t="shared" si="2"/>
        <v>-11738.030000000002</v>
      </c>
    </row>
    <row r="38" spans="1:21" x14ac:dyDescent="0.25">
      <c r="A38" s="15" t="s">
        <v>97</v>
      </c>
      <c r="B38" s="32">
        <v>0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20">
        <f t="shared" si="7"/>
        <v>0</v>
      </c>
      <c r="Q38" s="21">
        <f t="shared" si="8"/>
        <v>0</v>
      </c>
      <c r="S38" s="98">
        <f t="shared" si="9"/>
        <v>0</v>
      </c>
      <c r="T38" s="98">
        <f t="shared" si="1"/>
        <v>0</v>
      </c>
      <c r="U38" s="98">
        <f t="shared" si="2"/>
        <v>0</v>
      </c>
    </row>
    <row r="39" spans="1:21" x14ac:dyDescent="0.25">
      <c r="A39" s="15" t="s">
        <v>114</v>
      </c>
      <c r="B39" s="32">
        <v>-2000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20">
        <f t="shared" si="7"/>
        <v>-2000</v>
      </c>
      <c r="Q39" s="21">
        <f t="shared" si="8"/>
        <v>9.7561459609777669E-4</v>
      </c>
      <c r="S39" s="98">
        <f t="shared" si="9"/>
        <v>-2000</v>
      </c>
      <c r="T39" s="98">
        <f t="shared" si="1"/>
        <v>0</v>
      </c>
      <c r="U39" s="98">
        <f t="shared" si="2"/>
        <v>0</v>
      </c>
    </row>
    <row r="40" spans="1:21" x14ac:dyDescent="0.25">
      <c r="A40" s="35" t="s">
        <v>31</v>
      </c>
      <c r="B40" s="36">
        <f>SUM(B14:B39)</f>
        <v>-657325.22000000009</v>
      </c>
      <c r="C40" s="36">
        <f>SUM(C14:C39)</f>
        <v>-352698.41000000003</v>
      </c>
      <c r="D40" s="36">
        <f>SUM(D14:D39)</f>
        <v>-574.69000000000005</v>
      </c>
      <c r="E40" s="36">
        <f t="shared" ref="E40:L40" si="10">SUM(E14:E39)</f>
        <v>0</v>
      </c>
      <c r="F40" s="36">
        <f t="shared" si="10"/>
        <v>0</v>
      </c>
      <c r="G40" s="36">
        <f t="shared" si="10"/>
        <v>0</v>
      </c>
      <c r="H40" s="36">
        <f t="shared" si="10"/>
        <v>0</v>
      </c>
      <c r="I40" s="36">
        <f t="shared" si="10"/>
        <v>0</v>
      </c>
      <c r="J40" s="36">
        <f t="shared" si="10"/>
        <v>0</v>
      </c>
      <c r="K40" s="36">
        <f t="shared" si="10"/>
        <v>0</v>
      </c>
      <c r="L40" s="36">
        <f t="shared" si="10"/>
        <v>0</v>
      </c>
      <c r="M40" s="36">
        <f>SUM(M14:M39)</f>
        <v>0</v>
      </c>
      <c r="N40" s="36">
        <f t="shared" ref="N40:O40" si="11">SUM(N14:N39)</f>
        <v>0</v>
      </c>
      <c r="O40" s="36">
        <f t="shared" si="11"/>
        <v>0</v>
      </c>
      <c r="P40" s="36">
        <f>SUM(P14:P39)</f>
        <v>-1010598.3200000001</v>
      </c>
      <c r="Q40" s="21">
        <f t="shared" si="8"/>
        <v>0.49297723589194586</v>
      </c>
      <c r="S40" s="98">
        <f t="shared" si="9"/>
        <v>-1010598.3200000001</v>
      </c>
      <c r="T40" s="98">
        <f t="shared" si="1"/>
        <v>0</v>
      </c>
      <c r="U40" s="98">
        <f t="shared" si="2"/>
        <v>-353273.1</v>
      </c>
    </row>
    <row r="41" spans="1:21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18"/>
      <c r="S41" s="98">
        <f t="shared" si="9"/>
        <v>0</v>
      </c>
      <c r="T41" s="98">
        <f t="shared" si="1"/>
        <v>0</v>
      </c>
      <c r="U41" s="98">
        <f t="shared" si="2"/>
        <v>0</v>
      </c>
    </row>
    <row r="42" spans="1:21" x14ac:dyDescent="0.25">
      <c r="A42" s="39" t="s">
        <v>32</v>
      </c>
      <c r="B42" s="40">
        <f t="shared" ref="B42:L42" si="12">B11+B40</f>
        <v>537624.50999999989</v>
      </c>
      <c r="C42" s="40">
        <f t="shared" ref="C42" si="13">C11+C40</f>
        <v>502341.68999999994</v>
      </c>
      <c r="D42" s="58">
        <f t="shared" ref="D42" si="14">D11+D40</f>
        <v>-574.69000000000005</v>
      </c>
      <c r="E42" s="58">
        <f t="shared" si="12"/>
        <v>0</v>
      </c>
      <c r="F42" s="40">
        <f t="shared" si="12"/>
        <v>0</v>
      </c>
      <c r="G42" s="40">
        <f t="shared" si="12"/>
        <v>0</v>
      </c>
      <c r="H42" s="58">
        <f t="shared" si="12"/>
        <v>0</v>
      </c>
      <c r="I42" s="40">
        <f t="shared" si="12"/>
        <v>0</v>
      </c>
      <c r="J42" s="40">
        <f t="shared" si="12"/>
        <v>0</v>
      </c>
      <c r="K42" s="40">
        <f t="shared" si="12"/>
        <v>0</v>
      </c>
      <c r="L42" s="40">
        <f t="shared" si="12"/>
        <v>0</v>
      </c>
      <c r="M42" s="40">
        <f>M11+M40</f>
        <v>0</v>
      </c>
      <c r="N42" s="58">
        <f>N11+N40</f>
        <v>0</v>
      </c>
      <c r="O42" s="40">
        <f>O11+O40</f>
        <v>0</v>
      </c>
      <c r="P42" s="155">
        <f>SUM(B42:O42)</f>
        <v>1039391.5099999999</v>
      </c>
      <c r="Q42" s="21">
        <f>P42/$P$11</f>
        <v>0.50702276410805402</v>
      </c>
      <c r="S42" s="98">
        <f t="shared" si="9"/>
        <v>1039391.5099999999</v>
      </c>
      <c r="T42" s="98">
        <f t="shared" si="1"/>
        <v>0</v>
      </c>
      <c r="U42" s="98">
        <f t="shared" si="2"/>
        <v>501767</v>
      </c>
    </row>
    <row r="43" spans="1:21" x14ac:dyDescent="0.25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4"/>
      <c r="S43" s="98">
        <f t="shared" si="9"/>
        <v>0</v>
      </c>
      <c r="T43" s="98">
        <f t="shared" si="1"/>
        <v>0</v>
      </c>
      <c r="U43" s="98">
        <f t="shared" si="2"/>
        <v>0</v>
      </c>
    </row>
    <row r="44" spans="1:21" x14ac:dyDescent="0.25">
      <c r="A44" s="29" t="s">
        <v>56</v>
      </c>
      <c r="B44" s="45">
        <f>-B9*13.15%</f>
        <v>-157135.88949500001</v>
      </c>
      <c r="C44" s="45">
        <f>-C9*13.15%</f>
        <v>-112437.77315000001</v>
      </c>
      <c r="D44" s="45">
        <f t="shared" ref="D44" si="15">-D9*13.15%</f>
        <v>0</v>
      </c>
      <c r="E44" s="45">
        <f t="shared" ref="E44:J44" si="16">-E9*13.15%</f>
        <v>0</v>
      </c>
      <c r="F44" s="45">
        <f t="shared" si="16"/>
        <v>0</v>
      </c>
      <c r="G44" s="45">
        <f t="shared" si="16"/>
        <v>0</v>
      </c>
      <c r="H44" s="45">
        <f t="shared" si="16"/>
        <v>0</v>
      </c>
      <c r="I44" s="45">
        <f t="shared" si="16"/>
        <v>0</v>
      </c>
      <c r="J44" s="45">
        <f t="shared" si="16"/>
        <v>0</v>
      </c>
      <c r="K44" s="45">
        <f>-K9*13.15%</f>
        <v>0</v>
      </c>
      <c r="L44" s="45">
        <f t="shared" ref="L44:O44" si="17">-L9*13.15%</f>
        <v>0</v>
      </c>
      <c r="M44" s="45">
        <f t="shared" si="17"/>
        <v>0</v>
      </c>
      <c r="N44" s="45">
        <f t="shared" si="17"/>
        <v>0</v>
      </c>
      <c r="O44" s="45">
        <f t="shared" si="17"/>
        <v>0</v>
      </c>
      <c r="P44" s="20">
        <f t="shared" ref="P44" si="18">SUM(B44:O44)</f>
        <v>-269573.66264500003</v>
      </c>
      <c r="Q44" s="21">
        <f t="shared" si="8"/>
        <v>0.13150000000000001</v>
      </c>
      <c r="S44" s="98">
        <f t="shared" si="9"/>
        <v>-269573.66264500003</v>
      </c>
      <c r="T44" s="98">
        <f t="shared" si="1"/>
        <v>0</v>
      </c>
      <c r="U44" s="98">
        <f t="shared" si="2"/>
        <v>-112437.77315000002</v>
      </c>
    </row>
    <row r="45" spans="1:21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4"/>
      <c r="S45" s="98">
        <f t="shared" si="9"/>
        <v>0</v>
      </c>
      <c r="T45" s="98">
        <f t="shared" si="1"/>
        <v>0</v>
      </c>
      <c r="U45" s="98">
        <f t="shared" si="2"/>
        <v>0</v>
      </c>
    </row>
    <row r="46" spans="1:21" x14ac:dyDescent="0.25">
      <c r="A46" s="29" t="s">
        <v>33</v>
      </c>
      <c r="B46" s="45">
        <f t="shared" ref="B46:O46" si="19">-B9*1.22%</f>
        <v>-14578.386705999999</v>
      </c>
      <c r="C46" s="45">
        <f t="shared" ref="C46" si="20">-C9*1.22%</f>
        <v>-10431.489219999999</v>
      </c>
      <c r="D46" s="45">
        <f t="shared" ref="D46" si="21">-D9*1.22%</f>
        <v>0</v>
      </c>
      <c r="E46" s="45">
        <f t="shared" si="19"/>
        <v>0</v>
      </c>
      <c r="F46" s="45">
        <f t="shared" si="19"/>
        <v>0</v>
      </c>
      <c r="G46" s="45">
        <f t="shared" si="19"/>
        <v>0</v>
      </c>
      <c r="H46" s="45">
        <f t="shared" si="19"/>
        <v>0</v>
      </c>
      <c r="I46" s="45">
        <f t="shared" si="19"/>
        <v>0</v>
      </c>
      <c r="J46" s="45">
        <f t="shared" si="19"/>
        <v>0</v>
      </c>
      <c r="K46" s="45">
        <f t="shared" si="19"/>
        <v>0</v>
      </c>
      <c r="L46" s="45">
        <f t="shared" si="19"/>
        <v>0</v>
      </c>
      <c r="M46" s="45">
        <f t="shared" si="19"/>
        <v>0</v>
      </c>
      <c r="N46" s="45">
        <f t="shared" si="19"/>
        <v>0</v>
      </c>
      <c r="O46" s="45">
        <f t="shared" si="19"/>
        <v>0</v>
      </c>
      <c r="P46" s="20">
        <f t="shared" ref="P46" si="22">SUM(B46:O46)</f>
        <v>-25009.875926000001</v>
      </c>
      <c r="Q46" s="21">
        <f t="shared" si="8"/>
        <v>1.2199999999999999E-2</v>
      </c>
      <c r="S46" s="98">
        <f t="shared" si="9"/>
        <v>-25009.875926000001</v>
      </c>
      <c r="T46" s="98">
        <f t="shared" si="1"/>
        <v>0</v>
      </c>
      <c r="U46" s="98">
        <f t="shared" si="2"/>
        <v>-10431.489220000001</v>
      </c>
    </row>
    <row r="47" spans="1:21" x14ac:dyDescent="0.2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4"/>
      <c r="S47" s="98">
        <f t="shared" si="9"/>
        <v>0</v>
      </c>
      <c r="T47" s="98">
        <f t="shared" si="1"/>
        <v>0</v>
      </c>
      <c r="U47" s="98">
        <f t="shared" si="2"/>
        <v>0</v>
      </c>
    </row>
    <row r="48" spans="1:21" x14ac:dyDescent="0.25">
      <c r="A48" s="48" t="s">
        <v>57</v>
      </c>
      <c r="B48" s="49">
        <f>B40*5.56%</f>
        <v>-36547.282232000005</v>
      </c>
      <c r="C48" s="49">
        <f>C40*5.56%</f>
        <v>-19610.031596000001</v>
      </c>
      <c r="D48" s="49">
        <f t="shared" ref="D48" si="23">D40*5.56%</f>
        <v>-31.952764000000002</v>
      </c>
      <c r="E48" s="49">
        <f t="shared" ref="E48:L48" si="24">E40*5.56%</f>
        <v>0</v>
      </c>
      <c r="F48" s="49">
        <f>F40*5.56%</f>
        <v>0</v>
      </c>
      <c r="G48" s="49">
        <f t="shared" si="24"/>
        <v>0</v>
      </c>
      <c r="H48" s="49">
        <f t="shared" si="24"/>
        <v>0</v>
      </c>
      <c r="I48" s="49">
        <f t="shared" si="24"/>
        <v>0</v>
      </c>
      <c r="J48" s="49">
        <f t="shared" si="24"/>
        <v>0</v>
      </c>
      <c r="K48" s="49">
        <f t="shared" si="24"/>
        <v>0</v>
      </c>
      <c r="L48" s="49">
        <f t="shared" si="24"/>
        <v>0</v>
      </c>
      <c r="M48" s="49">
        <f>M40*5.56%</f>
        <v>0</v>
      </c>
      <c r="N48" s="49">
        <f>N40*5.56%</f>
        <v>0</v>
      </c>
      <c r="O48" s="49">
        <f>O40*5.56%</f>
        <v>0</v>
      </c>
      <c r="P48" s="20">
        <f t="shared" ref="P48" si="25">SUM(B48:O48)</f>
        <v>-56189.266592000007</v>
      </c>
      <c r="Q48" s="21">
        <f t="shared" si="8"/>
        <v>2.7409534315592194E-2</v>
      </c>
      <c r="S48" s="98">
        <f t="shared" si="9"/>
        <v>-56189.266592000007</v>
      </c>
      <c r="T48" s="98">
        <f t="shared" si="1"/>
        <v>0</v>
      </c>
      <c r="U48" s="98">
        <f t="shared" si="2"/>
        <v>-19641.984360000002</v>
      </c>
    </row>
    <row r="49" spans="1:21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4"/>
      <c r="S49" s="98">
        <f t="shared" si="9"/>
        <v>0</v>
      </c>
      <c r="T49" s="98">
        <f t="shared" si="1"/>
        <v>0</v>
      </c>
      <c r="U49" s="98">
        <f t="shared" si="2"/>
        <v>0</v>
      </c>
    </row>
    <row r="50" spans="1:21" x14ac:dyDescent="0.25">
      <c r="A50" s="48" t="s">
        <v>58</v>
      </c>
      <c r="B50" s="49">
        <f>B40*0.01%</f>
        <v>-65.732522000000017</v>
      </c>
      <c r="C50" s="49">
        <f>C40*0.01%</f>
        <v>-35.269841000000007</v>
      </c>
      <c r="D50" s="49">
        <f t="shared" ref="D50" si="26">D40*0.01%</f>
        <v>-5.7469000000000006E-2</v>
      </c>
      <c r="E50" s="49">
        <f t="shared" ref="E50:J50" si="27">E40*0.01%</f>
        <v>0</v>
      </c>
      <c r="F50" s="49">
        <f t="shared" si="27"/>
        <v>0</v>
      </c>
      <c r="G50" s="49">
        <f t="shared" si="27"/>
        <v>0</v>
      </c>
      <c r="H50" s="49">
        <f t="shared" si="27"/>
        <v>0</v>
      </c>
      <c r="I50" s="49">
        <f t="shared" si="27"/>
        <v>0</v>
      </c>
      <c r="J50" s="49">
        <f t="shared" si="27"/>
        <v>0</v>
      </c>
      <c r="K50" s="49">
        <f>K40*0.01%</f>
        <v>0</v>
      </c>
      <c r="L50" s="49">
        <f t="shared" ref="L50" si="28">L40*0.01%</f>
        <v>0</v>
      </c>
      <c r="M50" s="49">
        <f>M40*0.01%</f>
        <v>0</v>
      </c>
      <c r="N50" s="49">
        <f>N40*0.01%</f>
        <v>0</v>
      </c>
      <c r="O50" s="49">
        <f>O40*0.01%</f>
        <v>0</v>
      </c>
      <c r="P50" s="20">
        <f t="shared" ref="P50" si="29">SUM(B50:O50)</f>
        <v>-101.05983200000003</v>
      </c>
      <c r="Q50" s="21">
        <f t="shared" si="8"/>
        <v>4.9297723589194597E-5</v>
      </c>
      <c r="S50" s="98">
        <f>SUM(B50:O50)</f>
        <v>-101.05983200000003</v>
      </c>
      <c r="T50" s="98">
        <f t="shared" si="1"/>
        <v>0</v>
      </c>
      <c r="U50" s="98">
        <f t="shared" si="2"/>
        <v>-35.327310000000011</v>
      </c>
    </row>
    <row r="51" spans="1:21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4"/>
      <c r="S51" s="98">
        <f t="shared" si="9"/>
        <v>0</v>
      </c>
      <c r="T51" s="98">
        <f t="shared" si="1"/>
        <v>0</v>
      </c>
      <c r="U51" s="98">
        <f t="shared" si="2"/>
        <v>0</v>
      </c>
    </row>
    <row r="52" spans="1:21" x14ac:dyDescent="0.25">
      <c r="A52" s="39" t="s">
        <v>154</v>
      </c>
      <c r="B52" s="40">
        <f>B42+B48+B50+B44+B46</f>
        <v>329297.21904499986</v>
      </c>
      <c r="C52" s="40">
        <f>C42+C48+C50+C44+C46</f>
        <v>359827.12619299995</v>
      </c>
      <c r="D52" s="58">
        <f>D42+D48+D50+D44+D46</f>
        <v>-606.70023300000003</v>
      </c>
      <c r="E52" s="58">
        <f t="shared" ref="E52:L52" si="30">E42+E48+E50+E44+E46</f>
        <v>0</v>
      </c>
      <c r="F52" s="40">
        <f>F42+F48+F50+F44+F46</f>
        <v>0</v>
      </c>
      <c r="G52" s="58">
        <f t="shared" si="30"/>
        <v>0</v>
      </c>
      <c r="H52" s="58">
        <f t="shared" si="30"/>
        <v>0</v>
      </c>
      <c r="I52" s="40">
        <f t="shared" si="30"/>
        <v>0</v>
      </c>
      <c r="J52" s="58">
        <f t="shared" si="30"/>
        <v>0</v>
      </c>
      <c r="K52" s="58">
        <f t="shared" si="30"/>
        <v>0</v>
      </c>
      <c r="L52" s="40">
        <f t="shared" si="30"/>
        <v>0</v>
      </c>
      <c r="M52" s="40">
        <f>M42+M48+M50+M44+M46</f>
        <v>0</v>
      </c>
      <c r="N52" s="58">
        <f>N42+N48+N50+N44+N46</f>
        <v>0</v>
      </c>
      <c r="O52" s="40">
        <f>O42+O48+O50+O44+O46</f>
        <v>0</v>
      </c>
      <c r="P52" s="155">
        <f>SUM(B52:O52)</f>
        <v>688517.64500499982</v>
      </c>
      <c r="Q52" s="21">
        <f>P52/$P$11</f>
        <v>0.33586393206887266</v>
      </c>
      <c r="S52" s="98">
        <f t="shared" si="9"/>
        <v>688517.64500499982</v>
      </c>
      <c r="T52" s="98">
        <f t="shared" si="1"/>
        <v>0</v>
      </c>
      <c r="U52" s="98">
        <f t="shared" si="2"/>
        <v>359220.42595999996</v>
      </c>
    </row>
    <row r="53" spans="1:21" x14ac:dyDescent="0.2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</row>
    <row r="54" spans="1:21" x14ac:dyDescent="0.25">
      <c r="A54" s="52" t="s">
        <v>35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53"/>
      <c r="Q54" s="50"/>
    </row>
    <row r="55" spans="1:21" x14ac:dyDescent="0.25">
      <c r="A55" s="81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  <row r="56" spans="1:21" x14ac:dyDescent="0.25">
      <c r="A56" s="54" t="s">
        <v>36</v>
      </c>
      <c r="Q56" s="89">
        <v>46081</v>
      </c>
    </row>
    <row r="57" spans="1:21" x14ac:dyDescent="0.25">
      <c r="B57" s="98">
        <f>B11+B40+B44+B46+B48+B50</f>
        <v>329297.21904499986</v>
      </c>
      <c r="C57" s="98">
        <f>C11+C40+C44+C46+C48+C50</f>
        <v>359827.12619299995</v>
      </c>
      <c r="D57" s="98">
        <f>D11+D40+D44+D46+D48+D50</f>
        <v>-606.70023300000003</v>
      </c>
      <c r="E57" s="98">
        <f t="shared" ref="E57:P57" si="31">E11+E40+E44+E46+E48+E50</f>
        <v>0</v>
      </c>
      <c r="F57" s="98">
        <f>F11+F40+F44+F46+F48+F50</f>
        <v>0</v>
      </c>
      <c r="G57" s="98">
        <f t="shared" si="31"/>
        <v>0</v>
      </c>
      <c r="H57" s="98">
        <f t="shared" si="31"/>
        <v>0</v>
      </c>
      <c r="I57" s="98">
        <f t="shared" si="31"/>
        <v>0</v>
      </c>
      <c r="J57" s="98">
        <f t="shared" si="31"/>
        <v>0</v>
      </c>
      <c r="K57" s="98">
        <f t="shared" si="31"/>
        <v>0</v>
      </c>
      <c r="L57" s="98">
        <f t="shared" si="31"/>
        <v>0</v>
      </c>
      <c r="M57" s="98">
        <f t="shared" si="31"/>
        <v>0</v>
      </c>
      <c r="N57" s="98">
        <f t="shared" si="31"/>
        <v>0</v>
      </c>
      <c r="O57" s="98">
        <f t="shared" si="31"/>
        <v>0</v>
      </c>
      <c r="P57" s="98">
        <f t="shared" si="31"/>
        <v>688517.64500499994</v>
      </c>
    </row>
    <row r="59" spans="1:21" x14ac:dyDescent="0.25">
      <c r="B59" s="98">
        <f>B57-B52</f>
        <v>0</v>
      </c>
      <c r="C59" s="98">
        <f>C57-C52</f>
        <v>0</v>
      </c>
      <c r="D59" s="98">
        <f t="shared" ref="D59" si="32">D57-D52</f>
        <v>0</v>
      </c>
      <c r="E59" s="98">
        <f t="shared" ref="E59:P59" si="33">E57-E52</f>
        <v>0</v>
      </c>
      <c r="F59" s="98">
        <f t="shared" si="33"/>
        <v>0</v>
      </c>
      <c r="G59" s="98">
        <f t="shared" si="33"/>
        <v>0</v>
      </c>
      <c r="H59" s="98">
        <f t="shared" si="33"/>
        <v>0</v>
      </c>
      <c r="I59" s="98">
        <f t="shared" si="33"/>
        <v>0</v>
      </c>
      <c r="J59" s="98">
        <f t="shared" si="33"/>
        <v>0</v>
      </c>
      <c r="K59" s="98">
        <f t="shared" si="33"/>
        <v>0</v>
      </c>
      <c r="L59" s="98">
        <f t="shared" si="33"/>
        <v>0</v>
      </c>
      <c r="M59" s="98">
        <f t="shared" si="33"/>
        <v>0</v>
      </c>
      <c r="N59" s="98">
        <f t="shared" si="33"/>
        <v>0</v>
      </c>
      <c r="O59" s="98">
        <f t="shared" si="33"/>
        <v>0</v>
      </c>
      <c r="P59" s="98">
        <f t="shared" si="33"/>
        <v>0</v>
      </c>
    </row>
  </sheetData>
  <mergeCells count="3">
    <mergeCell ref="A1:Q1"/>
    <mergeCell ref="A3:Q3"/>
    <mergeCell ref="A5:Q5"/>
  </mergeCells>
  <phoneticPr fontId="12" type="noConversion"/>
  <conditionalFormatting sqref="E52">
    <cfRule type="cellIs" dxfId="39" priority="5" operator="lessThan">
      <formula>0</formula>
    </cfRule>
    <cfRule type="cellIs" dxfId="38" priority="6" operator="greaterThan">
      <formula>0</formula>
    </cfRule>
  </conditionalFormatting>
  <conditionalFormatting sqref="G52:H52">
    <cfRule type="cellIs" dxfId="37" priority="3" operator="lessThan">
      <formula>0</formula>
    </cfRule>
    <cfRule type="cellIs" dxfId="36" priority="4" operator="greaterThan">
      <formula>0</formula>
    </cfRule>
  </conditionalFormatting>
  <conditionalFormatting sqref="J52">
    <cfRule type="cellIs" dxfId="35" priority="1" operator="lessThan">
      <formula>0</formula>
    </cfRule>
    <cfRule type="cellIs" dxfId="34" priority="2" operator="greaterThan">
      <formula>0</formula>
    </cfRule>
  </conditionalFormatting>
  <printOptions horizontalCentered="1" verticalCentered="1"/>
  <pageMargins left="0" right="0" top="0.39370078740157483" bottom="0" header="0.19685039370078741" footer="0"/>
  <pageSetup paperSize="9" scale="71" orientation="landscape" r:id="rId1"/>
  <headerFooter>
    <oddHeader>&amp;L&amp;"-,Negrito"&amp;14                                                                                                        &amp;C&amp;"-,Negrito"&amp;14BELA NOVA CONSTRUTORA EIRELI</oddHeader>
  </headerFooter>
  <rowBreaks count="1" manualBreakCount="1">
    <brk id="56" max="16383" man="1"/>
  </rowBreaks>
  <colBreaks count="1" manualBreakCount="1">
    <brk id="17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9"/>
  </sheetPr>
  <dimension ref="A1:U59"/>
  <sheetViews>
    <sheetView topLeftCell="A43" zoomScale="85" zoomScaleNormal="85" workbookViewId="0">
      <pane xSplit="1" topLeftCell="I1" activePane="topRight" state="frozen"/>
      <selection pane="topRight" activeCell="I55" sqref="I55"/>
    </sheetView>
  </sheetViews>
  <sheetFormatPr defaultRowHeight="15" x14ac:dyDescent="0.25"/>
  <cols>
    <col min="1" max="1" width="44.140625" customWidth="1"/>
    <col min="2" max="2" width="18.42578125" bestFit="1" customWidth="1"/>
    <col min="3" max="3" width="15.85546875" customWidth="1"/>
    <col min="4" max="4" width="17.140625" customWidth="1"/>
    <col min="5" max="5" width="18.140625" customWidth="1"/>
    <col min="6" max="9" width="15.5703125" customWidth="1"/>
    <col min="10" max="15" width="15.5703125" hidden="1" customWidth="1"/>
    <col min="16" max="16" width="16.42578125" customWidth="1"/>
    <col min="17" max="17" width="11.140625" bestFit="1" customWidth="1"/>
    <col min="18" max="18" width="4" customWidth="1"/>
    <col min="19" max="19" width="14.5703125" bestFit="1" customWidth="1"/>
    <col min="20" max="20" width="10.7109375" customWidth="1"/>
    <col min="21" max="21" width="14.42578125" bestFit="1" customWidth="1"/>
  </cols>
  <sheetData>
    <row r="1" spans="1:21" ht="15.75" x14ac:dyDescent="0.25">
      <c r="A1" s="203" t="s">
        <v>269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</row>
    <row r="2" spans="1:21" ht="11.25" customHeight="1" x14ac:dyDescent="0.25">
      <c r="A2" s="71"/>
    </row>
    <row r="3" spans="1:21" ht="15.75" x14ac:dyDescent="0.25">
      <c r="A3" s="203" t="s">
        <v>270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21" ht="9" customHeight="1" x14ac:dyDescent="0.25">
      <c r="A4" s="71"/>
    </row>
    <row r="5" spans="1:21" ht="17.25" customHeight="1" x14ac:dyDescent="0.25">
      <c r="A5" s="209" t="s">
        <v>257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</row>
    <row r="6" spans="1:21" ht="9.75" customHeight="1" x14ac:dyDescent="0.25">
      <c r="A6" s="10"/>
    </row>
    <row r="7" spans="1:21" x14ac:dyDescent="0.25">
      <c r="A7" s="12"/>
      <c r="B7" s="60" t="s">
        <v>232</v>
      </c>
      <c r="C7" s="60" t="s">
        <v>303</v>
      </c>
      <c r="D7" s="60" t="s">
        <v>304</v>
      </c>
      <c r="E7" s="60" t="s">
        <v>305</v>
      </c>
      <c r="F7" s="60" t="s">
        <v>306</v>
      </c>
      <c r="G7" s="60" t="s">
        <v>307</v>
      </c>
      <c r="H7" s="60" t="s">
        <v>308</v>
      </c>
      <c r="I7" s="60" t="s">
        <v>309</v>
      </c>
      <c r="J7" s="60" t="s">
        <v>310</v>
      </c>
      <c r="K7" s="60" t="s">
        <v>311</v>
      </c>
      <c r="L7" s="60" t="s">
        <v>312</v>
      </c>
      <c r="M7" s="60" t="s">
        <v>313</v>
      </c>
      <c r="N7" s="60" t="s">
        <v>314</v>
      </c>
      <c r="O7" s="60" t="s">
        <v>225</v>
      </c>
      <c r="P7" s="13" t="s">
        <v>1</v>
      </c>
      <c r="Q7" s="14" t="s">
        <v>2</v>
      </c>
      <c r="U7" s="182">
        <v>2025</v>
      </c>
    </row>
    <row r="8" spans="1:21" x14ac:dyDescent="0.25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7"/>
      <c r="Q8" s="18"/>
    </row>
    <row r="9" spans="1:21" x14ac:dyDescent="0.25">
      <c r="A9" s="78" t="s">
        <v>4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20">
        <f>SUM(B9:O9)</f>
        <v>0</v>
      </c>
      <c r="Q9" s="21">
        <v>1</v>
      </c>
      <c r="S9" s="98">
        <f>SUM(B9:O9)</f>
        <v>0</v>
      </c>
      <c r="T9" s="98">
        <f>S9-P9</f>
        <v>0</v>
      </c>
      <c r="U9" s="98">
        <f>P9-B9</f>
        <v>0</v>
      </c>
    </row>
    <row r="10" spans="1:21" x14ac:dyDescent="0.25">
      <c r="A10" s="15" t="s">
        <v>5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SUM(B10:O10)</f>
        <v>0</v>
      </c>
      <c r="Q10" s="21"/>
      <c r="S10" s="98">
        <f t="shared" ref="S10:S52" si="0">SUM(B10:O10)</f>
        <v>0</v>
      </c>
      <c r="T10" s="98">
        <f t="shared" ref="T10:T11" si="1">S10-P10</f>
        <v>0</v>
      </c>
      <c r="U10" s="98">
        <f t="shared" ref="U10:U51" si="2">P10-B10</f>
        <v>0</v>
      </c>
    </row>
    <row r="11" spans="1:21" x14ac:dyDescent="0.25">
      <c r="A11" s="23" t="s">
        <v>6</v>
      </c>
      <c r="B11" s="24">
        <f t="shared" ref="B11:K11" si="3">SUM(B9:B10)</f>
        <v>0</v>
      </c>
      <c r="C11" s="24">
        <f t="shared" ref="C11" si="4">SUM(C9:C10)</f>
        <v>0</v>
      </c>
      <c r="D11" s="24">
        <f t="shared" ref="D11" si="5">SUM(D9:D10)</f>
        <v>0</v>
      </c>
      <c r="E11" s="24">
        <f t="shared" si="3"/>
        <v>0</v>
      </c>
      <c r="F11" s="24">
        <f t="shared" si="3"/>
        <v>0</v>
      </c>
      <c r="G11" s="24">
        <f t="shared" si="3"/>
        <v>0</v>
      </c>
      <c r="H11" s="24">
        <f t="shared" si="3"/>
        <v>0</v>
      </c>
      <c r="I11" s="24">
        <f t="shared" si="3"/>
        <v>0</v>
      </c>
      <c r="J11" s="24">
        <f t="shared" si="3"/>
        <v>0</v>
      </c>
      <c r="K11" s="24">
        <f t="shared" si="3"/>
        <v>0</v>
      </c>
      <c r="L11" s="24">
        <f t="shared" ref="L11:O11" si="6">SUM(L9:L10)</f>
        <v>0</v>
      </c>
      <c r="M11" s="24">
        <f t="shared" si="6"/>
        <v>0</v>
      </c>
      <c r="N11" s="24">
        <f t="shared" si="6"/>
        <v>0</v>
      </c>
      <c r="O11" s="24">
        <f t="shared" si="6"/>
        <v>0</v>
      </c>
      <c r="P11" s="24">
        <f>SUM(P9:P10)</f>
        <v>0</v>
      </c>
      <c r="Q11" s="21">
        <v>1</v>
      </c>
      <c r="S11" s="98">
        <f t="shared" si="0"/>
        <v>0</v>
      </c>
      <c r="T11" s="98">
        <f t="shared" si="1"/>
        <v>0</v>
      </c>
      <c r="U11" s="98">
        <f t="shared" si="2"/>
        <v>0</v>
      </c>
    </row>
    <row r="12" spans="1:21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8"/>
      <c r="S12" s="98">
        <f t="shared" si="0"/>
        <v>0</v>
      </c>
      <c r="T12" s="98"/>
      <c r="U12" s="98">
        <f t="shared" si="2"/>
        <v>0</v>
      </c>
    </row>
    <row r="13" spans="1:21" x14ac:dyDescent="0.25">
      <c r="A13" s="29" t="s">
        <v>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31"/>
      <c r="S13" s="98">
        <f t="shared" si="0"/>
        <v>0</v>
      </c>
      <c r="T13" s="98"/>
      <c r="U13" s="98">
        <f t="shared" si="2"/>
        <v>0</v>
      </c>
    </row>
    <row r="14" spans="1:21" x14ac:dyDescent="0.25">
      <c r="A14" s="15" t="s">
        <v>8</v>
      </c>
      <c r="B14" s="32">
        <v>-11515.14</v>
      </c>
      <c r="C14" s="32">
        <v>-20932.580000000002</v>
      </c>
      <c r="D14" s="32">
        <v>-3065.32</v>
      </c>
      <c r="E14" s="32">
        <v>-2862.78</v>
      </c>
      <c r="F14" s="32">
        <v>-2282.46</v>
      </c>
      <c r="G14" s="32">
        <v>-2330</v>
      </c>
      <c r="H14" s="32">
        <v>-1404.13</v>
      </c>
      <c r="I14" s="32">
        <v>-1019.96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20">
        <f>SUM(B14:O14)</f>
        <v>-45412.369999999995</v>
      </c>
      <c r="Q14" s="21"/>
      <c r="S14" s="98">
        <f t="shared" si="0"/>
        <v>-45412.369999999995</v>
      </c>
      <c r="T14" s="98">
        <f>S14-P14</f>
        <v>0</v>
      </c>
      <c r="U14" s="98">
        <f t="shared" si="2"/>
        <v>-33897.229999999996</v>
      </c>
    </row>
    <row r="15" spans="1:21" x14ac:dyDescent="0.25">
      <c r="A15" s="33" t="s">
        <v>9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20">
        <f t="shared" ref="P15:P39" si="7">SUM(B15:O15)</f>
        <v>0</v>
      </c>
      <c r="Q15" s="21"/>
      <c r="S15" s="98">
        <f t="shared" si="0"/>
        <v>0</v>
      </c>
      <c r="T15" s="98">
        <f t="shared" ref="T15:T52" si="8">S15-P15</f>
        <v>0</v>
      </c>
      <c r="U15" s="98">
        <f t="shared" si="2"/>
        <v>0</v>
      </c>
    </row>
    <row r="16" spans="1:21" x14ac:dyDescent="0.25">
      <c r="A16" s="15" t="s">
        <v>10</v>
      </c>
      <c r="B16" s="32">
        <v>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20">
        <f t="shared" si="7"/>
        <v>0</v>
      </c>
      <c r="Q16" s="21"/>
      <c r="S16" s="98">
        <f t="shared" si="0"/>
        <v>0</v>
      </c>
      <c r="T16" s="98">
        <f t="shared" si="8"/>
        <v>0</v>
      </c>
      <c r="U16" s="98">
        <f t="shared" si="2"/>
        <v>0</v>
      </c>
    </row>
    <row r="17" spans="1:21" x14ac:dyDescent="0.25">
      <c r="A17" s="33" t="s">
        <v>11</v>
      </c>
      <c r="B17" s="32">
        <v>-56.24</v>
      </c>
      <c r="C17" s="32">
        <v>-48.55</v>
      </c>
      <c r="D17" s="32">
        <v>-32.5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20">
        <f t="shared" si="7"/>
        <v>-137.29</v>
      </c>
      <c r="Q17" s="21"/>
      <c r="S17" s="98">
        <f t="shared" si="0"/>
        <v>-137.29</v>
      </c>
      <c r="T17" s="98">
        <f t="shared" si="8"/>
        <v>0</v>
      </c>
      <c r="U17" s="98">
        <f t="shared" si="2"/>
        <v>-81.049999999999983</v>
      </c>
    </row>
    <row r="18" spans="1:21" x14ac:dyDescent="0.25">
      <c r="A18" s="15" t="s">
        <v>12</v>
      </c>
      <c r="B18" s="32">
        <v>-14203.95</v>
      </c>
      <c r="C18" s="32">
        <v>-17189.21</v>
      </c>
      <c r="D18" s="32">
        <v>-1892.91</v>
      </c>
      <c r="E18" s="32">
        <v>-1669.98</v>
      </c>
      <c r="F18" s="32">
        <v>-1669.98</v>
      </c>
      <c r="G18" s="32">
        <v>-1039.01</v>
      </c>
      <c r="H18" s="32">
        <v>-728.35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20">
        <f t="shared" si="7"/>
        <v>-38393.390000000007</v>
      </c>
      <c r="Q18" s="21"/>
      <c r="S18" s="98">
        <f t="shared" si="0"/>
        <v>-38393.390000000007</v>
      </c>
      <c r="T18" s="98">
        <f t="shared" si="8"/>
        <v>0</v>
      </c>
      <c r="U18" s="98">
        <f t="shared" si="2"/>
        <v>-24189.440000000006</v>
      </c>
    </row>
    <row r="19" spans="1:21" x14ac:dyDescent="0.25">
      <c r="A19" s="15" t="s">
        <v>13</v>
      </c>
      <c r="B19" s="32">
        <v>-6970.76</v>
      </c>
      <c r="C19" s="32">
        <v>-17725.59</v>
      </c>
      <c r="D19" s="32">
        <v>-1425.5</v>
      </c>
      <c r="E19" s="32">
        <v>-1118.8800000000001</v>
      </c>
      <c r="F19" s="32">
        <v>-3031.97</v>
      </c>
      <c r="G19" s="32">
        <v>-637.9</v>
      </c>
      <c r="H19" s="32">
        <v>-438.89</v>
      </c>
      <c r="I19" s="32">
        <v>-298.87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20">
        <f t="shared" si="7"/>
        <v>-31648.36</v>
      </c>
      <c r="Q19" s="21"/>
      <c r="S19" s="98">
        <f t="shared" si="0"/>
        <v>-31648.36</v>
      </c>
      <c r="T19" s="98">
        <f t="shared" si="8"/>
        <v>0</v>
      </c>
      <c r="U19" s="98">
        <f t="shared" si="2"/>
        <v>-24677.599999999999</v>
      </c>
    </row>
    <row r="20" spans="1:21" x14ac:dyDescent="0.25">
      <c r="A20" s="15" t="s">
        <v>14</v>
      </c>
      <c r="B20" s="32">
        <v>-5990.42</v>
      </c>
      <c r="C20" s="32">
        <v>-4759.6499999999996</v>
      </c>
      <c r="D20" s="32">
        <v>-101.81</v>
      </c>
      <c r="E20" s="32">
        <v>-781.98</v>
      </c>
      <c r="F20" s="32">
        <v>-762.82</v>
      </c>
      <c r="G20" s="32">
        <v>-64.38</v>
      </c>
      <c r="H20" s="32">
        <v>-68.959999999999994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20">
        <f t="shared" si="7"/>
        <v>-12530.019999999997</v>
      </c>
      <c r="Q20" s="21"/>
      <c r="S20" s="98">
        <f t="shared" si="0"/>
        <v>-12530.019999999997</v>
      </c>
      <c r="T20" s="98">
        <f t="shared" si="8"/>
        <v>0</v>
      </c>
      <c r="U20" s="98">
        <f t="shared" si="2"/>
        <v>-6539.5999999999967</v>
      </c>
    </row>
    <row r="21" spans="1:21" x14ac:dyDescent="0.25">
      <c r="A21" s="15" t="s">
        <v>15</v>
      </c>
      <c r="B21" s="32">
        <v>0</v>
      </c>
      <c r="C21" s="32">
        <v>-206.6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20">
        <f t="shared" si="7"/>
        <v>-206.6</v>
      </c>
      <c r="Q21" s="21"/>
      <c r="S21" s="98">
        <f t="shared" si="0"/>
        <v>-206.6</v>
      </c>
      <c r="T21" s="98">
        <f t="shared" si="8"/>
        <v>0</v>
      </c>
      <c r="U21" s="98">
        <f t="shared" si="2"/>
        <v>-206.6</v>
      </c>
    </row>
    <row r="22" spans="1:21" x14ac:dyDescent="0.25">
      <c r="A22" s="15" t="s">
        <v>16</v>
      </c>
      <c r="B22" s="32">
        <v>0</v>
      </c>
      <c r="C22" s="32">
        <v>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20">
        <f t="shared" si="7"/>
        <v>0</v>
      </c>
      <c r="Q22" s="21"/>
      <c r="S22" s="98">
        <f t="shared" si="0"/>
        <v>0</v>
      </c>
      <c r="T22" s="98">
        <f t="shared" si="8"/>
        <v>0</v>
      </c>
      <c r="U22" s="98">
        <f t="shared" si="2"/>
        <v>0</v>
      </c>
    </row>
    <row r="23" spans="1:21" x14ac:dyDescent="0.25">
      <c r="A23" s="15" t="s">
        <v>17</v>
      </c>
      <c r="B23" s="32">
        <v>-8021.54</v>
      </c>
      <c r="C23" s="32">
        <v>-21087.58</v>
      </c>
      <c r="D23" s="32">
        <v>-3310.55</v>
      </c>
      <c r="E23" s="32">
        <v>-3212.05</v>
      </c>
      <c r="F23" s="32">
        <v>-2507.87</v>
      </c>
      <c r="G23" s="32">
        <v>-1470.97</v>
      </c>
      <c r="H23" s="32">
        <v>-1071.3499999999999</v>
      </c>
      <c r="I23" s="32">
        <v>-627.72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20">
        <f t="shared" si="7"/>
        <v>-41309.630000000005</v>
      </c>
      <c r="Q23" s="21"/>
      <c r="S23" s="98">
        <f t="shared" si="0"/>
        <v>-41309.630000000005</v>
      </c>
      <c r="T23" s="98">
        <f t="shared" si="8"/>
        <v>0</v>
      </c>
      <c r="U23" s="98">
        <f t="shared" si="2"/>
        <v>-33288.090000000004</v>
      </c>
    </row>
    <row r="24" spans="1:21" x14ac:dyDescent="0.25">
      <c r="A24" s="15" t="s">
        <v>18</v>
      </c>
      <c r="B24" s="32">
        <v>0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20">
        <f t="shared" si="7"/>
        <v>0</v>
      </c>
      <c r="Q24" s="21"/>
      <c r="S24" s="98">
        <f t="shared" si="0"/>
        <v>0</v>
      </c>
      <c r="T24" s="98">
        <f t="shared" si="8"/>
        <v>0</v>
      </c>
      <c r="U24" s="98">
        <f t="shared" si="2"/>
        <v>0</v>
      </c>
    </row>
    <row r="25" spans="1:21" x14ac:dyDescent="0.25">
      <c r="A25" s="15" t="s">
        <v>19</v>
      </c>
      <c r="B25" s="32">
        <v>0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20">
        <f t="shared" si="7"/>
        <v>0</v>
      </c>
      <c r="Q25" s="21"/>
      <c r="S25" s="98">
        <f t="shared" si="0"/>
        <v>0</v>
      </c>
      <c r="T25" s="98">
        <f t="shared" si="8"/>
        <v>0</v>
      </c>
      <c r="U25" s="98">
        <f t="shared" si="2"/>
        <v>0</v>
      </c>
    </row>
    <row r="26" spans="1:21" x14ac:dyDescent="0.25">
      <c r="A26" s="15" t="s">
        <v>20</v>
      </c>
      <c r="B26" s="32">
        <v>0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20">
        <f t="shared" si="7"/>
        <v>0</v>
      </c>
      <c r="Q26" s="21"/>
      <c r="S26" s="98">
        <f t="shared" si="0"/>
        <v>0</v>
      </c>
      <c r="T26" s="98">
        <f t="shared" si="8"/>
        <v>0</v>
      </c>
      <c r="U26" s="98">
        <f t="shared" si="2"/>
        <v>0</v>
      </c>
    </row>
    <row r="27" spans="1:21" x14ac:dyDescent="0.25">
      <c r="A27" s="15" t="s">
        <v>59</v>
      </c>
      <c r="B27" s="32">
        <v>0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20">
        <f t="shared" si="7"/>
        <v>0</v>
      </c>
      <c r="Q27" s="21"/>
      <c r="S27" s="98">
        <f t="shared" si="0"/>
        <v>0</v>
      </c>
      <c r="T27" s="98">
        <f t="shared" si="8"/>
        <v>0</v>
      </c>
      <c r="U27" s="98">
        <f t="shared" si="2"/>
        <v>0</v>
      </c>
    </row>
    <row r="28" spans="1:21" x14ac:dyDescent="0.25">
      <c r="A28" s="15" t="s">
        <v>21</v>
      </c>
      <c r="B28" s="32">
        <v>-585</v>
      </c>
      <c r="C28" s="32">
        <v>-3875</v>
      </c>
      <c r="D28" s="32">
        <v>0</v>
      </c>
      <c r="E28" s="32">
        <v>-135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20">
        <f t="shared" si="7"/>
        <v>-4595</v>
      </c>
      <c r="Q28" s="21"/>
      <c r="S28" s="98">
        <f t="shared" si="0"/>
        <v>-4595</v>
      </c>
      <c r="T28" s="98">
        <f t="shared" si="8"/>
        <v>0</v>
      </c>
      <c r="U28" s="98">
        <f t="shared" si="2"/>
        <v>-4010</v>
      </c>
    </row>
    <row r="29" spans="1:21" x14ac:dyDescent="0.25">
      <c r="A29" s="15" t="s">
        <v>22</v>
      </c>
      <c r="B29" s="32">
        <v>0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20">
        <f t="shared" si="7"/>
        <v>0</v>
      </c>
      <c r="Q29" s="21"/>
      <c r="S29" s="98">
        <f t="shared" si="0"/>
        <v>0</v>
      </c>
      <c r="T29" s="98">
        <f t="shared" si="8"/>
        <v>0</v>
      </c>
      <c r="U29" s="98">
        <f t="shared" si="2"/>
        <v>0</v>
      </c>
    </row>
    <row r="30" spans="1:21" x14ac:dyDescent="0.25">
      <c r="A30" s="33" t="s">
        <v>23</v>
      </c>
      <c r="B30" s="32">
        <v>0</v>
      </c>
      <c r="C30" s="32">
        <v>-39.549999999999997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20">
        <f t="shared" si="7"/>
        <v>-39.549999999999997</v>
      </c>
      <c r="Q30" s="21"/>
      <c r="S30" s="98">
        <f t="shared" si="0"/>
        <v>-39.549999999999997</v>
      </c>
      <c r="T30" s="98">
        <f t="shared" si="8"/>
        <v>0</v>
      </c>
      <c r="U30" s="98">
        <f t="shared" si="2"/>
        <v>-39.549999999999997</v>
      </c>
    </row>
    <row r="31" spans="1:21" x14ac:dyDescent="0.25">
      <c r="A31" s="15" t="s">
        <v>24</v>
      </c>
      <c r="B31" s="32">
        <v>-71039.09</v>
      </c>
      <c r="C31" s="32">
        <v>-89790.37</v>
      </c>
      <c r="D31" s="32">
        <v>-5176</v>
      </c>
      <c r="E31" s="32">
        <v>-6509</v>
      </c>
      <c r="F31" s="32">
        <v>-7234</v>
      </c>
      <c r="G31" s="32">
        <v>-3091</v>
      </c>
      <c r="H31" s="32">
        <v>-1978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20">
        <f t="shared" si="7"/>
        <v>-184817.46</v>
      </c>
      <c r="Q31" s="21"/>
      <c r="S31" s="98">
        <f t="shared" si="0"/>
        <v>-184817.46</v>
      </c>
      <c r="T31" s="98">
        <f t="shared" si="8"/>
        <v>0</v>
      </c>
      <c r="U31" s="98">
        <f t="shared" si="2"/>
        <v>-113778.37</v>
      </c>
    </row>
    <row r="32" spans="1:21" x14ac:dyDescent="0.25">
      <c r="A32" s="34" t="s">
        <v>25</v>
      </c>
      <c r="B32" s="32">
        <v>-81253.070000000007</v>
      </c>
      <c r="C32" s="32">
        <v>-124967.39</v>
      </c>
      <c r="D32" s="32">
        <v>-13664.52</v>
      </c>
      <c r="E32" s="32">
        <v>-14470.14</v>
      </c>
      <c r="F32" s="32">
        <v>-12670.02</v>
      </c>
      <c r="G32" s="32">
        <v>-7909.42</v>
      </c>
      <c r="H32" s="32">
        <v>-5416.75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20">
        <f t="shared" si="7"/>
        <v>-260351.31</v>
      </c>
      <c r="Q32" s="21"/>
      <c r="S32" s="98">
        <f t="shared" si="0"/>
        <v>-260351.31</v>
      </c>
      <c r="T32" s="98">
        <f t="shared" si="8"/>
        <v>0</v>
      </c>
      <c r="U32" s="98">
        <f t="shared" si="2"/>
        <v>-179098.23999999999</v>
      </c>
    </row>
    <row r="33" spans="1:21" x14ac:dyDescent="0.25">
      <c r="A33" s="15" t="s">
        <v>26</v>
      </c>
      <c r="B33" s="32">
        <v>0</v>
      </c>
      <c r="C33" s="32">
        <v>-135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20">
        <f t="shared" si="7"/>
        <v>-135</v>
      </c>
      <c r="Q33" s="21"/>
      <c r="S33" s="98">
        <f t="shared" si="0"/>
        <v>-135</v>
      </c>
      <c r="T33" s="98">
        <f t="shared" si="8"/>
        <v>0</v>
      </c>
      <c r="U33" s="98">
        <f t="shared" si="2"/>
        <v>-135</v>
      </c>
    </row>
    <row r="34" spans="1:21" x14ac:dyDescent="0.25">
      <c r="A34" s="15" t="s">
        <v>27</v>
      </c>
      <c r="B34" s="32">
        <v>0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20">
        <f t="shared" si="7"/>
        <v>0</v>
      </c>
      <c r="Q34" s="21"/>
      <c r="S34" s="98">
        <f t="shared" si="0"/>
        <v>0</v>
      </c>
      <c r="T34" s="98">
        <f t="shared" si="8"/>
        <v>0</v>
      </c>
      <c r="U34" s="98">
        <f t="shared" si="2"/>
        <v>0</v>
      </c>
    </row>
    <row r="35" spans="1:21" x14ac:dyDescent="0.25">
      <c r="A35" s="33" t="s">
        <v>28</v>
      </c>
      <c r="B35" s="32">
        <v>-798.63</v>
      </c>
      <c r="C35" s="32">
        <v>-450.71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20">
        <f t="shared" si="7"/>
        <v>-1249.3399999999999</v>
      </c>
      <c r="Q35" s="21"/>
      <c r="S35" s="98">
        <f t="shared" si="0"/>
        <v>-1249.3399999999999</v>
      </c>
      <c r="T35" s="98">
        <f t="shared" si="8"/>
        <v>0</v>
      </c>
      <c r="U35" s="98">
        <f t="shared" si="2"/>
        <v>-450.70999999999992</v>
      </c>
    </row>
    <row r="36" spans="1:21" x14ac:dyDescent="0.25">
      <c r="A36" s="15" t="s">
        <v>29</v>
      </c>
      <c r="B36" s="32">
        <v>-5322.37</v>
      </c>
      <c r="C36" s="32">
        <v>-12078.36</v>
      </c>
      <c r="D36" s="32">
        <v>-1697.62</v>
      </c>
      <c r="E36" s="32">
        <v>-1342.42</v>
      </c>
      <c r="F36" s="32">
        <v>-1273.3599999999999</v>
      </c>
      <c r="G36" s="32">
        <v>-1240.93</v>
      </c>
      <c r="H36" s="32">
        <v>-703.76</v>
      </c>
      <c r="I36" s="32">
        <v>-892.04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20">
        <f t="shared" si="7"/>
        <v>-24550.859999999997</v>
      </c>
      <c r="Q36" s="21"/>
      <c r="S36" s="98">
        <f t="shared" si="0"/>
        <v>-24550.859999999997</v>
      </c>
      <c r="T36" s="98">
        <f t="shared" si="8"/>
        <v>0</v>
      </c>
      <c r="U36" s="98">
        <f t="shared" si="2"/>
        <v>-19228.489999999998</v>
      </c>
    </row>
    <row r="37" spans="1:21" x14ac:dyDescent="0.25">
      <c r="A37" s="15" t="s">
        <v>276</v>
      </c>
      <c r="B37" s="32">
        <v>-8019.72</v>
      </c>
      <c r="C37" s="32">
        <v>-11994.52</v>
      </c>
      <c r="D37" s="32">
        <v>-1679.43</v>
      </c>
      <c r="E37" s="32">
        <v>-1252.49</v>
      </c>
      <c r="F37" s="32">
        <v>-1252.49</v>
      </c>
      <c r="G37" s="32">
        <v>-779.26</v>
      </c>
      <c r="H37" s="32">
        <v>-546.26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20">
        <f t="shared" si="7"/>
        <v>-25524.170000000002</v>
      </c>
      <c r="Q37" s="21"/>
      <c r="S37" s="98">
        <f t="shared" si="0"/>
        <v>-25524.170000000002</v>
      </c>
      <c r="T37" s="98">
        <f t="shared" si="8"/>
        <v>0</v>
      </c>
      <c r="U37" s="98">
        <f t="shared" si="2"/>
        <v>-17504.45</v>
      </c>
    </row>
    <row r="38" spans="1:21" x14ac:dyDescent="0.25">
      <c r="A38" s="15" t="s">
        <v>97</v>
      </c>
      <c r="B38" s="32">
        <v>0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20">
        <f t="shared" si="7"/>
        <v>0</v>
      </c>
      <c r="Q38" s="21"/>
      <c r="S38" s="98">
        <f t="shared" si="0"/>
        <v>0</v>
      </c>
      <c r="T38" s="98">
        <f t="shared" si="8"/>
        <v>0</v>
      </c>
      <c r="U38" s="98">
        <f t="shared" si="2"/>
        <v>0</v>
      </c>
    </row>
    <row r="39" spans="1:21" x14ac:dyDescent="0.25">
      <c r="A39" s="15" t="s">
        <v>114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20">
        <f t="shared" si="7"/>
        <v>0</v>
      </c>
      <c r="Q39" s="21"/>
      <c r="S39" s="98">
        <f t="shared" si="0"/>
        <v>0</v>
      </c>
      <c r="T39" s="98">
        <f t="shared" si="8"/>
        <v>0</v>
      </c>
      <c r="U39" s="98">
        <f t="shared" si="2"/>
        <v>0</v>
      </c>
    </row>
    <row r="40" spans="1:21" x14ac:dyDescent="0.25">
      <c r="A40" s="35" t="s">
        <v>31</v>
      </c>
      <c r="B40" s="36">
        <f>SUM(B14:B39)</f>
        <v>-213775.93000000002</v>
      </c>
      <c r="C40" s="36">
        <f>SUM(C14:C39)</f>
        <v>-325280.66000000003</v>
      </c>
      <c r="D40" s="36">
        <f t="shared" ref="D40:O40" si="9">SUM(D14:D39)</f>
        <v>-32046.16</v>
      </c>
      <c r="E40" s="36">
        <f t="shared" si="9"/>
        <v>-33354.720000000001</v>
      </c>
      <c r="F40" s="36">
        <f t="shared" si="9"/>
        <v>-32684.97</v>
      </c>
      <c r="G40" s="36">
        <f t="shared" si="9"/>
        <v>-18562.87</v>
      </c>
      <c r="H40" s="36">
        <f t="shared" si="9"/>
        <v>-12356.45</v>
      </c>
      <c r="I40" s="36">
        <f t="shared" si="9"/>
        <v>-2838.59</v>
      </c>
      <c r="J40" s="36">
        <f t="shared" si="9"/>
        <v>0</v>
      </c>
      <c r="K40" s="36">
        <f t="shared" si="9"/>
        <v>0</v>
      </c>
      <c r="L40" s="36">
        <f t="shared" si="9"/>
        <v>0</v>
      </c>
      <c r="M40" s="36">
        <f t="shared" si="9"/>
        <v>0</v>
      </c>
      <c r="N40" s="36">
        <f t="shared" si="9"/>
        <v>0</v>
      </c>
      <c r="O40" s="36">
        <f t="shared" si="9"/>
        <v>0</v>
      </c>
      <c r="P40" s="36">
        <f>SUM(P14:P39)</f>
        <v>-670900.35</v>
      </c>
      <c r="Q40" s="21"/>
      <c r="S40" s="98">
        <f t="shared" si="0"/>
        <v>-670900.35</v>
      </c>
      <c r="T40" s="98">
        <f t="shared" si="8"/>
        <v>0</v>
      </c>
      <c r="U40" s="98">
        <f t="shared" si="2"/>
        <v>-457124.41999999993</v>
      </c>
    </row>
    <row r="41" spans="1:21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18"/>
      <c r="S41" s="98">
        <f t="shared" si="0"/>
        <v>0</v>
      </c>
      <c r="T41" s="98">
        <f t="shared" si="8"/>
        <v>0</v>
      </c>
      <c r="U41" s="98">
        <f t="shared" si="2"/>
        <v>0</v>
      </c>
    </row>
    <row r="42" spans="1:21" x14ac:dyDescent="0.25">
      <c r="A42" s="39" t="s">
        <v>32</v>
      </c>
      <c r="B42" s="58">
        <f t="shared" ref="B42:K42" si="10">B11+B40</f>
        <v>-213775.93000000002</v>
      </c>
      <c r="C42" s="58">
        <f t="shared" ref="C42" si="11">C11+C40</f>
        <v>-325280.66000000003</v>
      </c>
      <c r="D42" s="58">
        <f t="shared" ref="D42" si="12">D11+D40</f>
        <v>-32046.16</v>
      </c>
      <c r="E42" s="58">
        <f t="shared" si="10"/>
        <v>-33354.720000000001</v>
      </c>
      <c r="F42" s="58">
        <f t="shared" si="10"/>
        <v>-32684.97</v>
      </c>
      <c r="G42" s="58">
        <f t="shared" si="10"/>
        <v>-18562.87</v>
      </c>
      <c r="H42" s="58">
        <f t="shared" si="10"/>
        <v>-12356.45</v>
      </c>
      <c r="I42" s="58">
        <f t="shared" si="10"/>
        <v>-2838.59</v>
      </c>
      <c r="J42" s="58">
        <f t="shared" si="10"/>
        <v>0</v>
      </c>
      <c r="K42" s="58">
        <f t="shared" si="10"/>
        <v>0</v>
      </c>
      <c r="L42" s="58">
        <f>L11+L40</f>
        <v>0</v>
      </c>
      <c r="M42" s="58">
        <f>M11+M40</f>
        <v>0</v>
      </c>
      <c r="N42" s="58">
        <f>N11+N40</f>
        <v>0</v>
      </c>
      <c r="O42" s="58">
        <f>O11+O40</f>
        <v>0</v>
      </c>
      <c r="P42" s="154">
        <f>SUM(B42:O42)</f>
        <v>-670900.35</v>
      </c>
      <c r="Q42" s="21"/>
      <c r="S42" s="98">
        <f t="shared" si="0"/>
        <v>-670900.35</v>
      </c>
      <c r="T42" s="98">
        <f t="shared" si="8"/>
        <v>0</v>
      </c>
      <c r="U42" s="98">
        <f t="shared" si="2"/>
        <v>-457124.41999999993</v>
      </c>
    </row>
    <row r="43" spans="1:21" x14ac:dyDescent="0.25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4"/>
      <c r="S43" s="98">
        <f t="shared" si="0"/>
        <v>0</v>
      </c>
      <c r="T43" s="98">
        <f t="shared" si="8"/>
        <v>0</v>
      </c>
      <c r="U43" s="98">
        <f t="shared" si="2"/>
        <v>0</v>
      </c>
    </row>
    <row r="44" spans="1:21" x14ac:dyDescent="0.25">
      <c r="A44" s="29" t="s">
        <v>56</v>
      </c>
      <c r="B44" s="45">
        <f t="shared" ref="B44:H44" si="13">-B9*13.15%</f>
        <v>0</v>
      </c>
      <c r="C44" s="45">
        <f t="shared" ref="C44" si="14">-C9*13.15%</f>
        <v>0</v>
      </c>
      <c r="D44" s="45">
        <f t="shared" ref="D44" si="15">-D9*13.15%</f>
        <v>0</v>
      </c>
      <c r="E44" s="45">
        <f t="shared" si="13"/>
        <v>0</v>
      </c>
      <c r="F44" s="45">
        <f t="shared" si="13"/>
        <v>0</v>
      </c>
      <c r="G44" s="45">
        <f t="shared" si="13"/>
        <v>0</v>
      </c>
      <c r="H44" s="45">
        <f t="shared" si="13"/>
        <v>0</v>
      </c>
      <c r="I44" s="45">
        <f>-I9*13.15%</f>
        <v>0</v>
      </c>
      <c r="J44" s="45">
        <f t="shared" ref="J44:O44" si="16">-J9*13.15%</f>
        <v>0</v>
      </c>
      <c r="K44" s="45">
        <f t="shared" si="16"/>
        <v>0</v>
      </c>
      <c r="L44" s="45">
        <f t="shared" si="16"/>
        <v>0</v>
      </c>
      <c r="M44" s="45">
        <f t="shared" si="16"/>
        <v>0</v>
      </c>
      <c r="N44" s="45">
        <f t="shared" si="16"/>
        <v>0</v>
      </c>
      <c r="O44" s="45">
        <f t="shared" si="16"/>
        <v>0</v>
      </c>
      <c r="P44" s="20">
        <f t="shared" ref="P44" si="17">SUM(B44:O44)</f>
        <v>0</v>
      </c>
      <c r="Q44" s="21"/>
      <c r="S44" s="98">
        <f t="shared" si="0"/>
        <v>0</v>
      </c>
      <c r="T44" s="98">
        <f t="shared" si="8"/>
        <v>0</v>
      </c>
      <c r="U44" s="98">
        <f t="shared" si="2"/>
        <v>0</v>
      </c>
    </row>
    <row r="45" spans="1:21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4"/>
      <c r="S45" s="98">
        <f t="shared" si="0"/>
        <v>0</v>
      </c>
      <c r="T45" s="98">
        <f t="shared" si="8"/>
        <v>0</v>
      </c>
      <c r="U45" s="98">
        <f t="shared" si="2"/>
        <v>0</v>
      </c>
    </row>
    <row r="46" spans="1:21" x14ac:dyDescent="0.25">
      <c r="A46" s="29" t="s">
        <v>33</v>
      </c>
      <c r="B46" s="45">
        <f t="shared" ref="B46:O46" si="18">-B9*1.22%</f>
        <v>0</v>
      </c>
      <c r="C46" s="45">
        <f t="shared" ref="C46" si="19">-C9*1.22%</f>
        <v>0</v>
      </c>
      <c r="D46" s="45">
        <f t="shared" ref="D46" si="20">-D9*1.22%</f>
        <v>0</v>
      </c>
      <c r="E46" s="45">
        <f t="shared" si="18"/>
        <v>0</v>
      </c>
      <c r="F46" s="45">
        <f t="shared" si="18"/>
        <v>0</v>
      </c>
      <c r="G46" s="45">
        <f t="shared" si="18"/>
        <v>0</v>
      </c>
      <c r="H46" s="45">
        <f t="shared" si="18"/>
        <v>0</v>
      </c>
      <c r="I46" s="45">
        <f t="shared" si="18"/>
        <v>0</v>
      </c>
      <c r="J46" s="45">
        <f t="shared" si="18"/>
        <v>0</v>
      </c>
      <c r="K46" s="45">
        <f t="shared" si="18"/>
        <v>0</v>
      </c>
      <c r="L46" s="45">
        <f t="shared" si="18"/>
        <v>0</v>
      </c>
      <c r="M46" s="45">
        <f t="shared" si="18"/>
        <v>0</v>
      </c>
      <c r="N46" s="45">
        <f t="shared" si="18"/>
        <v>0</v>
      </c>
      <c r="O46" s="45">
        <f t="shared" si="18"/>
        <v>0</v>
      </c>
      <c r="P46" s="20">
        <f t="shared" ref="P46" si="21">SUM(B46:O46)</f>
        <v>0</v>
      </c>
      <c r="Q46" s="21"/>
      <c r="S46" s="98">
        <f t="shared" si="0"/>
        <v>0</v>
      </c>
      <c r="T46" s="98">
        <f t="shared" si="8"/>
        <v>0</v>
      </c>
      <c r="U46" s="98">
        <f t="shared" si="2"/>
        <v>0</v>
      </c>
    </row>
    <row r="47" spans="1:21" x14ac:dyDescent="0.2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4"/>
      <c r="S47" s="98">
        <f t="shared" si="0"/>
        <v>0</v>
      </c>
      <c r="T47" s="98">
        <f t="shared" si="8"/>
        <v>0</v>
      </c>
      <c r="U47" s="98">
        <f t="shared" si="2"/>
        <v>0</v>
      </c>
    </row>
    <row r="48" spans="1:21" x14ac:dyDescent="0.25">
      <c r="A48" s="48" t="s">
        <v>57</v>
      </c>
      <c r="B48" s="49">
        <f>B40*5.56%</f>
        <v>-11885.941708</v>
      </c>
      <c r="C48" s="49">
        <f>C40*5.56%</f>
        <v>-18085.604696000002</v>
      </c>
      <c r="D48" s="49">
        <f>D40*5.56%</f>
        <v>-1781.766496</v>
      </c>
      <c r="E48" s="49">
        <f t="shared" ref="E48:J48" si="22">E40*5.56%</f>
        <v>-1854.522432</v>
      </c>
      <c r="F48" s="49">
        <f t="shared" si="22"/>
        <v>-1817.2843319999999</v>
      </c>
      <c r="G48" s="49">
        <f t="shared" si="22"/>
        <v>-1032.0955719999999</v>
      </c>
      <c r="H48" s="49">
        <f t="shared" si="22"/>
        <v>-687.01862000000006</v>
      </c>
      <c r="I48" s="49">
        <f t="shared" si="22"/>
        <v>-157.825604</v>
      </c>
      <c r="J48" s="49">
        <f t="shared" si="22"/>
        <v>0</v>
      </c>
      <c r="K48" s="49">
        <f>K40*5.56%</f>
        <v>0</v>
      </c>
      <c r="L48" s="49">
        <f t="shared" ref="L48:O48" si="23">L40*5.56%</f>
        <v>0</v>
      </c>
      <c r="M48" s="49">
        <f t="shared" si="23"/>
        <v>0</v>
      </c>
      <c r="N48" s="49">
        <f t="shared" si="23"/>
        <v>0</v>
      </c>
      <c r="O48" s="49">
        <f t="shared" si="23"/>
        <v>0</v>
      </c>
      <c r="P48" s="20">
        <f t="shared" ref="P48" si="24">SUM(B48:O48)</f>
        <v>-37302.059460000004</v>
      </c>
      <c r="Q48" s="21"/>
      <c r="S48" s="98">
        <f t="shared" si="0"/>
        <v>-37302.059460000004</v>
      </c>
      <c r="T48" s="98">
        <f t="shared" si="8"/>
        <v>0</v>
      </c>
      <c r="U48" s="98">
        <f t="shared" si="2"/>
        <v>-25416.117752000006</v>
      </c>
    </row>
    <row r="49" spans="1:21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4"/>
      <c r="S49" s="98">
        <f t="shared" si="0"/>
        <v>0</v>
      </c>
      <c r="T49" s="98">
        <f t="shared" si="8"/>
        <v>0</v>
      </c>
      <c r="U49" s="98">
        <f t="shared" si="2"/>
        <v>0</v>
      </c>
    </row>
    <row r="50" spans="1:21" x14ac:dyDescent="0.25">
      <c r="A50" s="48" t="s">
        <v>58</v>
      </c>
      <c r="B50" s="49">
        <f t="shared" ref="B50:H50" si="25">B40*0.01%</f>
        <v>-21.377593000000005</v>
      </c>
      <c r="C50" s="49">
        <f t="shared" ref="C50" si="26">C40*0.01%</f>
        <v>-32.528066000000003</v>
      </c>
      <c r="D50" s="49">
        <f t="shared" ref="D50" si="27">D40*0.01%</f>
        <v>-3.2046160000000001</v>
      </c>
      <c r="E50" s="49">
        <f t="shared" si="25"/>
        <v>-3.3354720000000002</v>
      </c>
      <c r="F50" s="49">
        <f t="shared" si="25"/>
        <v>-3.2684970000000004</v>
      </c>
      <c r="G50" s="49">
        <f t="shared" si="25"/>
        <v>-1.856287</v>
      </c>
      <c r="H50" s="49">
        <f t="shared" si="25"/>
        <v>-1.2356450000000001</v>
      </c>
      <c r="I50" s="49">
        <f>I40*0.01%</f>
        <v>-0.28385900000000003</v>
      </c>
      <c r="J50" s="49">
        <f t="shared" ref="J50" si="28">J40*0.01%</f>
        <v>0</v>
      </c>
      <c r="K50" s="49">
        <f>K40*0.01%</f>
        <v>0</v>
      </c>
      <c r="L50" s="49">
        <f>L40*0.01%</f>
        <v>0</v>
      </c>
      <c r="M50" s="49">
        <f>M40*0.01%</f>
        <v>0</v>
      </c>
      <c r="N50" s="49">
        <f>N40*0.01%</f>
        <v>0</v>
      </c>
      <c r="O50" s="49">
        <f>O40*0.01%</f>
        <v>0</v>
      </c>
      <c r="P50" s="20">
        <f t="shared" ref="P50" si="29">SUM(B50:O50)</f>
        <v>-67.090035000000029</v>
      </c>
      <c r="Q50" s="21"/>
      <c r="S50" s="98">
        <f t="shared" si="0"/>
        <v>-67.090035000000029</v>
      </c>
      <c r="T50" s="98">
        <f t="shared" si="8"/>
        <v>0</v>
      </c>
      <c r="U50" s="98">
        <f t="shared" si="2"/>
        <v>-45.712442000000024</v>
      </c>
    </row>
    <row r="51" spans="1:21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4"/>
      <c r="S51" s="98">
        <f t="shared" si="0"/>
        <v>0</v>
      </c>
      <c r="T51" s="98">
        <f t="shared" si="8"/>
        <v>0</v>
      </c>
      <c r="U51" s="98">
        <f t="shared" si="2"/>
        <v>0</v>
      </c>
    </row>
    <row r="52" spans="1:21" x14ac:dyDescent="0.25">
      <c r="A52" s="39" t="s">
        <v>153</v>
      </c>
      <c r="B52" s="58">
        <f t="shared" ref="B52:J52" si="30">B42+B48+B50+B44+B46</f>
        <v>-225683.24930100003</v>
      </c>
      <c r="C52" s="58">
        <f t="shared" ref="C52" si="31">C42+C48+C50+C44+C46</f>
        <v>-343398.79276200006</v>
      </c>
      <c r="D52" s="58">
        <f t="shared" ref="D52" si="32">D42+D48+D50+D44+D46</f>
        <v>-33831.131112000003</v>
      </c>
      <c r="E52" s="58">
        <f t="shared" si="30"/>
        <v>-35212.577903999998</v>
      </c>
      <c r="F52" s="58">
        <f t="shared" si="30"/>
        <v>-34505.522829000001</v>
      </c>
      <c r="G52" s="58">
        <f t="shared" si="30"/>
        <v>-19596.821858999996</v>
      </c>
      <c r="H52" s="58">
        <f t="shared" si="30"/>
        <v>-13044.704265000002</v>
      </c>
      <c r="I52" s="58">
        <f t="shared" si="30"/>
        <v>-2996.6994630000004</v>
      </c>
      <c r="J52" s="58">
        <f t="shared" si="30"/>
        <v>0</v>
      </c>
      <c r="K52" s="58">
        <f>K42+K48+K50+K44+K46</f>
        <v>0</v>
      </c>
      <c r="L52" s="58">
        <f>L42+L48+L50+L44+L46</f>
        <v>0</v>
      </c>
      <c r="M52" s="58">
        <f>M42+M48+M50+M44+M46</f>
        <v>0</v>
      </c>
      <c r="N52" s="58">
        <f>N42+N48+N50+N44+N46</f>
        <v>0</v>
      </c>
      <c r="O52" s="58">
        <f>O42+O48+O50+O44+O46</f>
        <v>0</v>
      </c>
      <c r="P52" s="154">
        <f>SUM(B52:O52)</f>
        <v>-708269.49949500011</v>
      </c>
      <c r="Q52" s="21"/>
      <c r="S52" s="98">
        <f t="shared" si="0"/>
        <v>-708269.49949500011</v>
      </c>
      <c r="T52" s="98">
        <f t="shared" si="8"/>
        <v>0</v>
      </c>
      <c r="U52" s="98">
        <f>P52-B52</f>
        <v>-482586.25019400008</v>
      </c>
    </row>
    <row r="53" spans="1:21" x14ac:dyDescent="0.25">
      <c r="A53" s="5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50"/>
    </row>
    <row r="54" spans="1:21" x14ac:dyDescent="0.25">
      <c r="A54" s="52" t="s">
        <v>35</v>
      </c>
      <c r="B54" s="13"/>
      <c r="C54" s="13"/>
      <c r="D54" s="13">
        <v>8</v>
      </c>
      <c r="E54" s="13">
        <v>7</v>
      </c>
      <c r="F54" s="13">
        <v>5</v>
      </c>
      <c r="G54" s="13">
        <v>3</v>
      </c>
      <c r="H54" s="13">
        <v>2</v>
      </c>
      <c r="I54" s="13">
        <v>1</v>
      </c>
      <c r="J54" s="13"/>
      <c r="K54" s="13"/>
      <c r="L54" s="13"/>
      <c r="M54" s="13"/>
      <c r="N54" s="13"/>
      <c r="O54" s="13"/>
      <c r="P54" s="53"/>
      <c r="Q54" s="50"/>
    </row>
    <row r="55" spans="1:21" x14ac:dyDescent="0.25">
      <c r="A55" s="81"/>
      <c r="I55" s="153" t="s">
        <v>140</v>
      </c>
    </row>
    <row r="56" spans="1:21" x14ac:dyDescent="0.25">
      <c r="A56" s="54" t="s">
        <v>36</v>
      </c>
      <c r="Q56" s="89">
        <v>46203</v>
      </c>
    </row>
    <row r="57" spans="1:21" x14ac:dyDescent="0.25">
      <c r="B57" s="98">
        <f t="shared" ref="B57:P57" si="33">B11+B40+B44+B46+B48+B50</f>
        <v>-225683.24930100003</v>
      </c>
      <c r="C57" s="98">
        <f t="shared" ref="C57" si="34">C11+C40+C44+C46+C48+C50</f>
        <v>-343398.79276200006</v>
      </c>
      <c r="D57" s="98">
        <f t="shared" ref="D57" si="35">D11+D40+D44+D46+D48+D50</f>
        <v>-33831.131112000003</v>
      </c>
      <c r="E57" s="98">
        <f t="shared" si="33"/>
        <v>-35212.577903999998</v>
      </c>
      <c r="F57" s="98">
        <f t="shared" si="33"/>
        <v>-34505.522829000001</v>
      </c>
      <c r="G57" s="98">
        <f t="shared" si="33"/>
        <v>-19596.821858999996</v>
      </c>
      <c r="H57" s="98">
        <f t="shared" si="33"/>
        <v>-13044.704265000002</v>
      </c>
      <c r="I57" s="98">
        <f t="shared" si="33"/>
        <v>-2996.6994630000004</v>
      </c>
      <c r="J57" s="98">
        <f t="shared" si="33"/>
        <v>0</v>
      </c>
      <c r="K57" s="98">
        <f t="shared" si="33"/>
        <v>0</v>
      </c>
      <c r="L57" s="98">
        <f t="shared" si="33"/>
        <v>0</v>
      </c>
      <c r="M57" s="98">
        <f t="shared" si="33"/>
        <v>0</v>
      </c>
      <c r="N57" s="98">
        <f t="shared" si="33"/>
        <v>0</v>
      </c>
      <c r="O57" s="98">
        <f t="shared" si="33"/>
        <v>0</v>
      </c>
      <c r="P57" s="98">
        <f t="shared" si="33"/>
        <v>-708269.499495</v>
      </c>
    </row>
    <row r="59" spans="1:21" x14ac:dyDescent="0.25">
      <c r="B59" s="98">
        <f t="shared" ref="B59:P59" si="36">B57-B52</f>
        <v>0</v>
      </c>
      <c r="C59" s="98">
        <f t="shared" ref="C59" si="37">C57-C52</f>
        <v>0</v>
      </c>
      <c r="D59" s="98">
        <f t="shared" ref="D59" si="38">D57-D52</f>
        <v>0</v>
      </c>
      <c r="E59" s="98">
        <f t="shared" si="36"/>
        <v>0</v>
      </c>
      <c r="F59" s="98">
        <f t="shared" si="36"/>
        <v>0</v>
      </c>
      <c r="G59" s="98">
        <f t="shared" si="36"/>
        <v>0</v>
      </c>
      <c r="H59" s="98">
        <f t="shared" si="36"/>
        <v>0</v>
      </c>
      <c r="I59" s="98">
        <f t="shared" si="36"/>
        <v>0</v>
      </c>
      <c r="J59" s="98">
        <f t="shared" si="36"/>
        <v>0</v>
      </c>
      <c r="K59" s="98">
        <f t="shared" si="36"/>
        <v>0</v>
      </c>
      <c r="L59" s="98">
        <f t="shared" si="36"/>
        <v>0</v>
      </c>
      <c r="M59" s="98">
        <f t="shared" si="36"/>
        <v>0</v>
      </c>
      <c r="N59" s="98">
        <f t="shared" si="36"/>
        <v>0</v>
      </c>
      <c r="O59" s="98">
        <f t="shared" si="36"/>
        <v>0</v>
      </c>
      <c r="P59" s="98">
        <f t="shared" si="36"/>
        <v>0</v>
      </c>
    </row>
  </sheetData>
  <mergeCells count="3">
    <mergeCell ref="A1:Q1"/>
    <mergeCell ref="A3:Q3"/>
    <mergeCell ref="A5:Q5"/>
  </mergeCells>
  <phoneticPr fontId="12" type="noConversion"/>
  <conditionalFormatting sqref="E52:F52">
    <cfRule type="cellIs" dxfId="33" priority="3" operator="lessThan">
      <formula>0</formula>
    </cfRule>
    <cfRule type="cellIs" dxfId="32" priority="4" operator="greaterThan">
      <formula>0</formula>
    </cfRule>
  </conditionalFormatting>
  <conditionalFormatting sqref="H52">
    <cfRule type="cellIs" dxfId="31" priority="1" operator="lessThan">
      <formula>0</formula>
    </cfRule>
    <cfRule type="cellIs" dxfId="30" priority="2" operator="greaterThan">
      <formula>0</formula>
    </cfRule>
  </conditionalFormatting>
  <printOptions horizontalCentered="1" verticalCentered="1"/>
  <pageMargins left="7.874015748031496E-2" right="0" top="0.31496062992125984" bottom="0" header="0" footer="0"/>
  <pageSetup paperSize="9" scale="71" orientation="landscape" r:id="rId1"/>
  <headerFooter>
    <oddHeader>&amp;C&amp;"-,Negrito"&amp;14
                                      BELA NOVA CONSTRUTORA LTDA</oddHeader>
  </headerFooter>
  <rowBreaks count="1" manualBreakCount="1">
    <brk id="56" max="16383" man="1"/>
  </rowBreaks>
  <ignoredErrors>
    <ignoredError sqref="S53:S57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A1:P59"/>
  <sheetViews>
    <sheetView topLeftCell="A10" zoomScale="130" zoomScaleNormal="130" workbookViewId="0">
      <selection activeCell="A28" sqref="A28"/>
    </sheetView>
  </sheetViews>
  <sheetFormatPr defaultRowHeight="15" x14ac:dyDescent="0.25"/>
  <cols>
    <col min="1" max="1" width="62.28515625" customWidth="1"/>
    <col min="2" max="2" width="18.42578125" bestFit="1" customWidth="1"/>
    <col min="3" max="3" width="17.140625" customWidth="1"/>
    <col min="4" max="4" width="18.140625" customWidth="1"/>
    <col min="5" max="14" width="15.5703125" hidden="1" customWidth="1"/>
    <col min="15" max="15" width="16.42578125" customWidth="1"/>
    <col min="16" max="16" width="11.28515625" bestFit="1" customWidth="1"/>
  </cols>
  <sheetData>
    <row r="1" spans="1:16" ht="15.75" x14ac:dyDescent="0.25">
      <c r="A1" s="203" t="s">
        <v>206</v>
      </c>
      <c r="B1" s="203"/>
      <c r="C1" s="203"/>
      <c r="D1" s="203"/>
      <c r="E1" s="203"/>
      <c r="F1" s="203"/>
      <c r="G1" s="203"/>
      <c r="H1" s="203"/>
      <c r="I1" s="203"/>
      <c r="J1" s="203"/>
    </row>
    <row r="2" spans="1:16" ht="11.25" customHeight="1" x14ac:dyDescent="0.25">
      <c r="A2" s="71"/>
    </row>
    <row r="3" spans="1:16" ht="15.75" x14ac:dyDescent="0.25">
      <c r="A3" s="203" t="s">
        <v>180</v>
      </c>
      <c r="B3" s="203"/>
      <c r="C3" s="203"/>
      <c r="D3" s="203"/>
      <c r="E3" s="203"/>
    </row>
    <row r="4" spans="1:16" ht="10.5" customHeight="1" x14ac:dyDescent="0.25">
      <c r="A4" s="71"/>
    </row>
    <row r="5" spans="1:16" ht="15.75" customHeight="1" x14ac:dyDescent="0.25">
      <c r="A5" s="209" t="s">
        <v>254</v>
      </c>
      <c r="B5" s="209"/>
      <c r="C5" s="209"/>
      <c r="D5" s="209"/>
      <c r="E5" s="209"/>
    </row>
    <row r="6" spans="1:16" x14ac:dyDescent="0.25">
      <c r="A6" s="10"/>
    </row>
    <row r="7" spans="1:16" x14ac:dyDescent="0.25">
      <c r="A7" s="12"/>
      <c r="B7" s="60" t="s">
        <v>232</v>
      </c>
      <c r="C7" s="60" t="s">
        <v>209</v>
      </c>
      <c r="D7" s="60" t="s">
        <v>210</v>
      </c>
      <c r="E7" s="60" t="s">
        <v>124</v>
      </c>
      <c r="F7" s="60" t="s">
        <v>125</v>
      </c>
      <c r="G7" s="60" t="s">
        <v>126</v>
      </c>
      <c r="H7" s="60" t="s">
        <v>127</v>
      </c>
      <c r="I7" s="60" t="s">
        <v>128</v>
      </c>
      <c r="J7" s="60" t="s">
        <v>129</v>
      </c>
      <c r="K7" s="60" t="s">
        <v>220</v>
      </c>
      <c r="L7" s="60" t="s">
        <v>225</v>
      </c>
      <c r="M7" s="60" t="s">
        <v>226</v>
      </c>
      <c r="N7" s="60" t="s">
        <v>227</v>
      </c>
      <c r="O7" s="13" t="s">
        <v>1</v>
      </c>
      <c r="P7" s="14" t="s">
        <v>2</v>
      </c>
    </row>
    <row r="8" spans="1:16" x14ac:dyDescent="0.25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  <c r="P8" s="18"/>
    </row>
    <row r="9" spans="1:16" x14ac:dyDescent="0.25">
      <c r="A9" s="78" t="s">
        <v>4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20">
        <f>B9+C9+D9+E9+F9+G9+H9+I9+J9+K9+L9+M9+N9</f>
        <v>0</v>
      </c>
      <c r="P9" s="21">
        <v>1</v>
      </c>
    </row>
    <row r="10" spans="1:16" x14ac:dyDescent="0.25">
      <c r="A10" s="15" t="s">
        <v>5</v>
      </c>
      <c r="B10" s="22">
        <v>0</v>
      </c>
      <c r="C10" s="22">
        <v>0</v>
      </c>
      <c r="D10" s="22">
        <v>0</v>
      </c>
      <c r="E10" s="22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20">
        <f>B10+C10+D10+E10+F10+G10+H10+I10+J10+K10+L10+M10+N10</f>
        <v>0</v>
      </c>
      <c r="P10" s="21"/>
    </row>
    <row r="11" spans="1:16" x14ac:dyDescent="0.25">
      <c r="A11" s="23" t="s">
        <v>6</v>
      </c>
      <c r="B11" s="24">
        <f t="shared" ref="B11:N11" si="0">SUM(B9:B10)</f>
        <v>0</v>
      </c>
      <c r="C11" s="24">
        <f t="shared" si="0"/>
        <v>0</v>
      </c>
      <c r="D11" s="24">
        <f t="shared" si="0"/>
        <v>0</v>
      </c>
      <c r="E11" s="24">
        <f t="shared" si="0"/>
        <v>0</v>
      </c>
      <c r="F11" s="24">
        <f t="shared" si="0"/>
        <v>0</v>
      </c>
      <c r="G11" s="24">
        <f t="shared" si="0"/>
        <v>0</v>
      </c>
      <c r="H11" s="24">
        <f t="shared" si="0"/>
        <v>0</v>
      </c>
      <c r="I11" s="24">
        <f t="shared" si="0"/>
        <v>0</v>
      </c>
      <c r="J11" s="24">
        <f t="shared" si="0"/>
        <v>0</v>
      </c>
      <c r="K11" s="24">
        <f t="shared" si="0"/>
        <v>0</v>
      </c>
      <c r="L11" s="24">
        <f t="shared" si="0"/>
        <v>0</v>
      </c>
      <c r="M11" s="24">
        <f t="shared" si="0"/>
        <v>0</v>
      </c>
      <c r="N11" s="24">
        <f t="shared" si="0"/>
        <v>0</v>
      </c>
      <c r="O11" s="24">
        <f>SUM(O9:O10)</f>
        <v>0</v>
      </c>
      <c r="P11" s="21">
        <v>1</v>
      </c>
    </row>
    <row r="12" spans="1:16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/>
      <c r="P12" s="28"/>
    </row>
    <row r="13" spans="1:16" x14ac:dyDescent="0.25">
      <c r="A13" s="29" t="s">
        <v>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  <c r="P13" s="31"/>
    </row>
    <row r="14" spans="1:16" x14ac:dyDescent="0.25">
      <c r="A14" s="15" t="s">
        <v>8</v>
      </c>
      <c r="B14" s="32">
        <v>-10904.23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20">
        <f>B14+C14+D14+E14+F14+G14+H14+I14+J14+K14+L14+M14+N14</f>
        <v>-10904.23</v>
      </c>
      <c r="P14" s="21"/>
    </row>
    <row r="15" spans="1:16" x14ac:dyDescent="0.25">
      <c r="A15" s="33" t="s">
        <v>9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20">
        <f t="shared" ref="O15:O39" si="1">B15+C15+D15+E15+F15+G15+H15+I15+J15+K15+L15+M15+N15</f>
        <v>0</v>
      </c>
      <c r="P15" s="21"/>
    </row>
    <row r="16" spans="1:16" x14ac:dyDescent="0.25">
      <c r="A16" s="15" t="s">
        <v>10</v>
      </c>
      <c r="B16" s="32">
        <v>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20">
        <f t="shared" si="1"/>
        <v>0</v>
      </c>
      <c r="P16" s="21"/>
    </row>
    <row r="17" spans="1:16" x14ac:dyDescent="0.25">
      <c r="A17" s="33" t="s">
        <v>11</v>
      </c>
      <c r="B17" s="32">
        <v>-165.11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20">
        <f t="shared" si="1"/>
        <v>-165.11</v>
      </c>
      <c r="P17" s="21"/>
    </row>
    <row r="18" spans="1:16" x14ac:dyDescent="0.25">
      <c r="A18" s="15" t="s">
        <v>12</v>
      </c>
      <c r="B18" s="32">
        <v>-3181.85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20">
        <f t="shared" si="1"/>
        <v>-3181.85</v>
      </c>
      <c r="P18" s="21"/>
    </row>
    <row r="19" spans="1:16" x14ac:dyDescent="0.25">
      <c r="A19" s="15" t="s">
        <v>13</v>
      </c>
      <c r="B19" s="32">
        <v>-2029.96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20">
        <f t="shared" si="1"/>
        <v>-2029.96</v>
      </c>
      <c r="P19" s="21"/>
    </row>
    <row r="20" spans="1:16" x14ac:dyDescent="0.25">
      <c r="A20" s="15" t="s">
        <v>14</v>
      </c>
      <c r="B20" s="32">
        <v>-856.96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20">
        <f t="shared" si="1"/>
        <v>-856.96</v>
      </c>
      <c r="P20" s="21"/>
    </row>
    <row r="21" spans="1:16" x14ac:dyDescent="0.25">
      <c r="A21" s="15" t="s">
        <v>15</v>
      </c>
      <c r="B21" s="32">
        <v>0</v>
      </c>
      <c r="C21" s="32">
        <v>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20">
        <f t="shared" si="1"/>
        <v>0</v>
      </c>
      <c r="P21" s="21"/>
    </row>
    <row r="22" spans="1:16" x14ac:dyDescent="0.25">
      <c r="A22" s="15" t="s">
        <v>16</v>
      </c>
      <c r="B22" s="32">
        <v>0</v>
      </c>
      <c r="C22" s="32">
        <v>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20">
        <f t="shared" si="1"/>
        <v>0</v>
      </c>
      <c r="P22" s="21"/>
    </row>
    <row r="23" spans="1:16" x14ac:dyDescent="0.25">
      <c r="A23" s="15" t="s">
        <v>17</v>
      </c>
      <c r="B23" s="32">
        <v>-2232.9699999999998</v>
      </c>
      <c r="C23" s="32">
        <v>0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20">
        <f t="shared" si="1"/>
        <v>-2232.9699999999998</v>
      </c>
      <c r="P23" s="21"/>
    </row>
    <row r="24" spans="1:16" x14ac:dyDescent="0.25">
      <c r="A24" s="15" t="s">
        <v>18</v>
      </c>
      <c r="B24" s="32">
        <v>0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20">
        <f t="shared" si="1"/>
        <v>0</v>
      </c>
      <c r="P24" s="21"/>
    </row>
    <row r="25" spans="1:16" x14ac:dyDescent="0.25">
      <c r="A25" s="15" t="s">
        <v>19</v>
      </c>
      <c r="B25" s="32">
        <v>-660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20">
        <f t="shared" si="1"/>
        <v>-660</v>
      </c>
      <c r="P25" s="21"/>
    </row>
    <row r="26" spans="1:16" x14ac:dyDescent="0.25">
      <c r="A26" s="15" t="s">
        <v>20</v>
      </c>
      <c r="B26" s="32">
        <v>0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20">
        <f t="shared" si="1"/>
        <v>0</v>
      </c>
      <c r="P26" s="21"/>
    </row>
    <row r="27" spans="1:16" x14ac:dyDescent="0.25">
      <c r="A27" s="15" t="s">
        <v>59</v>
      </c>
      <c r="B27" s="32">
        <v>0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20">
        <f t="shared" si="1"/>
        <v>0</v>
      </c>
      <c r="P27" s="21"/>
    </row>
    <row r="28" spans="1:16" x14ac:dyDescent="0.25">
      <c r="A28" s="15" t="s">
        <v>21</v>
      </c>
      <c r="B28" s="32">
        <v>0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20">
        <f t="shared" si="1"/>
        <v>0</v>
      </c>
      <c r="P28" s="21"/>
    </row>
    <row r="29" spans="1:16" x14ac:dyDescent="0.25">
      <c r="A29" s="15" t="s">
        <v>22</v>
      </c>
      <c r="B29" s="32">
        <v>0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20">
        <f t="shared" si="1"/>
        <v>0</v>
      </c>
      <c r="P29" s="21"/>
    </row>
    <row r="30" spans="1:16" x14ac:dyDescent="0.25">
      <c r="A30" s="33" t="s">
        <v>23</v>
      </c>
      <c r="B30" s="32">
        <v>-107.43</v>
      </c>
      <c r="C30" s="32">
        <v>0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20">
        <f t="shared" si="1"/>
        <v>-107.43</v>
      </c>
      <c r="P30" s="21"/>
    </row>
    <row r="31" spans="1:16" x14ac:dyDescent="0.25">
      <c r="A31" s="15" t="s">
        <v>24</v>
      </c>
      <c r="B31" s="32">
        <v>-6394</v>
      </c>
      <c r="C31" s="32">
        <v>0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20">
        <f t="shared" si="1"/>
        <v>-6394</v>
      </c>
      <c r="P31" s="21"/>
    </row>
    <row r="32" spans="1:16" x14ac:dyDescent="0.25">
      <c r="A32" s="34" t="s">
        <v>25</v>
      </c>
      <c r="B32" s="32">
        <v>-24510.52</v>
      </c>
      <c r="C32" s="32">
        <v>0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20">
        <f t="shared" si="1"/>
        <v>-24510.52</v>
      </c>
      <c r="P32" s="21"/>
    </row>
    <row r="33" spans="1:16" x14ac:dyDescent="0.25">
      <c r="A33" s="15" t="s">
        <v>26</v>
      </c>
      <c r="B33" s="32">
        <v>0</v>
      </c>
      <c r="C33" s="32">
        <v>0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20">
        <f t="shared" si="1"/>
        <v>0</v>
      </c>
      <c r="P33" s="21"/>
    </row>
    <row r="34" spans="1:16" x14ac:dyDescent="0.25">
      <c r="A34" s="15" t="s">
        <v>27</v>
      </c>
      <c r="B34" s="32">
        <v>0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20">
        <f t="shared" si="1"/>
        <v>0</v>
      </c>
      <c r="P34" s="21"/>
    </row>
    <row r="35" spans="1:16" x14ac:dyDescent="0.25">
      <c r="A35" s="33" t="s">
        <v>28</v>
      </c>
      <c r="B35" s="32">
        <v>-651.76</v>
      </c>
      <c r="C35" s="32">
        <v>0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20">
        <f t="shared" si="1"/>
        <v>-651.76</v>
      </c>
      <c r="P35" s="21"/>
    </row>
    <row r="36" spans="1:16" x14ac:dyDescent="0.25">
      <c r="A36" s="15" t="s">
        <v>29</v>
      </c>
      <c r="B36" s="32">
        <v>-2242.16</v>
      </c>
      <c r="C36" s="32">
        <v>0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20">
        <f t="shared" si="1"/>
        <v>-2242.16</v>
      </c>
      <c r="P36" s="21"/>
    </row>
    <row r="37" spans="1:16" x14ac:dyDescent="0.25">
      <c r="A37" s="15" t="s">
        <v>30</v>
      </c>
      <c r="B37" s="32">
        <v>-2386.39</v>
      </c>
      <c r="C37" s="32">
        <v>0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20">
        <f t="shared" si="1"/>
        <v>-2386.39</v>
      </c>
      <c r="P37" s="21"/>
    </row>
    <row r="38" spans="1:16" x14ac:dyDescent="0.25">
      <c r="A38" s="15" t="s">
        <v>97</v>
      </c>
      <c r="B38" s="32">
        <v>0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20">
        <f t="shared" si="1"/>
        <v>0</v>
      </c>
      <c r="P38" s="21"/>
    </row>
    <row r="39" spans="1:16" x14ac:dyDescent="0.25">
      <c r="A39" s="15" t="s">
        <v>114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20">
        <f t="shared" si="1"/>
        <v>0</v>
      </c>
      <c r="P39" s="21"/>
    </row>
    <row r="40" spans="1:16" x14ac:dyDescent="0.25">
      <c r="A40" s="35" t="s">
        <v>31</v>
      </c>
      <c r="B40" s="36">
        <f t="shared" ref="B40:N40" si="2">SUM(B14:B39)</f>
        <v>-56323.34</v>
      </c>
      <c r="C40" s="36">
        <f t="shared" si="2"/>
        <v>0</v>
      </c>
      <c r="D40" s="36">
        <f t="shared" si="2"/>
        <v>0</v>
      </c>
      <c r="E40" s="36">
        <f t="shared" si="2"/>
        <v>0</v>
      </c>
      <c r="F40" s="36">
        <f t="shared" si="2"/>
        <v>0</v>
      </c>
      <c r="G40" s="36">
        <f t="shared" si="2"/>
        <v>0</v>
      </c>
      <c r="H40" s="36">
        <f t="shared" si="2"/>
        <v>0</v>
      </c>
      <c r="I40" s="36">
        <f t="shared" si="2"/>
        <v>0</v>
      </c>
      <c r="J40" s="36">
        <f t="shared" si="2"/>
        <v>0</v>
      </c>
      <c r="K40" s="36">
        <f t="shared" si="2"/>
        <v>0</v>
      </c>
      <c r="L40" s="36">
        <f t="shared" si="2"/>
        <v>0</v>
      </c>
      <c r="M40" s="36">
        <f t="shared" si="2"/>
        <v>0</v>
      </c>
      <c r="N40" s="36">
        <f t="shared" si="2"/>
        <v>0</v>
      </c>
      <c r="O40" s="36">
        <f>SUM(O14:O39)</f>
        <v>-56323.34</v>
      </c>
      <c r="P40" s="21"/>
    </row>
    <row r="41" spans="1:16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18"/>
    </row>
    <row r="42" spans="1:16" x14ac:dyDescent="0.25">
      <c r="A42" s="39" t="s">
        <v>32</v>
      </c>
      <c r="B42" s="58">
        <f t="shared" ref="B42:J42" si="3">B11+B40</f>
        <v>-56323.34</v>
      </c>
      <c r="C42" s="58">
        <f t="shared" si="3"/>
        <v>0</v>
      </c>
      <c r="D42" s="58">
        <f t="shared" si="3"/>
        <v>0</v>
      </c>
      <c r="E42" s="58">
        <f t="shared" si="3"/>
        <v>0</v>
      </c>
      <c r="F42" s="58">
        <f t="shared" si="3"/>
        <v>0</v>
      </c>
      <c r="G42" s="58">
        <f t="shared" si="3"/>
        <v>0</v>
      </c>
      <c r="H42" s="58">
        <f t="shared" si="3"/>
        <v>0</v>
      </c>
      <c r="I42" s="58">
        <f t="shared" si="3"/>
        <v>0</v>
      </c>
      <c r="J42" s="58">
        <f t="shared" si="3"/>
        <v>0</v>
      </c>
      <c r="K42" s="58"/>
      <c r="L42" s="58"/>
      <c r="M42" s="58"/>
      <c r="N42" s="58"/>
      <c r="O42" s="154">
        <f t="shared" ref="O42" si="4">B42+C42+D42+E42+F42+G42+H42+I42+J42+K42+L42+M42+N42</f>
        <v>-56323.34</v>
      </c>
      <c r="P42" s="21"/>
    </row>
    <row r="43" spans="1:16" x14ac:dyDescent="0.25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4"/>
    </row>
    <row r="44" spans="1:16" x14ac:dyDescent="0.25">
      <c r="A44" s="29" t="s">
        <v>56</v>
      </c>
      <c r="B44" s="45">
        <f t="shared" ref="B44:G44" si="5">-B9*13.15%</f>
        <v>0</v>
      </c>
      <c r="C44" s="45">
        <f t="shared" si="5"/>
        <v>0</v>
      </c>
      <c r="D44" s="45">
        <f t="shared" si="5"/>
        <v>0</v>
      </c>
      <c r="E44" s="45">
        <f t="shared" si="5"/>
        <v>0</v>
      </c>
      <c r="F44" s="45">
        <f t="shared" si="5"/>
        <v>0</v>
      </c>
      <c r="G44" s="45">
        <f t="shared" si="5"/>
        <v>0</v>
      </c>
      <c r="H44" s="45">
        <f>-H9*13.15%</f>
        <v>0</v>
      </c>
      <c r="I44" s="45">
        <f t="shared" ref="I44:J44" si="6">-I9*13.15%</f>
        <v>0</v>
      </c>
      <c r="J44" s="45">
        <f t="shared" si="6"/>
        <v>0</v>
      </c>
      <c r="K44" s="45"/>
      <c r="L44" s="45"/>
      <c r="M44" s="45"/>
      <c r="N44" s="45"/>
      <c r="O44" s="20">
        <f t="shared" ref="O44" si="7">B44+C44+D44+E44+F44+G44+H44+I44+J44+K44+L44+M44+N44</f>
        <v>0</v>
      </c>
      <c r="P44" s="21"/>
    </row>
    <row r="45" spans="1:16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4"/>
    </row>
    <row r="46" spans="1:16" x14ac:dyDescent="0.25">
      <c r="A46" s="29" t="s">
        <v>33</v>
      </c>
      <c r="B46" s="45">
        <f t="shared" ref="B46:J46" si="8">-B9*1.22%</f>
        <v>0</v>
      </c>
      <c r="C46" s="45">
        <f t="shared" si="8"/>
        <v>0</v>
      </c>
      <c r="D46" s="45">
        <f t="shared" si="8"/>
        <v>0</v>
      </c>
      <c r="E46" s="45">
        <f t="shared" si="8"/>
        <v>0</v>
      </c>
      <c r="F46" s="45">
        <f t="shared" si="8"/>
        <v>0</v>
      </c>
      <c r="G46" s="45">
        <f t="shared" si="8"/>
        <v>0</v>
      </c>
      <c r="H46" s="45">
        <f t="shared" si="8"/>
        <v>0</v>
      </c>
      <c r="I46" s="45">
        <f t="shared" si="8"/>
        <v>0</v>
      </c>
      <c r="J46" s="45">
        <f t="shared" si="8"/>
        <v>0</v>
      </c>
      <c r="K46" s="45"/>
      <c r="L46" s="45"/>
      <c r="M46" s="45"/>
      <c r="N46" s="45"/>
      <c r="O46" s="20">
        <f t="shared" ref="O46" si="9">B46+C46+D46+E46+F46+G46+H46+I46+J46+K46+L46+M46+N46</f>
        <v>0</v>
      </c>
      <c r="P46" s="21"/>
    </row>
    <row r="47" spans="1:16" x14ac:dyDescent="0.2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4"/>
    </row>
    <row r="48" spans="1:16" x14ac:dyDescent="0.25">
      <c r="A48" s="48" t="s">
        <v>57</v>
      </c>
      <c r="B48" s="49">
        <f>B40*5.56%</f>
        <v>-3131.5777039999998</v>
      </c>
      <c r="C48" s="49">
        <f>C40*5.56%</f>
        <v>0</v>
      </c>
      <c r="D48" s="49">
        <f t="shared" ref="D48:I48" si="10">D40*5.56%</f>
        <v>0</v>
      </c>
      <c r="E48" s="49">
        <f t="shared" si="10"/>
        <v>0</v>
      </c>
      <c r="F48" s="49">
        <f t="shared" si="10"/>
        <v>0</v>
      </c>
      <c r="G48" s="49">
        <f t="shared" si="10"/>
        <v>0</v>
      </c>
      <c r="H48" s="49">
        <f t="shared" si="10"/>
        <v>0</v>
      </c>
      <c r="I48" s="49">
        <f t="shared" si="10"/>
        <v>0</v>
      </c>
      <c r="J48" s="49">
        <f>J40*5.56%</f>
        <v>0</v>
      </c>
      <c r="K48" s="49"/>
      <c r="L48" s="49"/>
      <c r="M48" s="49"/>
      <c r="N48" s="49"/>
      <c r="O48" s="20">
        <f t="shared" ref="O48" si="11">B48+C48+D48+E48+F48+G48+H48+I48+J48+K48+L48+M48+N48</f>
        <v>-3131.5777039999998</v>
      </c>
      <c r="P48" s="21"/>
    </row>
    <row r="49" spans="1:16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4"/>
    </row>
    <row r="50" spans="1:16" x14ac:dyDescent="0.25">
      <c r="A50" s="48" t="s">
        <v>58</v>
      </c>
      <c r="B50" s="49">
        <f t="shared" ref="B50:G50" si="12">B40*0.01%</f>
        <v>-5.6323340000000002</v>
      </c>
      <c r="C50" s="49">
        <f t="shared" si="12"/>
        <v>0</v>
      </c>
      <c r="D50" s="49">
        <f t="shared" si="12"/>
        <v>0</v>
      </c>
      <c r="E50" s="49">
        <f t="shared" si="12"/>
        <v>0</v>
      </c>
      <c r="F50" s="49">
        <f t="shared" si="12"/>
        <v>0</v>
      </c>
      <c r="G50" s="49">
        <f t="shared" si="12"/>
        <v>0</v>
      </c>
      <c r="H50" s="49">
        <f>H40*0.01%</f>
        <v>0</v>
      </c>
      <c r="I50" s="49">
        <f t="shared" ref="I50" si="13">I40*0.01%</f>
        <v>0</v>
      </c>
      <c r="J50" s="49">
        <f>J40*0.01%</f>
        <v>0</v>
      </c>
      <c r="K50" s="49"/>
      <c r="L50" s="49"/>
      <c r="M50" s="49"/>
      <c r="N50" s="49"/>
      <c r="O50" s="20">
        <f t="shared" ref="O50" si="14">B50+C50+D50+E50+F50+G50+H50+I50+J50+K50+L50+M50+N50</f>
        <v>-5.6323340000000002</v>
      </c>
      <c r="P50" s="21"/>
    </row>
    <row r="51" spans="1:16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4"/>
    </row>
    <row r="52" spans="1:16" x14ac:dyDescent="0.25">
      <c r="A52" s="39" t="s">
        <v>155</v>
      </c>
      <c r="B52" s="58">
        <f t="shared" ref="B52:I52" si="15">B42+B48+B50+B44+B46</f>
        <v>-59460.550038000001</v>
      </c>
      <c r="C52" s="58">
        <f t="shared" si="15"/>
        <v>0</v>
      </c>
      <c r="D52" s="58">
        <f t="shared" si="15"/>
        <v>0</v>
      </c>
      <c r="E52" s="58">
        <f t="shared" si="15"/>
        <v>0</v>
      </c>
      <c r="F52" s="58">
        <f t="shared" si="15"/>
        <v>0</v>
      </c>
      <c r="G52" s="58">
        <f t="shared" si="15"/>
        <v>0</v>
      </c>
      <c r="H52" s="58">
        <f t="shared" si="15"/>
        <v>0</v>
      </c>
      <c r="I52" s="58">
        <f t="shared" si="15"/>
        <v>0</v>
      </c>
      <c r="J52" s="58">
        <f>J42+J48+J50+J44+J46</f>
        <v>0</v>
      </c>
      <c r="K52" s="58"/>
      <c r="L52" s="58"/>
      <c r="M52" s="58"/>
      <c r="N52" s="58"/>
      <c r="O52" s="154">
        <f t="shared" ref="O52" si="16">B52+C52+D52+E52+F52+G52+H52+I52+J52+K52+L52+M52+N52</f>
        <v>-59460.550038000001</v>
      </c>
      <c r="P52" s="21"/>
    </row>
    <row r="53" spans="1:16" x14ac:dyDescent="0.25">
      <c r="A53" s="5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50"/>
    </row>
    <row r="54" spans="1:16" x14ac:dyDescent="0.25">
      <c r="A54" s="52" t="s">
        <v>35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53"/>
      <c r="P54" s="50"/>
    </row>
    <row r="55" spans="1:16" x14ac:dyDescent="0.25">
      <c r="A55" s="149" t="s">
        <v>200</v>
      </c>
    </row>
    <row r="56" spans="1:16" x14ac:dyDescent="0.25">
      <c r="A56" s="81"/>
      <c r="P56" s="89">
        <v>45322</v>
      </c>
    </row>
    <row r="57" spans="1:16" x14ac:dyDescent="0.25">
      <c r="A57" s="54" t="s">
        <v>36</v>
      </c>
      <c r="B57" s="98">
        <f t="shared" ref="B57:O57" si="17">B11+B40+B44+B46+B48+B50</f>
        <v>-59460.550038000001</v>
      </c>
      <c r="C57" s="98">
        <f t="shared" si="17"/>
        <v>0</v>
      </c>
      <c r="D57" s="98">
        <f t="shared" si="17"/>
        <v>0</v>
      </c>
      <c r="E57" s="98">
        <f t="shared" si="17"/>
        <v>0</v>
      </c>
      <c r="F57" s="98">
        <f t="shared" si="17"/>
        <v>0</v>
      </c>
      <c r="G57" s="98">
        <f t="shared" si="17"/>
        <v>0</v>
      </c>
      <c r="H57" s="98">
        <f t="shared" si="17"/>
        <v>0</v>
      </c>
      <c r="I57" s="98">
        <f t="shared" si="17"/>
        <v>0</v>
      </c>
      <c r="J57" s="98">
        <f t="shared" si="17"/>
        <v>0</v>
      </c>
      <c r="K57" s="98"/>
      <c r="L57" s="98"/>
      <c r="M57" s="98"/>
      <c r="N57" s="98"/>
      <c r="O57" s="98">
        <f t="shared" si="17"/>
        <v>-59460.550038000001</v>
      </c>
    </row>
    <row r="59" spans="1:16" x14ac:dyDescent="0.25">
      <c r="B59" s="98">
        <f t="shared" ref="B59:O59" si="18">B57-B52</f>
        <v>0</v>
      </c>
      <c r="C59" s="98">
        <f t="shared" si="18"/>
        <v>0</v>
      </c>
      <c r="D59" s="98">
        <f t="shared" si="18"/>
        <v>0</v>
      </c>
      <c r="E59" s="98">
        <f t="shared" si="18"/>
        <v>0</v>
      </c>
      <c r="F59" s="98">
        <f t="shared" si="18"/>
        <v>0</v>
      </c>
      <c r="G59" s="98">
        <f t="shared" si="18"/>
        <v>0</v>
      </c>
      <c r="H59" s="98">
        <f t="shared" si="18"/>
        <v>0</v>
      </c>
      <c r="I59" s="98">
        <f t="shared" si="18"/>
        <v>0</v>
      </c>
      <c r="J59" s="98">
        <f t="shared" si="18"/>
        <v>0</v>
      </c>
      <c r="K59" s="98"/>
      <c r="L59" s="98"/>
      <c r="M59" s="98"/>
      <c r="N59" s="98"/>
      <c r="O59" s="98">
        <f t="shared" si="18"/>
        <v>0</v>
      </c>
    </row>
  </sheetData>
  <mergeCells count="3">
    <mergeCell ref="A1:J1"/>
    <mergeCell ref="A5:E5"/>
    <mergeCell ref="A3:E3"/>
  </mergeCells>
  <conditionalFormatting sqref="D52:E52">
    <cfRule type="cellIs" dxfId="29" priority="3" operator="lessThan">
      <formula>0</formula>
    </cfRule>
    <cfRule type="cellIs" dxfId="28" priority="4" operator="greaterThan">
      <formula>0</formula>
    </cfRule>
  </conditionalFormatting>
  <conditionalFormatting sqref="G52">
    <cfRule type="cellIs" dxfId="27" priority="1" operator="lessThan">
      <formula>0</formula>
    </cfRule>
    <cfRule type="cellIs" dxfId="26" priority="2" operator="greaterThan">
      <formula>0</formula>
    </cfRule>
  </conditionalFormatting>
  <printOptions horizontalCentered="1" verticalCentered="1"/>
  <pageMargins left="0.51181102362204722" right="0.51181102362204722" top="0.39370078740157483" bottom="0" header="0.19685039370078741" footer="0"/>
  <pageSetup paperSize="9" scale="68" orientation="landscape" r:id="rId1"/>
  <headerFooter>
    <oddHeader>&amp;C&amp;"-,Negrito"&amp;14BELA NOVA CONSTRUTORA EIRELI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/>
  </sheetPr>
  <dimension ref="A1:U60"/>
  <sheetViews>
    <sheetView topLeftCell="A34" zoomScale="85" zoomScaleNormal="85" workbookViewId="0">
      <pane xSplit="1" topLeftCell="I1" activePane="topRight" state="frozen"/>
      <selection activeCell="E22" sqref="E22"/>
      <selection pane="topRight" activeCell="I56" sqref="I56"/>
    </sheetView>
  </sheetViews>
  <sheetFormatPr defaultRowHeight="15" x14ac:dyDescent="0.25"/>
  <cols>
    <col min="1" max="1" width="44.28515625" customWidth="1"/>
    <col min="2" max="2" width="18.28515625" bestFit="1" customWidth="1"/>
    <col min="3" max="3" width="18.28515625" customWidth="1"/>
    <col min="4" max="4" width="16.140625" customWidth="1"/>
    <col min="5" max="5" width="17.28515625" customWidth="1"/>
    <col min="6" max="7" width="16.140625" customWidth="1"/>
    <col min="8" max="8" width="16.85546875" customWidth="1"/>
    <col min="9" max="9" width="16.7109375" customWidth="1"/>
    <col min="10" max="15" width="16.7109375" hidden="1" customWidth="1"/>
    <col min="16" max="16" width="18" bestFit="1" customWidth="1"/>
    <col min="17" max="17" width="11.140625" bestFit="1" customWidth="1"/>
    <col min="18" max="18" width="5.42578125" customWidth="1"/>
    <col min="19" max="19" width="16" bestFit="1" customWidth="1"/>
    <col min="21" max="21" width="16" bestFit="1" customWidth="1"/>
  </cols>
  <sheetData>
    <row r="1" spans="1:21" ht="15.75" x14ac:dyDescent="0.25">
      <c r="A1" s="215" t="s">
        <v>350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</row>
    <row r="2" spans="1:21" ht="15.75" x14ac:dyDescent="0.25">
      <c r="A2" s="214" t="s">
        <v>349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</row>
    <row r="3" spans="1:21" ht="6" customHeight="1" x14ac:dyDescent="0.25">
      <c r="A3" s="71"/>
    </row>
    <row r="4" spans="1:21" ht="15" customHeight="1" x14ac:dyDescent="0.25">
      <c r="A4" s="214" t="s">
        <v>346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</row>
    <row r="5" spans="1:21" ht="6" customHeight="1" x14ac:dyDescent="0.25">
      <c r="A5" s="71"/>
    </row>
    <row r="6" spans="1:21" ht="14.25" customHeight="1" x14ac:dyDescent="0.25">
      <c r="A6" s="202" t="s">
        <v>347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</row>
    <row r="7" spans="1:21" ht="11.25" customHeight="1" x14ac:dyDescent="0.25">
      <c r="A7" s="10"/>
      <c r="U7" s="175">
        <v>2025</v>
      </c>
    </row>
    <row r="8" spans="1:21" x14ac:dyDescent="0.25">
      <c r="A8" s="12"/>
      <c r="B8" s="60" t="s">
        <v>222</v>
      </c>
      <c r="C8" s="60" t="s">
        <v>303</v>
      </c>
      <c r="D8" s="60" t="s">
        <v>304</v>
      </c>
      <c r="E8" s="60" t="s">
        <v>305</v>
      </c>
      <c r="F8" s="60" t="s">
        <v>306</v>
      </c>
      <c r="G8" s="60" t="s">
        <v>307</v>
      </c>
      <c r="H8" s="60" t="s">
        <v>308</v>
      </c>
      <c r="I8" s="60" t="s">
        <v>309</v>
      </c>
      <c r="J8" s="60" t="s">
        <v>310</v>
      </c>
      <c r="K8" s="60" t="s">
        <v>311</v>
      </c>
      <c r="L8" s="60" t="s">
        <v>312</v>
      </c>
      <c r="M8" s="60" t="s">
        <v>313</v>
      </c>
      <c r="N8" s="60" t="s">
        <v>314</v>
      </c>
      <c r="O8" s="60" t="s">
        <v>225</v>
      </c>
      <c r="P8" s="13" t="s">
        <v>1</v>
      </c>
      <c r="Q8" s="14" t="s">
        <v>2</v>
      </c>
    </row>
    <row r="9" spans="1:21" x14ac:dyDescent="0.25">
      <c r="A9" s="15" t="s">
        <v>3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7"/>
      <c r="Q9" s="18"/>
    </row>
    <row r="10" spans="1:21" x14ac:dyDescent="0.25">
      <c r="A10" s="78" t="s">
        <v>4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SUM(B10:O10)</f>
        <v>0</v>
      </c>
      <c r="Q10" s="21">
        <v>1</v>
      </c>
      <c r="S10" s="98">
        <f>SUM(B10:O10)</f>
        <v>0</v>
      </c>
      <c r="T10" s="98">
        <f>S10-P10</f>
        <v>0</v>
      </c>
      <c r="U10" s="98">
        <f>P10-B10</f>
        <v>0</v>
      </c>
    </row>
    <row r="11" spans="1:21" x14ac:dyDescent="0.25">
      <c r="A11" s="15" t="s">
        <v>5</v>
      </c>
      <c r="B11" s="22">
        <v>0</v>
      </c>
      <c r="C11" s="22">
        <v>0</v>
      </c>
      <c r="D11" s="22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SUM(B11:O11)</f>
        <v>0</v>
      </c>
      <c r="Q11" s="21"/>
      <c r="S11" s="98">
        <f t="shared" ref="S11:S53" si="0">SUM(B11:O11)</f>
        <v>0</v>
      </c>
      <c r="T11" s="98">
        <f t="shared" ref="T11:T53" si="1">S11-P11</f>
        <v>0</v>
      </c>
      <c r="U11" s="98">
        <f t="shared" ref="U11:U53" si="2">P11-B11</f>
        <v>0</v>
      </c>
    </row>
    <row r="12" spans="1:21" x14ac:dyDescent="0.25">
      <c r="A12" s="23" t="s">
        <v>6</v>
      </c>
      <c r="B12" s="24">
        <f t="shared" ref="B12:I12" si="3">SUM(B10:B11)</f>
        <v>0</v>
      </c>
      <c r="C12" s="24">
        <f t="shared" ref="C12" si="4">SUM(C10:C11)</f>
        <v>0</v>
      </c>
      <c r="D12" s="24">
        <f t="shared" ref="D12" si="5">SUM(D10:D11)</f>
        <v>0</v>
      </c>
      <c r="E12" s="24">
        <f t="shared" si="3"/>
        <v>0</v>
      </c>
      <c r="F12" s="24">
        <f t="shared" si="3"/>
        <v>0</v>
      </c>
      <c r="G12" s="24">
        <f t="shared" si="3"/>
        <v>0</v>
      </c>
      <c r="H12" s="24">
        <f t="shared" si="3"/>
        <v>0</v>
      </c>
      <c r="I12" s="24">
        <f t="shared" si="3"/>
        <v>0</v>
      </c>
      <c r="J12" s="24">
        <f t="shared" ref="J12:O12" si="6">SUM(J10:J11)</f>
        <v>0</v>
      </c>
      <c r="K12" s="24">
        <f t="shared" si="6"/>
        <v>0</v>
      </c>
      <c r="L12" s="24">
        <f t="shared" si="6"/>
        <v>0</v>
      </c>
      <c r="M12" s="24">
        <f t="shared" si="6"/>
        <v>0</v>
      </c>
      <c r="N12" s="24">
        <f t="shared" si="6"/>
        <v>0</v>
      </c>
      <c r="O12" s="24">
        <f t="shared" si="6"/>
        <v>0</v>
      </c>
      <c r="P12" s="24">
        <f>SUM(P10:P11)</f>
        <v>0</v>
      </c>
      <c r="Q12" s="21">
        <v>1</v>
      </c>
      <c r="S12" s="98">
        <f t="shared" si="0"/>
        <v>0</v>
      </c>
      <c r="T12" s="98">
        <f t="shared" si="1"/>
        <v>0</v>
      </c>
      <c r="U12" s="98">
        <f t="shared" si="2"/>
        <v>0</v>
      </c>
    </row>
    <row r="13" spans="1:21" x14ac:dyDescent="0.25">
      <c r="A13" s="25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8"/>
      <c r="S13" s="98">
        <f t="shared" si="0"/>
        <v>0</v>
      </c>
      <c r="T13" s="98">
        <f t="shared" si="1"/>
        <v>0</v>
      </c>
      <c r="U13" s="98">
        <f t="shared" si="2"/>
        <v>0</v>
      </c>
    </row>
    <row r="14" spans="1:21" x14ac:dyDescent="0.25">
      <c r="A14" s="29" t="s">
        <v>7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0"/>
      <c r="Q14" s="31"/>
      <c r="S14" s="98">
        <f t="shared" si="0"/>
        <v>0</v>
      </c>
      <c r="T14" s="98">
        <f t="shared" si="1"/>
        <v>0</v>
      </c>
      <c r="U14" s="98">
        <f t="shared" si="2"/>
        <v>0</v>
      </c>
    </row>
    <row r="15" spans="1:21" x14ac:dyDescent="0.25">
      <c r="A15" s="15" t="s">
        <v>8</v>
      </c>
      <c r="B15" s="32">
        <v>-30874</v>
      </c>
      <c r="C15" s="32">
        <v>-132891.18</v>
      </c>
      <c r="D15" s="32">
        <v>-10050.969999999999</v>
      </c>
      <c r="E15" s="32">
        <v>-10300.65</v>
      </c>
      <c r="F15" s="32">
        <v>-7325.51</v>
      </c>
      <c r="G15" s="32">
        <v>-6844.08</v>
      </c>
      <c r="H15" s="32">
        <v>-6261.57</v>
      </c>
      <c r="I15" s="32">
        <v>-8384.0400000000009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20">
        <f>SUM(B15:O15)</f>
        <v>-212932</v>
      </c>
      <c r="Q15" s="21"/>
      <c r="S15" s="98">
        <f t="shared" si="0"/>
        <v>-212932</v>
      </c>
      <c r="T15" s="98">
        <f t="shared" si="1"/>
        <v>0</v>
      </c>
      <c r="U15" s="98">
        <f t="shared" si="2"/>
        <v>-182058</v>
      </c>
    </row>
    <row r="16" spans="1:21" x14ac:dyDescent="0.25">
      <c r="A16" s="33" t="s">
        <v>9</v>
      </c>
      <c r="B16" s="32">
        <v>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20">
        <f t="shared" ref="P16:P40" si="7">SUM(B16:O16)</f>
        <v>0</v>
      </c>
      <c r="Q16" s="21"/>
      <c r="S16" s="98">
        <f t="shared" si="0"/>
        <v>0</v>
      </c>
      <c r="T16" s="98">
        <f t="shared" si="1"/>
        <v>0</v>
      </c>
      <c r="U16" s="98">
        <f t="shared" si="2"/>
        <v>0</v>
      </c>
    </row>
    <row r="17" spans="1:21" x14ac:dyDescent="0.25">
      <c r="A17" s="15" t="s">
        <v>10</v>
      </c>
      <c r="B17" s="32">
        <v>-955.2</v>
      </c>
      <c r="C17" s="32">
        <v>-4266.75</v>
      </c>
      <c r="D17" s="32">
        <v>-378.15</v>
      </c>
      <c r="E17" s="32">
        <v>-378.15</v>
      </c>
      <c r="F17" s="32">
        <v>-378.15</v>
      </c>
      <c r="G17" s="32">
        <v>-302.52</v>
      </c>
      <c r="H17" s="32">
        <v>-302.52</v>
      </c>
      <c r="I17" s="32">
        <v>-226.89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20">
        <f t="shared" si="7"/>
        <v>-7188.329999999999</v>
      </c>
      <c r="Q17" s="21"/>
      <c r="S17" s="98">
        <f t="shared" si="0"/>
        <v>-7188.329999999999</v>
      </c>
      <c r="T17" s="98">
        <f t="shared" si="1"/>
        <v>0</v>
      </c>
      <c r="U17" s="98">
        <f t="shared" si="2"/>
        <v>-6233.1299999999992</v>
      </c>
    </row>
    <row r="18" spans="1:21" x14ac:dyDescent="0.25">
      <c r="A18" s="33" t="s">
        <v>11</v>
      </c>
      <c r="B18" s="32">
        <v>-349.18</v>
      </c>
      <c r="C18" s="32">
        <v>-537.55999999999995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20">
        <f t="shared" si="7"/>
        <v>-886.74</v>
      </c>
      <c r="Q18" s="21"/>
      <c r="S18" s="98">
        <f t="shared" si="0"/>
        <v>-886.74</v>
      </c>
      <c r="T18" s="98">
        <f t="shared" si="1"/>
        <v>0</v>
      </c>
      <c r="U18" s="98">
        <f t="shared" si="2"/>
        <v>-537.55999999999995</v>
      </c>
    </row>
    <row r="19" spans="1:21" x14ac:dyDescent="0.25">
      <c r="A19" s="15" t="s">
        <v>12</v>
      </c>
      <c r="B19" s="32">
        <v>-26737.32</v>
      </c>
      <c r="C19" s="32">
        <v>-91765.15</v>
      </c>
      <c r="D19" s="32">
        <v>-7348.7</v>
      </c>
      <c r="E19" s="32">
        <v>-5455.79</v>
      </c>
      <c r="F19" s="32">
        <v>-4917.3900000000003</v>
      </c>
      <c r="G19" s="32">
        <v>-4601.8999999999996</v>
      </c>
      <c r="H19" s="32">
        <v>-5769.2</v>
      </c>
      <c r="I19" s="32">
        <v>-6003.6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20">
        <f t="shared" si="7"/>
        <v>-152599.05000000002</v>
      </c>
      <c r="Q19" s="21"/>
      <c r="S19" s="98">
        <f t="shared" si="0"/>
        <v>-152599.05000000002</v>
      </c>
      <c r="T19" s="98">
        <f t="shared" si="1"/>
        <v>0</v>
      </c>
      <c r="U19" s="98">
        <f t="shared" si="2"/>
        <v>-125861.73000000001</v>
      </c>
    </row>
    <row r="20" spans="1:21" x14ac:dyDescent="0.25">
      <c r="A20" s="15" t="s">
        <v>13</v>
      </c>
      <c r="B20" s="32">
        <v>-17006.59</v>
      </c>
      <c r="C20" s="32">
        <v>-75121.8</v>
      </c>
      <c r="D20" s="32">
        <v>-6248.78</v>
      </c>
      <c r="E20" s="32">
        <v>-3999.3</v>
      </c>
      <c r="F20" s="32">
        <v>-4000.68</v>
      </c>
      <c r="G20" s="32">
        <v>-3077.45</v>
      </c>
      <c r="H20" s="32">
        <v>-4033.51</v>
      </c>
      <c r="I20" s="32">
        <v>-4209.46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20">
        <f t="shared" si="7"/>
        <v>-117697.56999999999</v>
      </c>
      <c r="Q20" s="21"/>
      <c r="S20" s="98">
        <f t="shared" si="0"/>
        <v>-117697.56999999999</v>
      </c>
      <c r="T20" s="98">
        <f t="shared" si="1"/>
        <v>0</v>
      </c>
      <c r="U20" s="98">
        <f t="shared" si="2"/>
        <v>-100690.98</v>
      </c>
    </row>
    <row r="21" spans="1:21" x14ac:dyDescent="0.25">
      <c r="A21" s="15" t="s">
        <v>14</v>
      </c>
      <c r="B21" s="32">
        <v>-33689.71</v>
      </c>
      <c r="C21" s="32">
        <v>-110810.75</v>
      </c>
      <c r="D21" s="32">
        <v>-6985.15</v>
      </c>
      <c r="E21" s="32">
        <v>-7510.59</v>
      </c>
      <c r="F21" s="32">
        <v>-7383.66</v>
      </c>
      <c r="G21" s="32">
        <v>-3177.9</v>
      </c>
      <c r="H21" s="32">
        <v>-5896.52</v>
      </c>
      <c r="I21" s="32">
        <v>-7287.42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20">
        <f t="shared" si="7"/>
        <v>-182741.69999999998</v>
      </c>
      <c r="Q21" s="21"/>
      <c r="S21" s="98">
        <f t="shared" si="0"/>
        <v>-182741.69999999998</v>
      </c>
      <c r="T21" s="98">
        <f t="shared" si="1"/>
        <v>0</v>
      </c>
      <c r="U21" s="98">
        <f t="shared" si="2"/>
        <v>-149051.99</v>
      </c>
    </row>
    <row r="22" spans="1:21" x14ac:dyDescent="0.25">
      <c r="A22" s="15" t="s">
        <v>15</v>
      </c>
      <c r="B22" s="32">
        <v>-2513.91</v>
      </c>
      <c r="C22" s="32">
        <v>34.700000000000003</v>
      </c>
      <c r="D22" s="32">
        <v>0</v>
      </c>
      <c r="E22" s="32">
        <v>2189.9699999999998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20">
        <f t="shared" si="7"/>
        <v>-289.24000000000024</v>
      </c>
      <c r="Q22" s="21"/>
      <c r="S22" s="98">
        <f t="shared" si="0"/>
        <v>-289.24000000000024</v>
      </c>
      <c r="T22" s="98">
        <f t="shared" si="1"/>
        <v>0</v>
      </c>
      <c r="U22" s="98">
        <f t="shared" si="2"/>
        <v>2224.6699999999996</v>
      </c>
    </row>
    <row r="23" spans="1:21" x14ac:dyDescent="0.25">
      <c r="A23" s="15" t="s">
        <v>16</v>
      </c>
      <c r="B23" s="32">
        <v>-200</v>
      </c>
      <c r="C23" s="32"/>
      <c r="D23" s="32">
        <v>0</v>
      </c>
      <c r="E23" s="32">
        <v>0</v>
      </c>
      <c r="F23" s="32">
        <v>0</v>
      </c>
      <c r="G23" s="32">
        <v>0</v>
      </c>
      <c r="H23" s="32">
        <v>-2145.59</v>
      </c>
      <c r="I23" s="32">
        <v>-845.98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20">
        <f t="shared" si="7"/>
        <v>-3191.57</v>
      </c>
      <c r="Q23" s="21"/>
      <c r="S23" s="98">
        <f t="shared" si="0"/>
        <v>-3191.57</v>
      </c>
      <c r="T23" s="98">
        <f t="shared" si="1"/>
        <v>0</v>
      </c>
      <c r="U23" s="98">
        <f t="shared" si="2"/>
        <v>-2991.57</v>
      </c>
    </row>
    <row r="24" spans="1:21" x14ac:dyDescent="0.25">
      <c r="A24" s="15" t="s">
        <v>17</v>
      </c>
      <c r="B24" s="32">
        <v>-19410.21</v>
      </c>
      <c r="C24" s="32">
        <v>-118858.97</v>
      </c>
      <c r="D24" s="32">
        <v>-10870.39</v>
      </c>
      <c r="E24" s="32">
        <v>-9166.25</v>
      </c>
      <c r="F24" s="32">
        <v>-9176.07</v>
      </c>
      <c r="G24" s="32">
        <v>-7229.23</v>
      </c>
      <c r="H24" s="32">
        <v>-9735.8700000000008</v>
      </c>
      <c r="I24" s="32">
        <v>-9986.39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20">
        <f t="shared" si="7"/>
        <v>-194433.38</v>
      </c>
      <c r="Q24" s="21"/>
      <c r="S24" s="98">
        <f t="shared" si="0"/>
        <v>-194433.38</v>
      </c>
      <c r="T24" s="98">
        <f t="shared" si="1"/>
        <v>0</v>
      </c>
      <c r="U24" s="98">
        <f t="shared" si="2"/>
        <v>-175023.17</v>
      </c>
    </row>
    <row r="25" spans="1:21" x14ac:dyDescent="0.25">
      <c r="A25" s="15" t="s">
        <v>18</v>
      </c>
      <c r="B25" s="32">
        <v>0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20">
        <f t="shared" si="7"/>
        <v>0</v>
      </c>
      <c r="Q25" s="21"/>
      <c r="S25" s="98">
        <f t="shared" si="0"/>
        <v>0</v>
      </c>
      <c r="T25" s="98">
        <f t="shared" si="1"/>
        <v>0</v>
      </c>
      <c r="U25" s="98">
        <f t="shared" si="2"/>
        <v>0</v>
      </c>
    </row>
    <row r="26" spans="1:21" x14ac:dyDescent="0.25">
      <c r="A26" s="15" t="s">
        <v>19</v>
      </c>
      <c r="B26" s="32">
        <v>0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20">
        <f t="shared" si="7"/>
        <v>0</v>
      </c>
      <c r="Q26" s="21"/>
      <c r="S26" s="98">
        <f t="shared" si="0"/>
        <v>0</v>
      </c>
      <c r="T26" s="98">
        <f t="shared" si="1"/>
        <v>0</v>
      </c>
      <c r="U26" s="98">
        <f t="shared" si="2"/>
        <v>0</v>
      </c>
    </row>
    <row r="27" spans="1:21" x14ac:dyDescent="0.25">
      <c r="A27" s="15" t="s">
        <v>20</v>
      </c>
      <c r="B27" s="32">
        <v>0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20">
        <f t="shared" si="7"/>
        <v>0</v>
      </c>
      <c r="Q27" s="21"/>
      <c r="S27" s="98">
        <f t="shared" si="0"/>
        <v>0</v>
      </c>
      <c r="T27" s="98">
        <f t="shared" si="1"/>
        <v>0</v>
      </c>
      <c r="U27" s="98">
        <f t="shared" si="2"/>
        <v>0</v>
      </c>
    </row>
    <row r="28" spans="1:21" x14ac:dyDescent="0.25">
      <c r="A28" s="15" t="s">
        <v>59</v>
      </c>
      <c r="B28" s="32">
        <v>0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20">
        <f t="shared" si="7"/>
        <v>0</v>
      </c>
      <c r="Q28" s="21"/>
      <c r="S28" s="98">
        <f t="shared" si="0"/>
        <v>0</v>
      </c>
      <c r="T28" s="98">
        <f t="shared" si="1"/>
        <v>0</v>
      </c>
      <c r="U28" s="98">
        <f t="shared" si="2"/>
        <v>0</v>
      </c>
    </row>
    <row r="29" spans="1:21" x14ac:dyDescent="0.25">
      <c r="A29" s="15" t="s">
        <v>21</v>
      </c>
      <c r="B29" s="32">
        <v>-2025</v>
      </c>
      <c r="C29" s="32">
        <v>-7065</v>
      </c>
      <c r="D29" s="32">
        <v>-270</v>
      </c>
      <c r="E29" s="32">
        <v>-405</v>
      </c>
      <c r="F29" s="32">
        <v>-135</v>
      </c>
      <c r="G29" s="32">
        <v>-135</v>
      </c>
      <c r="H29" s="32">
        <v>-540</v>
      </c>
      <c r="I29" s="32">
        <v>-675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20">
        <f t="shared" si="7"/>
        <v>-11250</v>
      </c>
      <c r="Q29" s="21"/>
      <c r="S29" s="98">
        <f t="shared" si="0"/>
        <v>-11250</v>
      </c>
      <c r="T29" s="98">
        <f>S29-P29</f>
        <v>0</v>
      </c>
      <c r="U29" s="98">
        <f t="shared" si="2"/>
        <v>-9225</v>
      </c>
    </row>
    <row r="30" spans="1:21" x14ac:dyDescent="0.25">
      <c r="A30" s="15" t="s">
        <v>22</v>
      </c>
      <c r="B30" s="32">
        <v>0</v>
      </c>
      <c r="C30" s="32">
        <v>0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20">
        <f t="shared" si="7"/>
        <v>0</v>
      </c>
      <c r="Q30" s="21"/>
      <c r="S30" s="98">
        <f t="shared" si="0"/>
        <v>0</v>
      </c>
      <c r="T30" s="98">
        <f t="shared" si="1"/>
        <v>0</v>
      </c>
      <c r="U30" s="98">
        <f t="shared" si="2"/>
        <v>0</v>
      </c>
    </row>
    <row r="31" spans="1:21" x14ac:dyDescent="0.25">
      <c r="A31" s="33" t="s">
        <v>23</v>
      </c>
      <c r="B31" s="32">
        <v>-53.45</v>
      </c>
      <c r="C31" s="32">
        <v>-100.13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20">
        <f t="shared" si="7"/>
        <v>-153.57999999999998</v>
      </c>
      <c r="Q31" s="21"/>
      <c r="S31" s="98">
        <f t="shared" si="0"/>
        <v>-153.57999999999998</v>
      </c>
      <c r="T31" s="98">
        <f t="shared" si="1"/>
        <v>0</v>
      </c>
      <c r="U31" s="98">
        <f t="shared" si="2"/>
        <v>-100.12999999999998</v>
      </c>
    </row>
    <row r="32" spans="1:21" x14ac:dyDescent="0.25">
      <c r="A32" s="15" t="s">
        <v>24</v>
      </c>
      <c r="B32" s="32">
        <v>-71233.83</v>
      </c>
      <c r="C32" s="32">
        <v>-405712.59</v>
      </c>
      <c r="D32" s="32">
        <v>-44708.6</v>
      </c>
      <c r="E32" s="32">
        <v>-36797.24</v>
      </c>
      <c r="F32" s="32">
        <v>-30541</v>
      </c>
      <c r="G32" s="32">
        <v>-29952</v>
      </c>
      <c r="H32" s="32">
        <v>-31574</v>
      </c>
      <c r="I32" s="32">
        <v>-30476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20">
        <f t="shared" si="7"/>
        <v>-680995.26</v>
      </c>
      <c r="Q32" s="21"/>
      <c r="S32" s="98">
        <f t="shared" si="0"/>
        <v>-680995.26</v>
      </c>
      <c r="T32" s="98">
        <f t="shared" si="1"/>
        <v>0</v>
      </c>
      <c r="U32" s="98">
        <f t="shared" si="2"/>
        <v>-609761.43000000005</v>
      </c>
    </row>
    <row r="33" spans="1:21" x14ac:dyDescent="0.25">
      <c r="A33" s="34" t="s">
        <v>25</v>
      </c>
      <c r="B33" s="32">
        <v>-176925.95</v>
      </c>
      <c r="C33" s="32">
        <v>-649346.41</v>
      </c>
      <c r="D33" s="32">
        <v>-49772.7</v>
      </c>
      <c r="E33" s="32">
        <v>-42437.82</v>
      </c>
      <c r="F33" s="32">
        <v>-37535.71</v>
      </c>
      <c r="G33" s="32">
        <v>-35292.97</v>
      </c>
      <c r="H33" s="32">
        <v>-43865.41</v>
      </c>
      <c r="I33" s="32">
        <v>-45224.639999999999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20">
        <f t="shared" si="7"/>
        <v>-1080401.6099999999</v>
      </c>
      <c r="Q33" s="21"/>
      <c r="S33" s="98">
        <f t="shared" si="0"/>
        <v>-1080401.6099999999</v>
      </c>
      <c r="T33" s="98">
        <f t="shared" si="1"/>
        <v>0</v>
      </c>
      <c r="U33" s="98">
        <f t="shared" si="2"/>
        <v>-903475.65999999992</v>
      </c>
    </row>
    <row r="34" spans="1:21" x14ac:dyDescent="0.25">
      <c r="A34" s="15" t="s">
        <v>26</v>
      </c>
      <c r="B34" s="32">
        <v>0</v>
      </c>
      <c r="C34" s="32">
        <v>-270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20">
        <f t="shared" si="7"/>
        <v>-270</v>
      </c>
      <c r="Q34" s="21"/>
      <c r="S34" s="98">
        <f t="shared" si="0"/>
        <v>-270</v>
      </c>
      <c r="T34" s="98">
        <f t="shared" si="1"/>
        <v>0</v>
      </c>
      <c r="U34" s="98">
        <f t="shared" si="2"/>
        <v>-270</v>
      </c>
    </row>
    <row r="35" spans="1:21" x14ac:dyDescent="0.25">
      <c r="A35" s="15" t="s">
        <v>27</v>
      </c>
      <c r="B35" s="32">
        <v>0</v>
      </c>
      <c r="C35" s="32">
        <v>0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20">
        <f t="shared" si="7"/>
        <v>0</v>
      </c>
      <c r="Q35" s="21"/>
      <c r="S35" s="98">
        <f t="shared" si="0"/>
        <v>0</v>
      </c>
      <c r="T35" s="98">
        <f t="shared" si="1"/>
        <v>0</v>
      </c>
      <c r="U35" s="98">
        <f t="shared" si="2"/>
        <v>0</v>
      </c>
    </row>
    <row r="36" spans="1:21" x14ac:dyDescent="0.25">
      <c r="A36" s="33" t="s">
        <v>28</v>
      </c>
      <c r="B36" s="32">
        <v>-4972.38</v>
      </c>
      <c r="C36" s="32">
        <v>-6294.86</v>
      </c>
      <c r="D36" s="32">
        <v>0</v>
      </c>
      <c r="E36" s="32">
        <v>-20.059999999999999</v>
      </c>
      <c r="F36" s="32">
        <v>0</v>
      </c>
      <c r="G36" s="32">
        <v>-153.65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20">
        <f t="shared" si="7"/>
        <v>-11440.949999999999</v>
      </c>
      <c r="Q36" s="21"/>
      <c r="S36" s="98">
        <f t="shared" si="0"/>
        <v>-11440.949999999999</v>
      </c>
      <c r="T36" s="98">
        <f t="shared" si="1"/>
        <v>0</v>
      </c>
      <c r="U36" s="98">
        <f t="shared" si="2"/>
        <v>-6468.5699999999988</v>
      </c>
    </row>
    <row r="37" spans="1:21" x14ac:dyDescent="0.25">
      <c r="A37" s="15" t="s">
        <v>29</v>
      </c>
      <c r="B37" s="32">
        <v>-12052.72</v>
      </c>
      <c r="C37" s="32">
        <v>-77014.22</v>
      </c>
      <c r="D37" s="32">
        <v>-5514.93</v>
      </c>
      <c r="E37" s="32">
        <v>-5384.79</v>
      </c>
      <c r="F37" s="32">
        <v>-4281.9799999999996</v>
      </c>
      <c r="G37" s="32">
        <v>-3936.61</v>
      </c>
      <c r="H37" s="32">
        <v>-3100.4</v>
      </c>
      <c r="I37" s="32">
        <v>-5483.55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20">
        <f t="shared" si="7"/>
        <v>-116769.19999999998</v>
      </c>
      <c r="Q37" s="21"/>
      <c r="S37" s="98">
        <f t="shared" si="0"/>
        <v>-116769.19999999998</v>
      </c>
      <c r="T37" s="98">
        <f t="shared" si="1"/>
        <v>0</v>
      </c>
      <c r="U37" s="98">
        <f t="shared" si="2"/>
        <v>-104716.47999999998</v>
      </c>
    </row>
    <row r="38" spans="1:21" x14ac:dyDescent="0.25">
      <c r="A38" s="15" t="s">
        <v>276</v>
      </c>
      <c r="B38" s="32">
        <v>-14139.5</v>
      </c>
      <c r="C38" s="32">
        <v>-66260.02</v>
      </c>
      <c r="D38" s="32">
        <v>-5511.52</v>
      </c>
      <c r="E38" s="32">
        <v>-4091.84</v>
      </c>
      <c r="F38" s="32">
        <v>-3688.04</v>
      </c>
      <c r="G38" s="32">
        <v>-3451.43</v>
      </c>
      <c r="H38" s="32">
        <v>-4551.37</v>
      </c>
      <c r="I38" s="32">
        <v>-4502.7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20">
        <f t="shared" si="7"/>
        <v>-106196.41999999998</v>
      </c>
      <c r="Q38" s="21"/>
      <c r="S38" s="98">
        <f t="shared" si="0"/>
        <v>-106196.41999999998</v>
      </c>
      <c r="T38" s="98">
        <f t="shared" si="1"/>
        <v>0</v>
      </c>
      <c r="U38" s="98">
        <f t="shared" si="2"/>
        <v>-92056.919999999984</v>
      </c>
    </row>
    <row r="39" spans="1:21" x14ac:dyDescent="0.25">
      <c r="A39" s="15" t="s">
        <v>97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20">
        <f t="shared" si="7"/>
        <v>0</v>
      </c>
      <c r="Q39" s="21"/>
      <c r="S39" s="98">
        <f t="shared" si="0"/>
        <v>0</v>
      </c>
      <c r="T39" s="98">
        <f t="shared" si="1"/>
        <v>0</v>
      </c>
      <c r="U39" s="98">
        <f t="shared" si="2"/>
        <v>0</v>
      </c>
    </row>
    <row r="40" spans="1:21" x14ac:dyDescent="0.25">
      <c r="A40" s="15" t="s">
        <v>114</v>
      </c>
      <c r="B40" s="32">
        <v>0</v>
      </c>
      <c r="C40" s="32">
        <v>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20">
        <f t="shared" si="7"/>
        <v>0</v>
      </c>
      <c r="Q40" s="21"/>
      <c r="S40" s="98">
        <f t="shared" si="0"/>
        <v>0</v>
      </c>
      <c r="T40" s="98">
        <f t="shared" si="1"/>
        <v>0</v>
      </c>
      <c r="U40" s="98">
        <f t="shared" si="2"/>
        <v>0</v>
      </c>
    </row>
    <row r="41" spans="1:21" x14ac:dyDescent="0.25">
      <c r="A41" s="35" t="s">
        <v>31</v>
      </c>
      <c r="B41" s="36">
        <f>SUM(B15:B40)</f>
        <v>-413138.95</v>
      </c>
      <c r="C41" s="36">
        <f>SUM(C15:C40)</f>
        <v>-1746280.69</v>
      </c>
      <c r="D41" s="36">
        <f t="shared" ref="D41:O41" si="8">SUM(D15:D40)</f>
        <v>-147659.88999999998</v>
      </c>
      <c r="E41" s="36">
        <f t="shared" si="8"/>
        <v>-123757.51</v>
      </c>
      <c r="F41" s="36">
        <f t="shared" si="8"/>
        <v>-109363.18999999999</v>
      </c>
      <c r="G41" s="36">
        <f t="shared" si="8"/>
        <v>-98154.739999999991</v>
      </c>
      <c r="H41" s="36">
        <f t="shared" si="8"/>
        <v>-117775.95999999999</v>
      </c>
      <c r="I41" s="36">
        <f t="shared" si="8"/>
        <v>-123305.67</v>
      </c>
      <c r="J41" s="36">
        <f t="shared" si="8"/>
        <v>0</v>
      </c>
      <c r="K41" s="36">
        <f t="shared" si="8"/>
        <v>0</v>
      </c>
      <c r="L41" s="36">
        <f t="shared" si="8"/>
        <v>0</v>
      </c>
      <c r="M41" s="36">
        <f t="shared" si="8"/>
        <v>0</v>
      </c>
      <c r="N41" s="36">
        <f t="shared" si="8"/>
        <v>0</v>
      </c>
      <c r="O41" s="36">
        <f t="shared" si="8"/>
        <v>0</v>
      </c>
      <c r="P41" s="36">
        <f>SUM(P15:P40)</f>
        <v>-2879436.6</v>
      </c>
      <c r="Q41" s="21"/>
      <c r="S41" s="98">
        <f t="shared" si="0"/>
        <v>-2879436.5999999996</v>
      </c>
      <c r="T41" s="98">
        <f t="shared" si="1"/>
        <v>0</v>
      </c>
      <c r="U41" s="98">
        <f t="shared" si="2"/>
        <v>-2466297.65</v>
      </c>
    </row>
    <row r="42" spans="1:21" x14ac:dyDescent="0.25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27"/>
      <c r="Q42" s="18"/>
      <c r="S42" s="98">
        <f t="shared" si="0"/>
        <v>0</v>
      </c>
      <c r="T42" s="98">
        <f t="shared" si="1"/>
        <v>0</v>
      </c>
      <c r="U42" s="98">
        <f t="shared" si="2"/>
        <v>0</v>
      </c>
    </row>
    <row r="43" spans="1:21" x14ac:dyDescent="0.25">
      <c r="A43" s="39" t="s">
        <v>32</v>
      </c>
      <c r="B43" s="58">
        <f t="shared" ref="B43:O43" si="9">B12+B41</f>
        <v>-413138.95</v>
      </c>
      <c r="C43" s="58">
        <f t="shared" ref="C43" si="10">C12+C41</f>
        <v>-1746280.69</v>
      </c>
      <c r="D43" s="58">
        <f t="shared" ref="D43" si="11">D12+D41</f>
        <v>-147659.88999999998</v>
      </c>
      <c r="E43" s="58">
        <f t="shared" si="9"/>
        <v>-123757.51</v>
      </c>
      <c r="F43" s="58">
        <f t="shared" si="9"/>
        <v>-109363.18999999999</v>
      </c>
      <c r="G43" s="58">
        <f t="shared" si="9"/>
        <v>-98154.739999999991</v>
      </c>
      <c r="H43" s="58">
        <f t="shared" si="9"/>
        <v>-117775.95999999999</v>
      </c>
      <c r="I43" s="58">
        <f t="shared" si="9"/>
        <v>-123305.67</v>
      </c>
      <c r="J43" s="58">
        <f t="shared" si="9"/>
        <v>0</v>
      </c>
      <c r="K43" s="58">
        <f t="shared" si="9"/>
        <v>0</v>
      </c>
      <c r="L43" s="58">
        <f t="shared" si="9"/>
        <v>0</v>
      </c>
      <c r="M43" s="58">
        <f t="shared" si="9"/>
        <v>0</v>
      </c>
      <c r="N43" s="58">
        <f t="shared" si="9"/>
        <v>0</v>
      </c>
      <c r="O43" s="58">
        <f t="shared" si="9"/>
        <v>0</v>
      </c>
      <c r="P43" s="154">
        <f>SUM(B43:O43)</f>
        <v>-2879436.5999999996</v>
      </c>
      <c r="Q43" s="21"/>
      <c r="S43" s="98">
        <f t="shared" si="0"/>
        <v>-2879436.5999999996</v>
      </c>
      <c r="T43" s="98">
        <f t="shared" si="1"/>
        <v>0</v>
      </c>
      <c r="U43" s="98">
        <f t="shared" si="2"/>
        <v>-2466297.6499999994</v>
      </c>
    </row>
    <row r="44" spans="1:21" x14ac:dyDescent="0.25">
      <c r="A44" s="41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4"/>
      <c r="S44" s="98">
        <f t="shared" si="0"/>
        <v>0</v>
      </c>
      <c r="T44" s="98">
        <f t="shared" si="1"/>
        <v>0</v>
      </c>
      <c r="U44" s="98">
        <f t="shared" si="2"/>
        <v>0</v>
      </c>
    </row>
    <row r="45" spans="1:21" x14ac:dyDescent="0.25">
      <c r="A45" s="29" t="s">
        <v>56</v>
      </c>
      <c r="B45" s="45">
        <f t="shared" ref="B45:F45" si="12">-B10*13.15%</f>
        <v>0</v>
      </c>
      <c r="C45" s="45">
        <f t="shared" ref="C45" si="13">-C10*13.15%</f>
        <v>0</v>
      </c>
      <c r="D45" s="45">
        <f t="shared" ref="D45" si="14">-D10*13.15%</f>
        <v>0</v>
      </c>
      <c r="E45" s="45">
        <f t="shared" si="12"/>
        <v>0</v>
      </c>
      <c r="F45" s="45">
        <f t="shared" si="12"/>
        <v>0</v>
      </c>
      <c r="G45" s="45">
        <f>-G10*13.15%</f>
        <v>0</v>
      </c>
      <c r="H45" s="45">
        <f t="shared" ref="H45:O45" si="15">-H10*13.15%</f>
        <v>0</v>
      </c>
      <c r="I45" s="45">
        <f t="shared" si="15"/>
        <v>0</v>
      </c>
      <c r="J45" s="45">
        <f t="shared" si="15"/>
        <v>0</v>
      </c>
      <c r="K45" s="45">
        <f t="shared" si="15"/>
        <v>0</v>
      </c>
      <c r="L45" s="45">
        <f t="shared" si="15"/>
        <v>0</v>
      </c>
      <c r="M45" s="45">
        <f t="shared" si="15"/>
        <v>0</v>
      </c>
      <c r="N45" s="45">
        <f t="shared" si="15"/>
        <v>0</v>
      </c>
      <c r="O45" s="45">
        <f t="shared" si="15"/>
        <v>0</v>
      </c>
      <c r="P45" s="20">
        <f t="shared" ref="P45" si="16">SUM(B45:O45)</f>
        <v>0</v>
      </c>
      <c r="Q45" s="21"/>
      <c r="S45" s="98">
        <f t="shared" si="0"/>
        <v>0</v>
      </c>
      <c r="T45" s="98">
        <f t="shared" si="1"/>
        <v>0</v>
      </c>
      <c r="U45" s="98">
        <f t="shared" si="2"/>
        <v>0</v>
      </c>
    </row>
    <row r="46" spans="1:21" x14ac:dyDescent="0.25">
      <c r="A46" s="41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4"/>
      <c r="S46" s="98">
        <f t="shared" si="0"/>
        <v>0</v>
      </c>
      <c r="T46" s="98">
        <f t="shared" si="1"/>
        <v>0</v>
      </c>
      <c r="U46" s="98">
        <f t="shared" si="2"/>
        <v>0</v>
      </c>
    </row>
    <row r="47" spans="1:21" x14ac:dyDescent="0.25">
      <c r="A47" s="29" t="s">
        <v>33</v>
      </c>
      <c r="B47" s="45">
        <f t="shared" ref="B47:O47" si="17">-B10*1.22%</f>
        <v>0</v>
      </c>
      <c r="C47" s="45">
        <f t="shared" ref="C47" si="18">-C10*1.22%</f>
        <v>0</v>
      </c>
      <c r="D47" s="45">
        <f t="shared" ref="D47" si="19">-D10*1.22%</f>
        <v>0</v>
      </c>
      <c r="E47" s="45">
        <f t="shared" si="17"/>
        <v>0</v>
      </c>
      <c r="F47" s="45">
        <f t="shared" si="17"/>
        <v>0</v>
      </c>
      <c r="G47" s="45">
        <f t="shared" si="17"/>
        <v>0</v>
      </c>
      <c r="H47" s="45">
        <f t="shared" si="17"/>
        <v>0</v>
      </c>
      <c r="I47" s="45">
        <f t="shared" si="17"/>
        <v>0</v>
      </c>
      <c r="J47" s="45">
        <f t="shared" si="17"/>
        <v>0</v>
      </c>
      <c r="K47" s="45">
        <f t="shared" si="17"/>
        <v>0</v>
      </c>
      <c r="L47" s="45">
        <f t="shared" si="17"/>
        <v>0</v>
      </c>
      <c r="M47" s="45">
        <f t="shared" si="17"/>
        <v>0</v>
      </c>
      <c r="N47" s="45">
        <f t="shared" si="17"/>
        <v>0</v>
      </c>
      <c r="O47" s="45">
        <f t="shared" si="17"/>
        <v>0</v>
      </c>
      <c r="P47" s="20">
        <f t="shared" ref="P47" si="20">SUM(B47:O47)</f>
        <v>0</v>
      </c>
      <c r="Q47" s="21"/>
      <c r="S47" s="98">
        <f t="shared" si="0"/>
        <v>0</v>
      </c>
      <c r="T47" s="98">
        <f t="shared" si="1"/>
        <v>0</v>
      </c>
      <c r="U47" s="98">
        <f t="shared" si="2"/>
        <v>0</v>
      </c>
    </row>
    <row r="48" spans="1:21" x14ac:dyDescent="0.25">
      <c r="A48" s="43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4"/>
      <c r="S48" s="98">
        <f t="shared" si="0"/>
        <v>0</v>
      </c>
      <c r="T48" s="98">
        <f t="shared" si="1"/>
        <v>0</v>
      </c>
      <c r="U48" s="98">
        <f t="shared" si="2"/>
        <v>0</v>
      </c>
    </row>
    <row r="49" spans="1:21" x14ac:dyDescent="0.25">
      <c r="A49" s="48" t="s">
        <v>57</v>
      </c>
      <c r="B49" s="49">
        <f t="shared" ref="B49:H49" si="21">B41*5.56%</f>
        <v>-22970.52562</v>
      </c>
      <c r="C49" s="49">
        <f t="shared" ref="C49" si="22">C41*5.56%</f>
        <v>-97093.206363999998</v>
      </c>
      <c r="D49" s="49">
        <f t="shared" ref="D49" si="23">D41*5.56%</f>
        <v>-8209.8898839999983</v>
      </c>
      <c r="E49" s="49">
        <f t="shared" si="21"/>
        <v>-6880.9175559999994</v>
      </c>
      <c r="F49" s="49">
        <f t="shared" si="21"/>
        <v>-6080.5933639999994</v>
      </c>
      <c r="G49" s="49">
        <f t="shared" si="21"/>
        <v>-5457.4035439999989</v>
      </c>
      <c r="H49" s="49">
        <f t="shared" si="21"/>
        <v>-6548.3433759999989</v>
      </c>
      <c r="I49" s="49">
        <f>I41*5.56%</f>
        <v>-6855.7952519999999</v>
      </c>
      <c r="J49" s="49">
        <f>J41*5.56%</f>
        <v>0</v>
      </c>
      <c r="K49" s="49">
        <f>K41*5.56%</f>
        <v>0</v>
      </c>
      <c r="L49" s="49">
        <f>L41*5.56%</f>
        <v>0</v>
      </c>
      <c r="M49" s="49">
        <f>M41*5.56%</f>
        <v>0</v>
      </c>
      <c r="N49" s="49">
        <f t="shared" ref="N49:O49" si="24">N41*5.56%</f>
        <v>0</v>
      </c>
      <c r="O49" s="49">
        <f t="shared" si="24"/>
        <v>0</v>
      </c>
      <c r="P49" s="20">
        <f t="shared" ref="P49" si="25">SUM(B49:O49)</f>
        <v>-160096.67496</v>
      </c>
      <c r="Q49" s="21"/>
      <c r="S49" s="98">
        <f t="shared" si="0"/>
        <v>-160096.67496</v>
      </c>
      <c r="T49" s="98">
        <f t="shared" si="1"/>
        <v>0</v>
      </c>
      <c r="U49" s="98">
        <f t="shared" si="2"/>
        <v>-137126.14934</v>
      </c>
    </row>
    <row r="50" spans="1:21" x14ac:dyDescent="0.25">
      <c r="A50" s="43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4"/>
      <c r="S50" s="98">
        <f t="shared" si="0"/>
        <v>0</v>
      </c>
      <c r="T50" s="98">
        <f t="shared" si="1"/>
        <v>0</v>
      </c>
      <c r="U50" s="98">
        <f t="shared" si="2"/>
        <v>0</v>
      </c>
    </row>
    <row r="51" spans="1:21" x14ac:dyDescent="0.25">
      <c r="A51" s="48" t="s">
        <v>58</v>
      </c>
      <c r="B51" s="49">
        <f t="shared" ref="B51:F51" si="26">B41*0.01%</f>
        <v>-41.313895000000002</v>
      </c>
      <c r="C51" s="49">
        <f t="shared" ref="C51" si="27">C41*0.01%</f>
        <v>-174.62806900000001</v>
      </c>
      <c r="D51" s="49">
        <f t="shared" ref="D51" si="28">D41*0.01%</f>
        <v>-14.765988999999999</v>
      </c>
      <c r="E51" s="49">
        <f t="shared" si="26"/>
        <v>-12.375750999999999</v>
      </c>
      <c r="F51" s="49">
        <f t="shared" si="26"/>
        <v>-10.936318999999999</v>
      </c>
      <c r="G51" s="49">
        <f>G41*0.01%</f>
        <v>-9.815474</v>
      </c>
      <c r="H51" s="49">
        <f t="shared" ref="H51" si="29">H41*0.01%</f>
        <v>-11.777595999999999</v>
      </c>
      <c r="I51" s="49">
        <f>I41*0.01%</f>
        <v>-12.330567</v>
      </c>
      <c r="J51" s="49">
        <f t="shared" ref="J51:O51" si="30">J41*0.01%</f>
        <v>0</v>
      </c>
      <c r="K51" s="49">
        <f t="shared" si="30"/>
        <v>0</v>
      </c>
      <c r="L51" s="49">
        <f t="shared" si="30"/>
        <v>0</v>
      </c>
      <c r="M51" s="49">
        <f t="shared" si="30"/>
        <v>0</v>
      </c>
      <c r="N51" s="49">
        <f t="shared" si="30"/>
        <v>0</v>
      </c>
      <c r="O51" s="49">
        <f t="shared" si="30"/>
        <v>0</v>
      </c>
      <c r="P51" s="20">
        <f t="shared" ref="P51" si="31">SUM(B51:O51)</f>
        <v>-287.94366000000002</v>
      </c>
      <c r="Q51" s="21"/>
      <c r="S51" s="98">
        <f t="shared" si="0"/>
        <v>-287.94366000000002</v>
      </c>
      <c r="T51" s="98">
        <f t="shared" si="1"/>
        <v>0</v>
      </c>
      <c r="U51" s="98">
        <f t="shared" si="2"/>
        <v>-246.62976500000002</v>
      </c>
    </row>
    <row r="52" spans="1:21" x14ac:dyDescent="0.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4"/>
      <c r="S52" s="98">
        <f t="shared" si="0"/>
        <v>0</v>
      </c>
      <c r="T52" s="98">
        <f t="shared" si="1"/>
        <v>0</v>
      </c>
      <c r="U52" s="98">
        <f t="shared" si="2"/>
        <v>0</v>
      </c>
    </row>
    <row r="53" spans="1:21" x14ac:dyDescent="0.25">
      <c r="A53" s="39" t="s">
        <v>183</v>
      </c>
      <c r="B53" s="58">
        <f t="shared" ref="B53:H53" si="32">B43+B49+B51+B45+B47</f>
        <v>-436150.78951500007</v>
      </c>
      <c r="C53" s="58">
        <f t="shared" ref="C53" si="33">C43+C49+C51+C45+C47</f>
        <v>-1843548.524433</v>
      </c>
      <c r="D53" s="58">
        <f t="shared" ref="D53" si="34">D43+D49+D51+D45+D47</f>
        <v>-155884.545873</v>
      </c>
      <c r="E53" s="58">
        <f t="shared" si="32"/>
        <v>-130650.80330699999</v>
      </c>
      <c r="F53" s="58">
        <f t="shared" si="32"/>
        <v>-115454.71968299999</v>
      </c>
      <c r="G53" s="58">
        <f t="shared" si="32"/>
        <v>-103621.95901799999</v>
      </c>
      <c r="H53" s="58">
        <f t="shared" si="32"/>
        <v>-124336.080972</v>
      </c>
      <c r="I53" s="58">
        <f>I43+I49+I51+I45+I47</f>
        <v>-130173.79581899999</v>
      </c>
      <c r="J53" s="58">
        <f>J43+J49+J51+J45+J47</f>
        <v>0</v>
      </c>
      <c r="K53" s="58">
        <f>K43+K49+K51+K45+K47</f>
        <v>0</v>
      </c>
      <c r="L53" s="58">
        <f>L43+L49+L51+L45+L47</f>
        <v>0</v>
      </c>
      <c r="M53" s="58">
        <f t="shared" ref="M53" si="35">M43+M49+M51+M45+M47</f>
        <v>0</v>
      </c>
      <c r="N53" s="58">
        <f>N43+N49+N51+N45+N47</f>
        <v>0</v>
      </c>
      <c r="O53" s="58">
        <f>O43+O49+O51+O45+O47</f>
        <v>0</v>
      </c>
      <c r="P53" s="154">
        <f>SUM(B53:O53)</f>
        <v>-3039821.2186199995</v>
      </c>
      <c r="Q53" s="21"/>
      <c r="S53" s="98">
        <f t="shared" si="0"/>
        <v>-3039821.2186199995</v>
      </c>
      <c r="T53" s="98">
        <f t="shared" si="1"/>
        <v>0</v>
      </c>
      <c r="U53" s="98">
        <f t="shared" si="2"/>
        <v>-2603670.4291049996</v>
      </c>
    </row>
    <row r="54" spans="1:21" x14ac:dyDescent="0.2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</row>
    <row r="55" spans="1:21" x14ac:dyDescent="0.25">
      <c r="A55" s="52" t="s">
        <v>35</v>
      </c>
      <c r="B55" s="13"/>
      <c r="C55" s="13"/>
      <c r="D55" s="13">
        <v>25</v>
      </c>
      <c r="E55" s="13">
        <v>18</v>
      </c>
      <c r="F55" s="13">
        <v>18</v>
      </c>
      <c r="G55" s="13">
        <v>15</v>
      </c>
      <c r="H55" s="13">
        <v>18</v>
      </c>
      <c r="I55" s="13">
        <v>18</v>
      </c>
      <c r="J55" s="13"/>
      <c r="K55" s="13"/>
      <c r="L55" s="13"/>
      <c r="M55" s="13"/>
      <c r="N55" s="13"/>
      <c r="O55" s="13"/>
      <c r="P55" s="53"/>
      <c r="Q55" s="50"/>
    </row>
    <row r="56" spans="1:21" x14ac:dyDescent="0.25">
      <c r="A56" s="81"/>
    </row>
    <row r="57" spans="1:21" x14ac:dyDescent="0.25">
      <c r="A57" s="54" t="s">
        <v>36</v>
      </c>
      <c r="Q57" s="89">
        <v>46203</v>
      </c>
    </row>
    <row r="58" spans="1:21" x14ac:dyDescent="0.25">
      <c r="B58" s="98">
        <f>B12+B41+B45+B47+B49+B51</f>
        <v>-436150.78951500007</v>
      </c>
      <c r="C58" s="98">
        <f>C12+C41+C45+C47+C49+C51</f>
        <v>-1843548.524433</v>
      </c>
      <c r="D58" s="98">
        <f t="shared" ref="D58" si="36">D12+D41+D45+D47+D49+D51</f>
        <v>-155884.545873</v>
      </c>
      <c r="E58" s="98">
        <f t="shared" ref="E58:I58" si="37">E12+E41+E45+E47+E49+E51</f>
        <v>-130650.80330699999</v>
      </c>
      <c r="F58" s="98">
        <f t="shared" si="37"/>
        <v>-115454.71968299999</v>
      </c>
      <c r="G58" s="98">
        <f t="shared" si="37"/>
        <v>-103621.95901799999</v>
      </c>
      <c r="H58" s="98">
        <f t="shared" si="37"/>
        <v>-124336.080972</v>
      </c>
      <c r="I58" s="98">
        <f t="shared" si="37"/>
        <v>-130173.79581899999</v>
      </c>
      <c r="J58" s="98">
        <f t="shared" ref="J58:O58" si="38">J12+J41+J45+J47+J49+J51</f>
        <v>0</v>
      </c>
      <c r="K58" s="98">
        <f t="shared" si="38"/>
        <v>0</v>
      </c>
      <c r="L58" s="98">
        <f t="shared" si="38"/>
        <v>0</v>
      </c>
      <c r="M58" s="98">
        <f t="shared" si="38"/>
        <v>0</v>
      </c>
      <c r="N58" s="98">
        <f t="shared" si="38"/>
        <v>0</v>
      </c>
      <c r="O58" s="98">
        <f t="shared" si="38"/>
        <v>0</v>
      </c>
      <c r="P58" s="98">
        <f>P12+P41+P45+P47+P49+P51</f>
        <v>-3039821.2186199999</v>
      </c>
    </row>
    <row r="60" spans="1:21" x14ac:dyDescent="0.25">
      <c r="B60" s="98">
        <f>B58-B53</f>
        <v>0</v>
      </c>
      <c r="C60" s="98">
        <f>C58-C53</f>
        <v>0</v>
      </c>
      <c r="D60" s="98">
        <f t="shared" ref="D60" si="39">D58-D53</f>
        <v>0</v>
      </c>
      <c r="E60" s="98">
        <f t="shared" ref="E60:P60" si="40">E58-E53</f>
        <v>0</v>
      </c>
      <c r="F60" s="98">
        <f t="shared" si="40"/>
        <v>0</v>
      </c>
      <c r="G60" s="98">
        <f t="shared" si="40"/>
        <v>0</v>
      </c>
      <c r="H60" s="98">
        <f t="shared" si="40"/>
        <v>0</v>
      </c>
      <c r="I60" s="98">
        <f t="shared" si="40"/>
        <v>0</v>
      </c>
      <c r="J60" s="98">
        <f t="shared" ref="J60:O60" si="41">J58-J53</f>
        <v>0</v>
      </c>
      <c r="K60" s="98">
        <f t="shared" si="41"/>
        <v>0</v>
      </c>
      <c r="L60" s="98">
        <f t="shared" si="41"/>
        <v>0</v>
      </c>
      <c r="M60" s="98">
        <f t="shared" si="41"/>
        <v>0</v>
      </c>
      <c r="N60" s="98">
        <f t="shared" si="41"/>
        <v>0</v>
      </c>
      <c r="O60" s="98">
        <f t="shared" si="41"/>
        <v>0</v>
      </c>
      <c r="P60" s="98">
        <f t="shared" si="40"/>
        <v>0</v>
      </c>
    </row>
  </sheetData>
  <mergeCells count="4">
    <mergeCell ref="A6:P6"/>
    <mergeCell ref="A4:P4"/>
    <mergeCell ref="A2:P2"/>
    <mergeCell ref="A1:P1"/>
  </mergeCells>
  <conditionalFormatting sqref="B53:D53">
    <cfRule type="cellIs" dxfId="25" priority="3" operator="lessThan">
      <formula>0</formula>
    </cfRule>
    <cfRule type="cellIs" dxfId="24" priority="4" operator="greaterThan">
      <formula>0</formula>
    </cfRule>
  </conditionalFormatting>
  <conditionalFormatting sqref="F53">
    <cfRule type="cellIs" dxfId="23" priority="1" operator="lessThan">
      <formula>0</formula>
    </cfRule>
    <cfRule type="cellIs" dxfId="22" priority="2" operator="greaterThan">
      <formula>0</formula>
    </cfRule>
  </conditionalFormatting>
  <printOptions horizontalCentered="1" verticalCentered="1"/>
  <pageMargins left="0" right="0" top="0.11811023622047245" bottom="0" header="0.11811023622047245" footer="0"/>
  <pageSetup paperSize="9" scale="72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A1:S59"/>
  <sheetViews>
    <sheetView zoomScale="85" zoomScaleNormal="85" workbookViewId="0">
      <pane xSplit="1" topLeftCell="F1" activePane="topRight" state="frozen"/>
      <selection activeCell="E22" sqref="E22"/>
      <selection pane="topRight" activeCell="G28" sqref="G28"/>
    </sheetView>
  </sheetViews>
  <sheetFormatPr defaultRowHeight="15" x14ac:dyDescent="0.25"/>
  <cols>
    <col min="1" max="1" width="44" customWidth="1"/>
    <col min="2" max="2" width="19" bestFit="1" customWidth="1"/>
    <col min="3" max="3" width="16.28515625" customWidth="1"/>
    <col min="4" max="4" width="16.28515625" bestFit="1" customWidth="1"/>
    <col min="5" max="5" width="16.5703125" customWidth="1"/>
    <col min="6" max="6" width="16.140625" customWidth="1"/>
    <col min="7" max="7" width="14.7109375" customWidth="1"/>
    <col min="8" max="8" width="16.85546875" customWidth="1"/>
    <col min="9" max="13" width="16.7109375" customWidth="1"/>
    <col min="14" max="14" width="16.7109375" hidden="1" customWidth="1"/>
    <col min="15" max="15" width="19.140625" customWidth="1"/>
    <col min="16" max="16" width="11.85546875" bestFit="1" customWidth="1"/>
    <col min="17" max="17" width="3.140625" customWidth="1"/>
    <col min="18" max="18" width="16" bestFit="1" customWidth="1"/>
  </cols>
  <sheetData>
    <row r="1" spans="1:19" ht="15.75" x14ac:dyDescent="0.25">
      <c r="A1" s="1"/>
      <c r="B1" s="203" t="s">
        <v>278</v>
      </c>
      <c r="C1" s="203"/>
      <c r="D1" s="203"/>
      <c r="E1" s="203"/>
      <c r="F1" s="203"/>
      <c r="G1" s="203"/>
    </row>
    <row r="2" spans="1:19" ht="11.25" customHeight="1" x14ac:dyDescent="0.25">
      <c r="A2" s="71"/>
    </row>
    <row r="3" spans="1:19" ht="15.75" x14ac:dyDescent="0.25">
      <c r="A3" s="1"/>
      <c r="B3" s="203" t="s">
        <v>279</v>
      </c>
      <c r="C3" s="203"/>
      <c r="D3" s="203"/>
      <c r="E3" s="203"/>
      <c r="F3" s="203"/>
      <c r="G3" s="203"/>
      <c r="H3" s="203"/>
    </row>
    <row r="4" spans="1:19" ht="10.5" customHeight="1" x14ac:dyDescent="0.25">
      <c r="A4" s="71"/>
    </row>
    <row r="5" spans="1:19" ht="22.5" customHeight="1" x14ac:dyDescent="0.25">
      <c r="A5" s="88"/>
      <c r="B5" s="209" t="s">
        <v>293</v>
      </c>
      <c r="C5" s="209"/>
      <c r="D5" s="209"/>
      <c r="E5" s="209"/>
      <c r="F5" s="209"/>
      <c r="G5" s="209"/>
      <c r="H5" s="209"/>
    </row>
    <row r="6" spans="1:19" x14ac:dyDescent="0.25">
      <c r="A6" s="10"/>
    </row>
    <row r="7" spans="1:19" x14ac:dyDescent="0.25">
      <c r="A7" s="12"/>
      <c r="B7" s="60" t="s">
        <v>229</v>
      </c>
      <c r="C7" s="60" t="s">
        <v>228</v>
      </c>
      <c r="D7" s="60" t="s">
        <v>242</v>
      </c>
      <c r="E7" s="60" t="s">
        <v>244</v>
      </c>
      <c r="F7" s="60" t="s">
        <v>247</v>
      </c>
      <c r="G7" s="60" t="s">
        <v>248</v>
      </c>
      <c r="H7" s="60" t="s">
        <v>249</v>
      </c>
      <c r="I7" s="60" t="s">
        <v>258</v>
      </c>
      <c r="J7" s="60" t="s">
        <v>259</v>
      </c>
      <c r="K7" s="60" t="s">
        <v>260</v>
      </c>
      <c r="L7" s="60" t="s">
        <v>261</v>
      </c>
      <c r="M7" s="60" t="s">
        <v>262</v>
      </c>
      <c r="N7" s="60" t="s">
        <v>263</v>
      </c>
      <c r="O7" s="13" t="s">
        <v>1</v>
      </c>
      <c r="P7" s="14" t="s">
        <v>2</v>
      </c>
    </row>
    <row r="8" spans="1:19" x14ac:dyDescent="0.25">
      <c r="A8" s="15" t="s">
        <v>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  <c r="P8" s="18"/>
    </row>
    <row r="9" spans="1:19" x14ac:dyDescent="0.25">
      <c r="A9" s="78" t="s">
        <v>4</v>
      </c>
      <c r="B9" s="19">
        <v>420554.05</v>
      </c>
      <c r="C9" s="19">
        <v>60479.13</v>
      </c>
      <c r="D9" s="19">
        <v>162557.88</v>
      </c>
      <c r="E9" s="19">
        <v>59075.31</v>
      </c>
      <c r="F9" s="19">
        <v>75649.02</v>
      </c>
      <c r="G9" s="19">
        <v>81660.63</v>
      </c>
      <c r="H9" s="19">
        <v>82680.52</v>
      </c>
      <c r="I9" s="19">
        <v>80382.75</v>
      </c>
      <c r="J9" s="19">
        <v>21000</v>
      </c>
      <c r="K9" s="19">
        <v>14750.89</v>
      </c>
      <c r="L9" s="19">
        <v>0</v>
      </c>
      <c r="M9" s="19">
        <v>0</v>
      </c>
      <c r="N9" s="19">
        <v>0</v>
      </c>
      <c r="O9" s="20">
        <f>B9+C9+D9+E9+F9+G9+H9+I9+J9+K9+L9+M9+N9</f>
        <v>1058790.1800000002</v>
      </c>
      <c r="P9" s="21">
        <v>1</v>
      </c>
      <c r="R9" s="98">
        <f>SUM(B9:N9)</f>
        <v>1058790.1800000002</v>
      </c>
      <c r="S9" s="98">
        <f>R9-O9</f>
        <v>0</v>
      </c>
    </row>
    <row r="10" spans="1:19" x14ac:dyDescent="0.25">
      <c r="A10" s="15" t="s">
        <v>5</v>
      </c>
      <c r="B10" s="22">
        <v>0</v>
      </c>
      <c r="C10" s="22">
        <v>0</v>
      </c>
      <c r="D10" s="22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20">
        <f>B10+C10+D10+E10+F10+G10+H10+I10+J10+K10+L10+M10+N10</f>
        <v>0</v>
      </c>
      <c r="P10" s="21"/>
      <c r="R10" s="98">
        <f t="shared" ref="R10:R52" si="0">SUM(B10:N10)</f>
        <v>0</v>
      </c>
      <c r="S10" s="98">
        <f t="shared" ref="S10:S52" si="1">R10-O10</f>
        <v>0</v>
      </c>
    </row>
    <row r="11" spans="1:19" x14ac:dyDescent="0.25">
      <c r="A11" s="23" t="s">
        <v>6</v>
      </c>
      <c r="B11" s="24">
        <f t="shared" ref="B11:N11" si="2">SUM(B9:B10)</f>
        <v>420554.05</v>
      </c>
      <c r="C11" s="24">
        <f t="shared" ref="C11" si="3">SUM(C9:C10)</f>
        <v>60479.13</v>
      </c>
      <c r="D11" s="24">
        <f t="shared" si="2"/>
        <v>162557.88</v>
      </c>
      <c r="E11" s="24">
        <f t="shared" si="2"/>
        <v>59075.31</v>
      </c>
      <c r="F11" s="24">
        <f t="shared" si="2"/>
        <v>75649.02</v>
      </c>
      <c r="G11" s="24">
        <f t="shared" si="2"/>
        <v>81660.63</v>
      </c>
      <c r="H11" s="24">
        <f t="shared" si="2"/>
        <v>82680.52</v>
      </c>
      <c r="I11" s="24">
        <f t="shared" si="2"/>
        <v>80382.75</v>
      </c>
      <c r="J11" s="24">
        <f t="shared" si="2"/>
        <v>21000</v>
      </c>
      <c r="K11" s="24">
        <f t="shared" si="2"/>
        <v>14750.89</v>
      </c>
      <c r="L11" s="24">
        <f t="shared" si="2"/>
        <v>0</v>
      </c>
      <c r="M11" s="24">
        <f t="shared" si="2"/>
        <v>0</v>
      </c>
      <c r="N11" s="24">
        <f t="shared" si="2"/>
        <v>0</v>
      </c>
      <c r="O11" s="24">
        <f>SUM(O9:O10)</f>
        <v>1058790.1800000002</v>
      </c>
      <c r="P11" s="21">
        <v>1</v>
      </c>
      <c r="R11" s="98">
        <f t="shared" si="0"/>
        <v>1058790.1800000002</v>
      </c>
      <c r="S11" s="98">
        <f t="shared" si="1"/>
        <v>0</v>
      </c>
    </row>
    <row r="12" spans="1:19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/>
      <c r="P12" s="28"/>
      <c r="R12" s="98">
        <f t="shared" si="0"/>
        <v>0</v>
      </c>
      <c r="S12" s="98">
        <f t="shared" si="1"/>
        <v>0</v>
      </c>
    </row>
    <row r="13" spans="1:19" x14ac:dyDescent="0.25">
      <c r="A13" s="29" t="s">
        <v>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  <c r="P13" s="31"/>
      <c r="R13" s="98">
        <f t="shared" si="0"/>
        <v>0</v>
      </c>
      <c r="S13" s="98">
        <f t="shared" si="1"/>
        <v>0</v>
      </c>
    </row>
    <row r="14" spans="1:19" x14ac:dyDescent="0.25">
      <c r="A14" s="15" t="s">
        <v>8</v>
      </c>
      <c r="B14" s="32">
        <v>-49597.05</v>
      </c>
      <c r="C14" s="32">
        <v>-10312.84</v>
      </c>
      <c r="D14" s="32">
        <v>-11068.3</v>
      </c>
      <c r="E14" s="32">
        <v>-5084.7700000000004</v>
      </c>
      <c r="F14" s="32">
        <v>-3765.98</v>
      </c>
      <c r="G14" s="32">
        <v>-2927.89</v>
      </c>
      <c r="H14" s="32">
        <v>-3132.71</v>
      </c>
      <c r="I14" s="32">
        <v>-2266.9299999999998</v>
      </c>
      <c r="J14" s="32">
        <v>-741</v>
      </c>
      <c r="K14" s="32">
        <v>0</v>
      </c>
      <c r="L14" s="32">
        <v>0</v>
      </c>
      <c r="M14" s="32">
        <v>0</v>
      </c>
      <c r="N14" s="32">
        <v>0</v>
      </c>
      <c r="O14" s="20">
        <f>B14+C14+D14+E14+F14+G14+H14+I14+J14+K14+L14+M14+N14</f>
        <v>-88897.47</v>
      </c>
      <c r="P14" s="21">
        <f>-O14/$O$11</f>
        <v>8.3961366169829785E-2</v>
      </c>
      <c r="R14" s="98">
        <f t="shared" si="0"/>
        <v>-88897.47</v>
      </c>
      <c r="S14" s="98">
        <f>R14-O14</f>
        <v>0</v>
      </c>
    </row>
    <row r="15" spans="1:19" x14ac:dyDescent="0.25">
      <c r="A15" s="33" t="s">
        <v>9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20">
        <f t="shared" ref="O15:O39" si="4">B15+C15+D15+E15+F15+G15+H15+I15+J15+K15+L15+M15+N15</f>
        <v>0</v>
      </c>
      <c r="P15" s="21">
        <f t="shared" ref="P15:P50" si="5">-O15/$O$11</f>
        <v>0</v>
      </c>
      <c r="R15" s="98">
        <f t="shared" si="0"/>
        <v>0</v>
      </c>
      <c r="S15" s="98">
        <f t="shared" si="1"/>
        <v>0</v>
      </c>
    </row>
    <row r="16" spans="1:19" x14ac:dyDescent="0.25">
      <c r="A16" s="15" t="s">
        <v>10</v>
      </c>
      <c r="B16" s="32">
        <v>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20">
        <f t="shared" si="4"/>
        <v>0</v>
      </c>
      <c r="P16" s="21">
        <f t="shared" si="5"/>
        <v>0</v>
      </c>
      <c r="R16" s="98">
        <f t="shared" si="0"/>
        <v>0</v>
      </c>
      <c r="S16" s="98">
        <f t="shared" si="1"/>
        <v>0</v>
      </c>
    </row>
    <row r="17" spans="1:19" x14ac:dyDescent="0.25">
      <c r="A17" s="33" t="s">
        <v>11</v>
      </c>
      <c r="B17" s="32">
        <v>-1932.52</v>
      </c>
      <c r="C17" s="32">
        <v>-95.4</v>
      </c>
      <c r="D17" s="32">
        <v>0</v>
      </c>
      <c r="E17" s="32">
        <v>-219.08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20">
        <f t="shared" si="4"/>
        <v>-2247</v>
      </c>
      <c r="P17" s="21">
        <f t="shared" si="5"/>
        <v>2.1222335099481179E-3</v>
      </c>
      <c r="R17" s="98">
        <f t="shared" si="0"/>
        <v>-2247</v>
      </c>
      <c r="S17" s="98">
        <f t="shared" si="1"/>
        <v>0</v>
      </c>
    </row>
    <row r="18" spans="1:19" x14ac:dyDescent="0.25">
      <c r="A18" s="15" t="s">
        <v>12</v>
      </c>
      <c r="B18" s="32">
        <v>-27832.639999999999</v>
      </c>
      <c r="C18" s="32">
        <v>-4904.76</v>
      </c>
      <c r="D18" s="32">
        <v>-2826.18</v>
      </c>
      <c r="E18" s="32">
        <v>-1868.13</v>
      </c>
      <c r="F18" s="32">
        <v>-864.39</v>
      </c>
      <c r="G18" s="32">
        <v>-631.41999999999996</v>
      </c>
      <c r="H18" s="32">
        <v>-947.13</v>
      </c>
      <c r="I18" s="32">
        <v>-279.93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20">
        <f t="shared" si="4"/>
        <v>-40154.579999999994</v>
      </c>
      <c r="P18" s="21">
        <f t="shared" si="5"/>
        <v>3.7924964509965506E-2</v>
      </c>
      <c r="R18" s="98">
        <f t="shared" si="0"/>
        <v>-40154.579999999994</v>
      </c>
      <c r="S18" s="98">
        <f t="shared" si="1"/>
        <v>0</v>
      </c>
    </row>
    <row r="19" spans="1:19" x14ac:dyDescent="0.25">
      <c r="A19" s="15" t="s">
        <v>13</v>
      </c>
      <c r="B19" s="32">
        <v>-17696.5</v>
      </c>
      <c r="C19" s="32">
        <v>-2643.07</v>
      </c>
      <c r="D19" s="32">
        <v>-2129.2800000000002</v>
      </c>
      <c r="E19" s="32">
        <v>-1551.99</v>
      </c>
      <c r="F19" s="32">
        <v>-546.37</v>
      </c>
      <c r="G19" s="32">
        <v>-602.04999999999995</v>
      </c>
      <c r="H19" s="32">
        <v>-728.45</v>
      </c>
      <c r="I19" s="32">
        <v>-210.43</v>
      </c>
      <c r="J19" s="32">
        <v>-284.24</v>
      </c>
      <c r="K19" s="32">
        <v>0</v>
      </c>
      <c r="L19" s="32">
        <v>0</v>
      </c>
      <c r="M19" s="32">
        <v>0</v>
      </c>
      <c r="N19" s="32">
        <v>0</v>
      </c>
      <c r="O19" s="20">
        <f t="shared" si="4"/>
        <v>-26392.38</v>
      </c>
      <c r="P19" s="21">
        <f t="shared" si="5"/>
        <v>2.4926921781613046E-2</v>
      </c>
      <c r="R19" s="98">
        <f t="shared" si="0"/>
        <v>-26392.38</v>
      </c>
      <c r="S19" s="98">
        <f t="shared" si="1"/>
        <v>0</v>
      </c>
    </row>
    <row r="20" spans="1:19" x14ac:dyDescent="0.25">
      <c r="A20" s="15" t="s">
        <v>14</v>
      </c>
      <c r="B20" s="32">
        <v>-13283.91</v>
      </c>
      <c r="C20" s="32">
        <v>-1025.05</v>
      </c>
      <c r="D20" s="32">
        <v>-1149.07</v>
      </c>
      <c r="E20" s="32">
        <v>-1206.4100000000001</v>
      </c>
      <c r="F20" s="32">
        <v>-255.86</v>
      </c>
      <c r="G20" s="32">
        <v>-772.82</v>
      </c>
      <c r="H20" s="32">
        <v>-157.13999999999999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20">
        <f t="shared" si="4"/>
        <v>-17850.259999999998</v>
      </c>
      <c r="P20" s="21">
        <f t="shared" si="5"/>
        <v>1.6859109894653532E-2</v>
      </c>
      <c r="R20" s="98">
        <f t="shared" si="0"/>
        <v>-17850.259999999998</v>
      </c>
      <c r="S20" s="98">
        <f t="shared" si="1"/>
        <v>0</v>
      </c>
    </row>
    <row r="21" spans="1:19" x14ac:dyDescent="0.25">
      <c r="A21" s="15" t="s">
        <v>15</v>
      </c>
      <c r="B21" s="32">
        <v>0</v>
      </c>
      <c r="C21" s="32">
        <v>-2514.06</v>
      </c>
      <c r="D21" s="32">
        <v>0</v>
      </c>
      <c r="E21" s="32">
        <v>0</v>
      </c>
      <c r="F21" s="32">
        <v>-448.33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20">
        <f t="shared" si="4"/>
        <v>-2962.39</v>
      </c>
      <c r="P21" s="21">
        <f t="shared" si="5"/>
        <v>2.7979009023298643E-3</v>
      </c>
      <c r="R21" s="98">
        <f t="shared" si="0"/>
        <v>-2962.39</v>
      </c>
      <c r="S21" s="98">
        <f t="shared" si="1"/>
        <v>0</v>
      </c>
    </row>
    <row r="22" spans="1:19" x14ac:dyDescent="0.25">
      <c r="A22" s="15" t="s">
        <v>16</v>
      </c>
      <c r="B22" s="32">
        <v>0</v>
      </c>
      <c r="C22" s="32">
        <v>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20">
        <f t="shared" si="4"/>
        <v>0</v>
      </c>
      <c r="P22" s="21">
        <f t="shared" si="5"/>
        <v>0</v>
      </c>
      <c r="R22" s="98">
        <f t="shared" si="0"/>
        <v>0</v>
      </c>
      <c r="S22" s="98">
        <f t="shared" si="1"/>
        <v>0</v>
      </c>
    </row>
    <row r="23" spans="1:19" x14ac:dyDescent="0.25">
      <c r="A23" s="15" t="s">
        <v>17</v>
      </c>
      <c r="B23" s="32">
        <v>-20733.32</v>
      </c>
      <c r="C23" s="32">
        <v>-5190.1899999999996</v>
      </c>
      <c r="D23" s="32">
        <v>-3830.94</v>
      </c>
      <c r="E23" s="32">
        <v>-2956.08</v>
      </c>
      <c r="F23" s="32">
        <v>-1819.74</v>
      </c>
      <c r="G23" s="32">
        <v>-1065.97</v>
      </c>
      <c r="H23" s="32">
        <v>-1343.83</v>
      </c>
      <c r="I23" s="32">
        <v>-362.83</v>
      </c>
      <c r="J23" s="32">
        <v>-442.83</v>
      </c>
      <c r="K23" s="32">
        <v>0</v>
      </c>
      <c r="L23" s="32">
        <v>0</v>
      </c>
      <c r="M23" s="32">
        <v>0</v>
      </c>
      <c r="N23" s="32">
        <v>0</v>
      </c>
      <c r="O23" s="20">
        <f t="shared" si="4"/>
        <v>-37745.730000000003</v>
      </c>
      <c r="P23" s="21">
        <f t="shared" si="5"/>
        <v>3.5649867852004441E-2</v>
      </c>
      <c r="R23" s="98">
        <f t="shared" si="0"/>
        <v>-37745.730000000003</v>
      </c>
      <c r="S23" s="98">
        <f t="shared" si="1"/>
        <v>0</v>
      </c>
    </row>
    <row r="24" spans="1:19" x14ac:dyDescent="0.25">
      <c r="A24" s="15" t="s">
        <v>18</v>
      </c>
      <c r="B24" s="32">
        <v>-3030.2</v>
      </c>
      <c r="C24" s="32">
        <v>-494.04</v>
      </c>
      <c r="D24" s="32">
        <v>-494.04</v>
      </c>
      <c r="E24" s="32">
        <v>-494.04</v>
      </c>
      <c r="F24" s="32">
        <v>-700</v>
      </c>
      <c r="G24" s="32">
        <v>-1531.36</v>
      </c>
      <c r="H24" s="32">
        <v>-1062.74</v>
      </c>
      <c r="I24" s="32">
        <v>-325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20">
        <f t="shared" si="4"/>
        <v>-8131.4199999999992</v>
      </c>
      <c r="P24" s="21">
        <f t="shared" si="5"/>
        <v>7.6799163362093123E-3</v>
      </c>
      <c r="R24" s="98">
        <f t="shared" si="0"/>
        <v>-8131.4199999999992</v>
      </c>
      <c r="S24" s="98">
        <f t="shared" si="1"/>
        <v>0</v>
      </c>
    </row>
    <row r="25" spans="1:19" x14ac:dyDescent="0.25">
      <c r="A25" s="15" t="s">
        <v>19</v>
      </c>
      <c r="B25" s="32">
        <v>-15140.12</v>
      </c>
      <c r="C25" s="32">
        <v>-2740.92</v>
      </c>
      <c r="D25" s="32">
        <v>-3500.17</v>
      </c>
      <c r="E25" s="32">
        <v>-2881.39</v>
      </c>
      <c r="F25" s="32">
        <v>-2046.52</v>
      </c>
      <c r="G25" s="32">
        <v>-2180</v>
      </c>
      <c r="H25" s="32">
        <v>-1838</v>
      </c>
      <c r="I25" s="32">
        <v>-2663</v>
      </c>
      <c r="J25" s="32">
        <v>-237.09</v>
      </c>
      <c r="K25" s="32">
        <v>0</v>
      </c>
      <c r="L25" s="32">
        <v>0</v>
      </c>
      <c r="M25" s="32">
        <v>0</v>
      </c>
      <c r="N25" s="32">
        <v>0</v>
      </c>
      <c r="O25" s="20">
        <f t="shared" si="4"/>
        <v>-33227.209999999992</v>
      </c>
      <c r="P25" s="21">
        <f t="shared" si="5"/>
        <v>3.1382242324914635E-2</v>
      </c>
      <c r="R25" s="98">
        <f t="shared" si="0"/>
        <v>-33227.209999999992</v>
      </c>
      <c r="S25" s="98">
        <f t="shared" si="1"/>
        <v>0</v>
      </c>
    </row>
    <row r="26" spans="1:19" x14ac:dyDescent="0.25">
      <c r="A26" s="15" t="s">
        <v>20</v>
      </c>
      <c r="B26" s="32">
        <v>0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20">
        <f t="shared" si="4"/>
        <v>0</v>
      </c>
      <c r="P26" s="21">
        <f t="shared" si="5"/>
        <v>0</v>
      </c>
      <c r="R26" s="98">
        <f t="shared" si="0"/>
        <v>0</v>
      </c>
      <c r="S26" s="98">
        <f t="shared" si="1"/>
        <v>0</v>
      </c>
    </row>
    <row r="27" spans="1:19" x14ac:dyDescent="0.25">
      <c r="A27" s="15" t="s">
        <v>59</v>
      </c>
      <c r="B27" s="32">
        <v>0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20">
        <f t="shared" si="4"/>
        <v>0</v>
      </c>
      <c r="P27" s="21">
        <f t="shared" si="5"/>
        <v>0</v>
      </c>
      <c r="R27" s="98">
        <f t="shared" si="0"/>
        <v>0</v>
      </c>
      <c r="S27" s="98">
        <f t="shared" si="1"/>
        <v>0</v>
      </c>
    </row>
    <row r="28" spans="1:19" x14ac:dyDescent="0.25">
      <c r="A28" s="15" t="s">
        <v>21</v>
      </c>
      <c r="B28" s="32">
        <v>-2925</v>
      </c>
      <c r="C28" s="32">
        <v>-225</v>
      </c>
      <c r="D28" s="32">
        <v>-450</v>
      </c>
      <c r="E28" s="32">
        <v>-270</v>
      </c>
      <c r="F28" s="32">
        <v>-450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20">
        <f t="shared" si="4"/>
        <v>-4320</v>
      </c>
      <c r="P28" s="21">
        <f t="shared" si="5"/>
        <v>4.08012851044765E-3</v>
      </c>
      <c r="R28" s="98">
        <f t="shared" si="0"/>
        <v>-4320</v>
      </c>
      <c r="S28" s="98">
        <f t="shared" si="1"/>
        <v>0</v>
      </c>
    </row>
    <row r="29" spans="1:19" x14ac:dyDescent="0.25">
      <c r="A29" s="15" t="s">
        <v>22</v>
      </c>
      <c r="B29" s="32">
        <v>0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20">
        <f t="shared" si="4"/>
        <v>0</v>
      </c>
      <c r="P29" s="21">
        <f t="shared" si="5"/>
        <v>0</v>
      </c>
      <c r="R29" s="98">
        <f t="shared" si="0"/>
        <v>0</v>
      </c>
      <c r="S29" s="98">
        <f t="shared" si="1"/>
        <v>0</v>
      </c>
    </row>
    <row r="30" spans="1:19" x14ac:dyDescent="0.25">
      <c r="A30" s="33" t="s">
        <v>23</v>
      </c>
      <c r="B30" s="32">
        <v>-5301.03</v>
      </c>
      <c r="C30" s="32">
        <v>-51.98</v>
      </c>
      <c r="D30" s="32">
        <v>-18.87</v>
      </c>
      <c r="E30" s="32">
        <v>-212.72</v>
      </c>
      <c r="F30" s="32">
        <v>-121.29</v>
      </c>
      <c r="G30" s="32">
        <v>0</v>
      </c>
      <c r="H30" s="32">
        <v>-7.59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20">
        <f t="shared" si="4"/>
        <v>-5713.48</v>
      </c>
      <c r="P30" s="21">
        <f t="shared" si="5"/>
        <v>5.3962344078408424E-3</v>
      </c>
      <c r="R30" s="98">
        <f t="shared" si="0"/>
        <v>-5713.48</v>
      </c>
      <c r="S30" s="98">
        <f t="shared" si="1"/>
        <v>0</v>
      </c>
    </row>
    <row r="31" spans="1:19" x14ac:dyDescent="0.25">
      <c r="A31" s="15" t="s">
        <v>24</v>
      </c>
      <c r="B31" s="32">
        <v>-69868.009999999995</v>
      </c>
      <c r="C31" s="32">
        <v>-16362.79</v>
      </c>
      <c r="D31" s="32">
        <v>-6457.94</v>
      </c>
      <c r="E31" s="32">
        <v>-5830.84</v>
      </c>
      <c r="F31" s="32">
        <v>-5790</v>
      </c>
      <c r="G31" s="32">
        <v>-2433</v>
      </c>
      <c r="H31" s="32">
        <v>-4988</v>
      </c>
      <c r="I31" s="32">
        <v>-4504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20">
        <f t="shared" si="4"/>
        <v>-116234.57999999999</v>
      </c>
      <c r="P31" s="21">
        <f t="shared" si="5"/>
        <v>0.10978056105507134</v>
      </c>
      <c r="R31" s="98">
        <f t="shared" si="0"/>
        <v>-116234.57999999999</v>
      </c>
      <c r="S31" s="98">
        <f t="shared" si="1"/>
        <v>0</v>
      </c>
    </row>
    <row r="32" spans="1:19" x14ac:dyDescent="0.25">
      <c r="A32" s="34" t="s">
        <v>25</v>
      </c>
      <c r="B32" s="32">
        <v>-200706.06</v>
      </c>
      <c r="C32" s="32">
        <v>-33755.300000000003</v>
      </c>
      <c r="D32" s="32">
        <v>-18963</v>
      </c>
      <c r="E32" s="32">
        <v>-11396.86</v>
      </c>
      <c r="F32" s="32">
        <v>-7381.85</v>
      </c>
      <c r="G32" s="32">
        <v>-6750.79</v>
      </c>
      <c r="H32" s="32">
        <v>-5087.62</v>
      </c>
      <c r="I32" s="32">
        <v>-2665.56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20">
        <f t="shared" si="4"/>
        <v>-286707.03999999992</v>
      </c>
      <c r="P32" s="21">
        <f t="shared" si="5"/>
        <v>0.27078740001158669</v>
      </c>
      <c r="R32" s="98">
        <f t="shared" si="0"/>
        <v>-286707.03999999992</v>
      </c>
      <c r="S32" s="98">
        <f t="shared" si="1"/>
        <v>0</v>
      </c>
    </row>
    <row r="33" spans="1:19" x14ac:dyDescent="0.25">
      <c r="A33" s="15" t="s">
        <v>26</v>
      </c>
      <c r="B33" s="32">
        <v>-1320</v>
      </c>
      <c r="C33" s="32">
        <v>-330</v>
      </c>
      <c r="D33" s="32">
        <v>-330</v>
      </c>
      <c r="E33" s="32">
        <v>-330</v>
      </c>
      <c r="F33" s="32">
        <v>-330</v>
      </c>
      <c r="G33" s="32">
        <v>-330</v>
      </c>
      <c r="H33" s="32">
        <v>-330</v>
      </c>
      <c r="I33" s="32">
        <v>-330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20">
        <f t="shared" si="4"/>
        <v>-3630</v>
      </c>
      <c r="P33" s="21">
        <f t="shared" si="5"/>
        <v>3.4284413178067058E-3</v>
      </c>
      <c r="R33" s="98">
        <f t="shared" si="0"/>
        <v>-3630</v>
      </c>
      <c r="S33" s="98">
        <f t="shared" si="1"/>
        <v>0</v>
      </c>
    </row>
    <row r="34" spans="1:19" x14ac:dyDescent="0.25">
      <c r="A34" s="15" t="s">
        <v>27</v>
      </c>
      <c r="B34" s="32">
        <v>0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20">
        <f t="shared" si="4"/>
        <v>0</v>
      </c>
      <c r="P34" s="21">
        <f t="shared" si="5"/>
        <v>0</v>
      </c>
      <c r="R34" s="98">
        <f t="shared" si="0"/>
        <v>0</v>
      </c>
      <c r="S34" s="98">
        <f t="shared" si="1"/>
        <v>0</v>
      </c>
    </row>
    <row r="35" spans="1:19" x14ac:dyDescent="0.25">
      <c r="A35" s="33" t="s">
        <v>28</v>
      </c>
      <c r="B35" s="32">
        <v>-2279.2399999999998</v>
      </c>
      <c r="C35" s="32">
        <v>-137.69</v>
      </c>
      <c r="D35" s="32">
        <v>-122.04</v>
      </c>
      <c r="E35" s="32">
        <v>-10.01</v>
      </c>
      <c r="F35" s="32">
        <v>-141.41999999999999</v>
      </c>
      <c r="G35" s="32">
        <v>-177.63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20">
        <f t="shared" si="4"/>
        <v>-2868.03</v>
      </c>
      <c r="P35" s="21">
        <f t="shared" si="5"/>
        <v>2.7087803175507349E-3</v>
      </c>
      <c r="R35" s="98">
        <f t="shared" si="0"/>
        <v>-2868.03</v>
      </c>
      <c r="S35" s="98">
        <f t="shared" si="1"/>
        <v>0</v>
      </c>
    </row>
    <row r="36" spans="1:19" x14ac:dyDescent="0.25">
      <c r="A36" s="15" t="s">
        <v>29</v>
      </c>
      <c r="B36" s="32">
        <v>-11741.2</v>
      </c>
      <c r="C36" s="32">
        <v>-3460.8</v>
      </c>
      <c r="D36" s="32">
        <v>-5126.4399999999996</v>
      </c>
      <c r="E36" s="32">
        <v>-2098.3200000000002</v>
      </c>
      <c r="F36" s="32">
        <v>-44.09</v>
      </c>
      <c r="G36" s="32">
        <v>-796.31</v>
      </c>
      <c r="H36" s="32">
        <v>-466.07</v>
      </c>
      <c r="I36" s="32">
        <v>-1187.9100000000001</v>
      </c>
      <c r="J36" s="32">
        <v>-399</v>
      </c>
      <c r="K36" s="32">
        <v>0</v>
      </c>
      <c r="L36" s="32">
        <v>0</v>
      </c>
      <c r="M36" s="32">
        <v>0</v>
      </c>
      <c r="N36" s="32">
        <v>0</v>
      </c>
      <c r="O36" s="20">
        <f t="shared" si="4"/>
        <v>-25320.14</v>
      </c>
      <c r="P36" s="21">
        <f t="shared" si="5"/>
        <v>2.391421877373286E-2</v>
      </c>
      <c r="R36" s="98">
        <f t="shared" si="0"/>
        <v>-25320.14</v>
      </c>
      <c r="S36" s="98">
        <f t="shared" si="1"/>
        <v>0</v>
      </c>
    </row>
    <row r="37" spans="1:19" x14ac:dyDescent="0.25">
      <c r="A37" s="15" t="s">
        <v>276</v>
      </c>
      <c r="B37" s="32">
        <v>-16230.38</v>
      </c>
      <c r="C37" s="32">
        <v>-3678.57</v>
      </c>
      <c r="D37" s="32">
        <v>-2119.63</v>
      </c>
      <c r="E37" s="32">
        <v>-1401.1</v>
      </c>
      <c r="F37" s="32">
        <v>-648.29</v>
      </c>
      <c r="G37" s="32">
        <v>-473.56</v>
      </c>
      <c r="H37" s="32">
        <v>-710.34</v>
      </c>
      <c r="I37" s="32">
        <v>-259.94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20">
        <f t="shared" si="4"/>
        <v>-25521.81</v>
      </c>
      <c r="P37" s="21">
        <f t="shared" si="5"/>
        <v>2.4104690884080543E-2</v>
      </c>
      <c r="R37" s="98">
        <f t="shared" si="0"/>
        <v>-25521.81</v>
      </c>
      <c r="S37" s="98">
        <f t="shared" si="1"/>
        <v>0</v>
      </c>
    </row>
    <row r="38" spans="1:19" x14ac:dyDescent="0.25">
      <c r="A38" s="15" t="s">
        <v>97</v>
      </c>
      <c r="B38" s="32">
        <v>0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20">
        <f t="shared" si="4"/>
        <v>0</v>
      </c>
      <c r="P38" s="21">
        <f t="shared" si="5"/>
        <v>0</v>
      </c>
      <c r="R38" s="98">
        <f t="shared" si="0"/>
        <v>0</v>
      </c>
      <c r="S38" s="98">
        <f t="shared" si="1"/>
        <v>0</v>
      </c>
    </row>
    <row r="39" spans="1:19" x14ac:dyDescent="0.25">
      <c r="A39" s="15" t="s">
        <v>114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20">
        <f t="shared" si="4"/>
        <v>0</v>
      </c>
      <c r="P39" s="21">
        <f t="shared" si="5"/>
        <v>0</v>
      </c>
      <c r="R39" s="98">
        <f t="shared" si="0"/>
        <v>0</v>
      </c>
      <c r="S39" s="98">
        <f t="shared" si="1"/>
        <v>0</v>
      </c>
    </row>
    <row r="40" spans="1:19" x14ac:dyDescent="0.25">
      <c r="A40" s="35" t="s">
        <v>31</v>
      </c>
      <c r="B40" s="36">
        <f>SUM(B14:B39)</f>
        <v>-459617.18</v>
      </c>
      <c r="C40" s="36">
        <f t="shared" ref="C40:N40" si="6">SUM(C14:C39)</f>
        <v>-87922.460000000021</v>
      </c>
      <c r="D40" s="36">
        <f t="shared" si="6"/>
        <v>-58585.9</v>
      </c>
      <c r="E40" s="36">
        <f t="shared" si="6"/>
        <v>-37811.74</v>
      </c>
      <c r="F40" s="36">
        <f t="shared" si="6"/>
        <v>-25354.13</v>
      </c>
      <c r="G40" s="36">
        <f t="shared" si="6"/>
        <v>-20672.800000000003</v>
      </c>
      <c r="H40" s="36">
        <f t="shared" si="6"/>
        <v>-20799.62</v>
      </c>
      <c r="I40" s="36">
        <f t="shared" si="6"/>
        <v>-15055.529999999999</v>
      </c>
      <c r="J40" s="36">
        <f t="shared" si="6"/>
        <v>-2104.16</v>
      </c>
      <c r="K40" s="36">
        <f t="shared" si="6"/>
        <v>0</v>
      </c>
      <c r="L40" s="36">
        <f t="shared" si="6"/>
        <v>0</v>
      </c>
      <c r="M40" s="36">
        <f t="shared" si="6"/>
        <v>0</v>
      </c>
      <c r="N40" s="36">
        <f t="shared" si="6"/>
        <v>0</v>
      </c>
      <c r="O40" s="36">
        <f>SUM(O14:O39)</f>
        <v>-727923.52</v>
      </c>
      <c r="P40" s="21">
        <f t="shared" si="5"/>
        <v>0.6875049785595857</v>
      </c>
      <c r="R40" s="98">
        <f t="shared" si="0"/>
        <v>-727923.52000000014</v>
      </c>
      <c r="S40" s="98">
        <f t="shared" si="1"/>
        <v>0</v>
      </c>
    </row>
    <row r="41" spans="1:19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27"/>
      <c r="P41" s="18"/>
      <c r="R41" s="98">
        <f t="shared" si="0"/>
        <v>0</v>
      </c>
      <c r="S41" s="98">
        <f t="shared" si="1"/>
        <v>0</v>
      </c>
    </row>
    <row r="42" spans="1:19" x14ac:dyDescent="0.25">
      <c r="A42" s="39" t="s">
        <v>32</v>
      </c>
      <c r="B42" s="58">
        <f>B11+B40</f>
        <v>-39063.130000000005</v>
      </c>
      <c r="C42" s="58">
        <f t="shared" ref="C42" si="7">C11+C40</f>
        <v>-27443.330000000024</v>
      </c>
      <c r="D42" s="40">
        <f t="shared" ref="D42:I42" si="8">D11+D40</f>
        <v>103971.98000000001</v>
      </c>
      <c r="E42" s="40">
        <f t="shared" si="8"/>
        <v>21263.57</v>
      </c>
      <c r="F42" s="40">
        <f t="shared" si="8"/>
        <v>50294.89</v>
      </c>
      <c r="G42" s="40">
        <f t="shared" si="8"/>
        <v>60987.83</v>
      </c>
      <c r="H42" s="40">
        <f t="shared" si="8"/>
        <v>61880.900000000009</v>
      </c>
      <c r="I42" s="40">
        <f t="shared" si="8"/>
        <v>65327.22</v>
      </c>
      <c r="J42" s="40">
        <f t="shared" ref="J42:N42" si="9">J11+J40</f>
        <v>18895.84</v>
      </c>
      <c r="K42" s="40">
        <f t="shared" si="9"/>
        <v>14750.89</v>
      </c>
      <c r="L42" s="40">
        <f t="shared" si="9"/>
        <v>0</v>
      </c>
      <c r="M42" s="40">
        <f t="shared" si="9"/>
        <v>0</v>
      </c>
      <c r="N42" s="58">
        <f t="shared" si="9"/>
        <v>0</v>
      </c>
      <c r="O42" s="155">
        <f>B42+C42+D42+E42+F42+G42+H42+I42+J42+K42+L42+M42+N42</f>
        <v>330866.66000000009</v>
      </c>
      <c r="P42" s="21">
        <f>O42/$O$11</f>
        <v>0.31249502144041424</v>
      </c>
      <c r="R42" s="98">
        <f t="shared" si="0"/>
        <v>330866.66000000009</v>
      </c>
      <c r="S42" s="98">
        <f t="shared" si="1"/>
        <v>0</v>
      </c>
    </row>
    <row r="43" spans="1:19" x14ac:dyDescent="0.25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4"/>
      <c r="R43" s="98">
        <f t="shared" si="0"/>
        <v>0</v>
      </c>
      <c r="S43" s="98">
        <f t="shared" si="1"/>
        <v>0</v>
      </c>
    </row>
    <row r="44" spans="1:19" x14ac:dyDescent="0.25">
      <c r="A44" s="29" t="s">
        <v>56</v>
      </c>
      <c r="B44" s="45">
        <f t="shared" ref="B44:C44" si="10">-B9*13.15%</f>
        <v>-55302.857575000002</v>
      </c>
      <c r="C44" s="45">
        <f t="shared" si="10"/>
        <v>-7953.0055949999996</v>
      </c>
      <c r="D44" s="45">
        <f t="shared" ref="D44:F44" si="11">-D9*13.15%</f>
        <v>-21376.361220000003</v>
      </c>
      <c r="E44" s="45">
        <f t="shared" si="11"/>
        <v>-7768.4032649999999</v>
      </c>
      <c r="F44" s="45">
        <f t="shared" si="11"/>
        <v>-9947.8461300000017</v>
      </c>
      <c r="G44" s="45">
        <f>-G9*13.15%</f>
        <v>-10738.372845000002</v>
      </c>
      <c r="H44" s="45">
        <f t="shared" ref="H44:I44" si="12">-H9*13.15%</f>
        <v>-10872.488380000001</v>
      </c>
      <c r="I44" s="45">
        <f t="shared" si="12"/>
        <v>-10570.331625000001</v>
      </c>
      <c r="J44" s="45">
        <f t="shared" ref="J44:N44" si="13">-J9*13.15%</f>
        <v>-2761.5</v>
      </c>
      <c r="K44" s="45">
        <f t="shared" si="13"/>
        <v>-1939.742035</v>
      </c>
      <c r="L44" s="45">
        <f t="shared" si="13"/>
        <v>0</v>
      </c>
      <c r="M44" s="45">
        <f t="shared" si="13"/>
        <v>0</v>
      </c>
      <c r="N44" s="45">
        <f t="shared" si="13"/>
        <v>0</v>
      </c>
      <c r="O44" s="20">
        <f>B44+C44+D44+E44+F44+G44+H44+I44+J44+K44+L44+M44+N44</f>
        <v>-139230.90867</v>
      </c>
      <c r="P44" s="21">
        <f t="shared" si="5"/>
        <v>0.13149999999999998</v>
      </c>
      <c r="R44" s="98">
        <f t="shared" si="0"/>
        <v>-139230.90867</v>
      </c>
      <c r="S44" s="98">
        <f t="shared" si="1"/>
        <v>0</v>
      </c>
    </row>
    <row r="45" spans="1:19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4"/>
      <c r="R45" s="98">
        <f t="shared" si="0"/>
        <v>0</v>
      </c>
      <c r="S45" s="98">
        <f t="shared" si="1"/>
        <v>0</v>
      </c>
    </row>
    <row r="46" spans="1:19" x14ac:dyDescent="0.25">
      <c r="A46" s="29" t="s">
        <v>33</v>
      </c>
      <c r="B46" s="45">
        <f t="shared" ref="B46:I46" si="14">-B9*1.22%</f>
        <v>-5130.7594099999997</v>
      </c>
      <c r="C46" s="45">
        <f t="shared" ref="C46" si="15">-C9*1.22%</f>
        <v>-737.84538599999996</v>
      </c>
      <c r="D46" s="45">
        <f t="shared" si="14"/>
        <v>-1983.2061359999998</v>
      </c>
      <c r="E46" s="45">
        <f t="shared" si="14"/>
        <v>-720.71878199999992</v>
      </c>
      <c r="F46" s="45">
        <f t="shared" si="14"/>
        <v>-922.91804400000001</v>
      </c>
      <c r="G46" s="45">
        <f t="shared" si="14"/>
        <v>-996.25968599999999</v>
      </c>
      <c r="H46" s="45">
        <f t="shared" si="14"/>
        <v>-1008.7023439999999</v>
      </c>
      <c r="I46" s="45">
        <f t="shared" si="14"/>
        <v>-980.66954999999996</v>
      </c>
      <c r="J46" s="45">
        <f t="shared" ref="J46:N46" si="16">-J9*1.22%</f>
        <v>-256.2</v>
      </c>
      <c r="K46" s="45">
        <f t="shared" si="16"/>
        <v>-179.96085799999997</v>
      </c>
      <c r="L46" s="45">
        <f t="shared" si="16"/>
        <v>0</v>
      </c>
      <c r="M46" s="45">
        <f t="shared" si="16"/>
        <v>0</v>
      </c>
      <c r="N46" s="45">
        <f t="shared" si="16"/>
        <v>0</v>
      </c>
      <c r="O46" s="20">
        <f>B46+C46+D46+E46+F46+G46+H46+I46+J46+K46+L46+M46+N46</f>
        <v>-12917.240196000001</v>
      </c>
      <c r="P46" s="21">
        <f t="shared" si="5"/>
        <v>1.2199999999999999E-2</v>
      </c>
      <c r="R46" s="98">
        <f t="shared" si="0"/>
        <v>-12917.240196000001</v>
      </c>
      <c r="S46" s="98">
        <f t="shared" si="1"/>
        <v>0</v>
      </c>
    </row>
    <row r="47" spans="1:19" x14ac:dyDescent="0.2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4"/>
      <c r="R47" s="98">
        <f t="shared" si="0"/>
        <v>0</v>
      </c>
      <c r="S47" s="98">
        <f t="shared" si="1"/>
        <v>0</v>
      </c>
    </row>
    <row r="48" spans="1:19" x14ac:dyDescent="0.25">
      <c r="A48" s="48" t="s">
        <v>57</v>
      </c>
      <c r="B48" s="49">
        <f t="shared" ref="B48:H48" si="17">B40*5.56%</f>
        <v>-25554.715207999998</v>
      </c>
      <c r="C48" s="49">
        <f t="shared" ref="C48" si="18">C40*5.56%</f>
        <v>-4888.4887760000011</v>
      </c>
      <c r="D48" s="49">
        <f t="shared" si="17"/>
        <v>-3257.3760400000001</v>
      </c>
      <c r="E48" s="49">
        <f t="shared" si="17"/>
        <v>-2102.3327439999998</v>
      </c>
      <c r="F48" s="49">
        <f t="shared" si="17"/>
        <v>-1409.6896280000001</v>
      </c>
      <c r="G48" s="49">
        <f t="shared" si="17"/>
        <v>-1149.40768</v>
      </c>
      <c r="H48" s="49">
        <f t="shared" si="17"/>
        <v>-1156.4588719999999</v>
      </c>
      <c r="I48" s="49">
        <f>I40*5.56%</f>
        <v>-837.08746799999983</v>
      </c>
      <c r="J48" s="49">
        <f t="shared" ref="J48:N48" si="19">J40*5.56%</f>
        <v>-116.99129599999999</v>
      </c>
      <c r="K48" s="49">
        <f t="shared" si="19"/>
        <v>0</v>
      </c>
      <c r="L48" s="49">
        <f t="shared" si="19"/>
        <v>0</v>
      </c>
      <c r="M48" s="49">
        <f t="shared" si="19"/>
        <v>0</v>
      </c>
      <c r="N48" s="49">
        <f t="shared" si="19"/>
        <v>0</v>
      </c>
      <c r="O48" s="20">
        <f>B48+C48+D48+E48+F48+G48+H48+I48+J48+K48+L48+M48+N48</f>
        <v>-40472.547712</v>
      </c>
      <c r="P48" s="21">
        <f t="shared" si="5"/>
        <v>3.8225276807912961E-2</v>
      </c>
      <c r="R48" s="98">
        <f t="shared" si="0"/>
        <v>-40472.547712</v>
      </c>
      <c r="S48" s="98">
        <f t="shared" si="1"/>
        <v>0</v>
      </c>
    </row>
    <row r="49" spans="1:19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4"/>
      <c r="R49" s="98">
        <f t="shared" si="0"/>
        <v>0</v>
      </c>
      <c r="S49" s="98">
        <f t="shared" si="1"/>
        <v>0</v>
      </c>
    </row>
    <row r="50" spans="1:19" x14ac:dyDescent="0.25">
      <c r="A50" s="48" t="s">
        <v>58</v>
      </c>
      <c r="B50" s="49">
        <f t="shared" ref="B50:F50" si="20">B40*0.01%</f>
        <v>-45.961718000000005</v>
      </c>
      <c r="C50" s="49">
        <f t="shared" ref="C50" si="21">C40*0.01%</f>
        <v>-8.7922460000000022</v>
      </c>
      <c r="D50" s="49">
        <f t="shared" si="20"/>
        <v>-5.8585900000000004</v>
      </c>
      <c r="E50" s="49">
        <f t="shared" si="20"/>
        <v>-3.781174</v>
      </c>
      <c r="F50" s="49">
        <f t="shared" si="20"/>
        <v>-2.5354130000000001</v>
      </c>
      <c r="G50" s="49">
        <f>G40*0.01%</f>
        <v>-2.0672800000000002</v>
      </c>
      <c r="H50" s="49">
        <f t="shared" ref="H50" si="22">H40*0.01%</f>
        <v>-2.0799620000000001</v>
      </c>
      <c r="I50" s="49">
        <f>I40*0.01%</f>
        <v>-1.5055529999999999</v>
      </c>
      <c r="J50" s="49">
        <f t="shared" ref="J50:N50" si="23">J40*0.01%</f>
        <v>-0.21041599999999999</v>
      </c>
      <c r="K50" s="49">
        <f t="shared" si="23"/>
        <v>0</v>
      </c>
      <c r="L50" s="49">
        <f t="shared" si="23"/>
        <v>0</v>
      </c>
      <c r="M50" s="49">
        <f t="shared" si="23"/>
        <v>0</v>
      </c>
      <c r="N50" s="49">
        <f t="shared" si="23"/>
        <v>0</v>
      </c>
      <c r="O50" s="20">
        <f>B50+C50+D50+E50+F50+G50+H50+I50+J50+K50+L50+M50+N50</f>
        <v>-72.792352000000008</v>
      </c>
      <c r="P50" s="21">
        <f t="shared" si="5"/>
        <v>6.8750497855958584E-5</v>
      </c>
      <c r="R50" s="98">
        <f t="shared" si="0"/>
        <v>-72.792352000000008</v>
      </c>
      <c r="S50" s="98">
        <f t="shared" si="1"/>
        <v>0</v>
      </c>
    </row>
    <row r="51" spans="1:19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4"/>
      <c r="R51" s="98">
        <f t="shared" si="0"/>
        <v>0</v>
      </c>
      <c r="S51" s="98">
        <f t="shared" si="1"/>
        <v>0</v>
      </c>
    </row>
    <row r="52" spans="1:19" x14ac:dyDescent="0.25">
      <c r="A52" s="39" t="s">
        <v>170</v>
      </c>
      <c r="B52" s="58">
        <f>B42+B48+B50+B44+B46</f>
        <v>-125097.42391099999</v>
      </c>
      <c r="C52" s="58">
        <f>C42+C48+C50+C44+C46</f>
        <v>-41031.46200300003</v>
      </c>
      <c r="D52" s="58">
        <f>D42+D48+D50+D44+D46</f>
        <v>77349.178014000005</v>
      </c>
      <c r="E52" s="40">
        <f t="shared" ref="E52:H52" si="24">E42+E48+E50+E44+E46</f>
        <v>10668.334035</v>
      </c>
      <c r="F52" s="58">
        <f t="shared" si="24"/>
        <v>38011.900784999998</v>
      </c>
      <c r="G52" s="40">
        <f t="shared" si="24"/>
        <v>48101.722509000007</v>
      </c>
      <c r="H52" s="40">
        <f t="shared" si="24"/>
        <v>48841.170442000002</v>
      </c>
      <c r="I52" s="40">
        <f>I42+I48+I50+I44+I46</f>
        <v>52937.625804000003</v>
      </c>
      <c r="J52" s="40">
        <f t="shared" ref="J52:N52" si="25">J42+J48+J50+J44+J46</f>
        <v>15760.938287999998</v>
      </c>
      <c r="K52" s="40">
        <f t="shared" si="25"/>
        <v>12631.187107</v>
      </c>
      <c r="L52" s="40">
        <f t="shared" si="25"/>
        <v>0</v>
      </c>
      <c r="M52" s="40">
        <f t="shared" si="25"/>
        <v>0</v>
      </c>
      <c r="N52" s="58">
        <f t="shared" si="25"/>
        <v>0</v>
      </c>
      <c r="O52" s="155">
        <f>B52+C52+D52+E52+F52+G52+H52+I52+J52+K52+L52+M52+N52</f>
        <v>138173.17107000001</v>
      </c>
      <c r="P52" s="21">
        <f>O52/$O$11</f>
        <v>0.13050099413464525</v>
      </c>
      <c r="R52" s="98">
        <f t="shared" si="0"/>
        <v>138173.17107000001</v>
      </c>
      <c r="S52" s="98">
        <f t="shared" si="1"/>
        <v>0</v>
      </c>
    </row>
    <row r="53" spans="1:19" x14ac:dyDescent="0.2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</row>
    <row r="54" spans="1:19" x14ac:dyDescent="0.25">
      <c r="A54" s="52" t="s">
        <v>35</v>
      </c>
      <c r="B54" s="13"/>
      <c r="C54" s="13">
        <v>18</v>
      </c>
      <c r="D54" s="13">
        <v>12</v>
      </c>
      <c r="E54" s="13">
        <v>10</v>
      </c>
      <c r="F54" s="13">
        <v>8</v>
      </c>
      <c r="G54" s="13">
        <v>3</v>
      </c>
      <c r="H54" s="13">
        <v>4</v>
      </c>
      <c r="I54" s="13">
        <v>1</v>
      </c>
      <c r="J54" s="13">
        <v>1</v>
      </c>
      <c r="K54" s="13"/>
      <c r="L54" s="13"/>
      <c r="M54" s="13"/>
      <c r="N54" s="13"/>
      <c r="O54" s="53"/>
      <c r="P54" s="50"/>
    </row>
    <row r="55" spans="1:19" x14ac:dyDescent="0.25">
      <c r="A55" s="81"/>
    </row>
    <row r="56" spans="1:19" x14ac:dyDescent="0.25">
      <c r="A56" s="54" t="s">
        <v>36</v>
      </c>
      <c r="P56" s="89">
        <v>45991</v>
      </c>
    </row>
    <row r="57" spans="1:19" x14ac:dyDescent="0.25">
      <c r="B57" s="98">
        <f t="shared" ref="B57:I57" si="26">B11+B40+B44+B46+B48+B50</f>
        <v>-125097.42391100001</v>
      </c>
      <c r="C57" s="98">
        <f t="shared" ref="C57" si="27">C11+C40+C44+C46+C48+C50</f>
        <v>-41031.462003000022</v>
      </c>
      <c r="D57" s="98">
        <f t="shared" si="26"/>
        <v>77349.178014000005</v>
      </c>
      <c r="E57" s="98">
        <f>E11+E40+E44+E46+E48+E50</f>
        <v>10668.334035</v>
      </c>
      <c r="F57" s="98">
        <f t="shared" si="26"/>
        <v>38011.900784999998</v>
      </c>
      <c r="G57" s="98">
        <f t="shared" si="26"/>
        <v>48101.722508999999</v>
      </c>
      <c r="H57" s="98">
        <f t="shared" si="26"/>
        <v>48841.170442000002</v>
      </c>
      <c r="I57" s="98">
        <f t="shared" si="26"/>
        <v>52937.625804000003</v>
      </c>
      <c r="J57" s="98">
        <f t="shared" ref="J57:N57" si="28">J11+J40+J44+J46+J48+J50</f>
        <v>15760.938287999999</v>
      </c>
      <c r="K57" s="98">
        <f t="shared" si="28"/>
        <v>12631.187107</v>
      </c>
      <c r="L57" s="98">
        <f t="shared" si="28"/>
        <v>0</v>
      </c>
      <c r="M57" s="98">
        <f t="shared" si="28"/>
        <v>0</v>
      </c>
      <c r="N57" s="98">
        <f t="shared" si="28"/>
        <v>0</v>
      </c>
      <c r="O57" s="98">
        <f>O11+O40+O44+O46+O48+O50</f>
        <v>138173.17107000016</v>
      </c>
    </row>
    <row r="59" spans="1:19" x14ac:dyDescent="0.25">
      <c r="B59" s="98">
        <f t="shared" ref="B59:O59" si="29">B57-B52</f>
        <v>0</v>
      </c>
      <c r="C59" s="98">
        <f t="shared" ref="C59" si="30">C57-C52</f>
        <v>0</v>
      </c>
      <c r="D59" s="98">
        <f t="shared" si="29"/>
        <v>0</v>
      </c>
      <c r="E59" s="98">
        <f t="shared" si="29"/>
        <v>0</v>
      </c>
      <c r="F59" s="98">
        <f t="shared" si="29"/>
        <v>0</v>
      </c>
      <c r="G59" s="98">
        <f t="shared" si="29"/>
        <v>0</v>
      </c>
      <c r="H59" s="98">
        <f t="shared" si="29"/>
        <v>0</v>
      </c>
      <c r="I59" s="98">
        <f t="shared" si="29"/>
        <v>0</v>
      </c>
      <c r="J59" s="98">
        <f t="shared" ref="J59:N59" si="31">J57-J52</f>
        <v>0</v>
      </c>
      <c r="K59" s="98">
        <f t="shared" si="31"/>
        <v>0</v>
      </c>
      <c r="L59" s="98">
        <f t="shared" si="31"/>
        <v>0</v>
      </c>
      <c r="M59" s="98">
        <f t="shared" si="31"/>
        <v>0</v>
      </c>
      <c r="N59" s="98">
        <f t="shared" si="31"/>
        <v>0</v>
      </c>
      <c r="O59" s="98">
        <f t="shared" si="29"/>
        <v>0</v>
      </c>
    </row>
  </sheetData>
  <mergeCells count="3">
    <mergeCell ref="B1:G1"/>
    <mergeCell ref="B3:H3"/>
    <mergeCell ref="B5:H5"/>
  </mergeCells>
  <conditionalFormatting sqref="B52:D52">
    <cfRule type="cellIs" dxfId="21" priority="3" operator="lessThan">
      <formula>0</formula>
    </cfRule>
    <cfRule type="cellIs" dxfId="20" priority="4" operator="greaterThan">
      <formula>0</formula>
    </cfRule>
  </conditionalFormatting>
  <conditionalFormatting sqref="F52">
    <cfRule type="cellIs" dxfId="19" priority="1" operator="lessThan">
      <formula>0</formula>
    </cfRule>
    <cfRule type="cellIs" dxfId="18" priority="2" operator="greaterThan">
      <formula>0</formula>
    </cfRule>
  </conditionalFormatting>
  <printOptions horizontalCentered="1" verticalCentered="1"/>
  <pageMargins left="0.11811023622047245" right="3.937007874015748E-2" top="0.39370078740157483" bottom="0" header="0.9055118110236221" footer="0"/>
  <pageSetup paperSize="9" scale="57" orientation="landscape" r:id="rId1"/>
  <headerFooter>
    <oddHeader>&amp;C&amp;"-,Negrito"&amp;14BELA NOVA CONSTRUTORA LTDA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9"/>
  </sheetPr>
  <dimension ref="A1:U60"/>
  <sheetViews>
    <sheetView topLeftCell="A22" zoomScale="85" zoomScaleNormal="85" workbookViewId="0">
      <pane xSplit="1" topLeftCell="I1" activePane="topRight" state="frozen"/>
      <selection activeCell="K19" sqref="K19"/>
      <selection pane="topRight" activeCell="I27" sqref="I27"/>
    </sheetView>
  </sheetViews>
  <sheetFormatPr defaultRowHeight="15" x14ac:dyDescent="0.25"/>
  <cols>
    <col min="1" max="1" width="50.28515625" customWidth="1"/>
    <col min="2" max="2" width="18.28515625" bestFit="1" customWidth="1"/>
    <col min="3" max="3" width="18.28515625" customWidth="1"/>
    <col min="4" max="4" width="16.28515625" customWidth="1"/>
    <col min="5" max="5" width="16.7109375" customWidth="1"/>
    <col min="6" max="6" width="16.28515625" customWidth="1"/>
    <col min="7" max="7" width="16.140625" customWidth="1"/>
    <col min="8" max="8" width="16.85546875" customWidth="1"/>
    <col min="9" max="9" width="16.7109375" customWidth="1"/>
    <col min="10" max="15" width="16.7109375" hidden="1" customWidth="1"/>
    <col min="16" max="16" width="18" bestFit="1" customWidth="1"/>
    <col min="17" max="17" width="11.85546875" style="153" bestFit="1" customWidth="1"/>
    <col min="18" max="18" width="3.85546875" customWidth="1"/>
    <col min="19" max="19" width="16.5703125" bestFit="1" customWidth="1"/>
    <col min="20" max="20" width="15.140625" bestFit="1" customWidth="1"/>
    <col min="21" max="21" width="16" bestFit="1" customWidth="1"/>
  </cols>
  <sheetData>
    <row r="1" spans="1:21" ht="15.75" x14ac:dyDescent="0.25">
      <c r="A1" s="216" t="s">
        <v>348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</row>
    <row r="2" spans="1:21" ht="18.75" customHeight="1" x14ac:dyDescent="0.25">
      <c r="A2" s="214" t="s">
        <v>278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</row>
    <row r="3" spans="1:21" ht="7.5" customHeight="1" x14ac:dyDescent="0.25">
      <c r="A3" s="108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</row>
    <row r="4" spans="1:21" ht="15.75" x14ac:dyDescent="0.25">
      <c r="A4" s="214" t="s">
        <v>326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</row>
    <row r="5" spans="1:21" ht="9" customHeight="1" x14ac:dyDescent="0.2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</row>
    <row r="6" spans="1:21" ht="16.5" customHeight="1" x14ac:dyDescent="0.25">
      <c r="A6" s="202" t="s">
        <v>327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</row>
    <row r="7" spans="1:21" ht="8.25" customHeight="1" x14ac:dyDescent="0.25">
      <c r="A7" s="110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</row>
    <row r="8" spans="1:21" x14ac:dyDescent="0.25">
      <c r="A8" s="111"/>
      <c r="B8" s="112" t="s">
        <v>222</v>
      </c>
      <c r="C8" s="60" t="s">
        <v>303</v>
      </c>
      <c r="D8" s="60" t="s">
        <v>304</v>
      </c>
      <c r="E8" s="60" t="s">
        <v>305</v>
      </c>
      <c r="F8" s="60" t="s">
        <v>306</v>
      </c>
      <c r="G8" s="60" t="s">
        <v>307</v>
      </c>
      <c r="H8" s="60" t="s">
        <v>308</v>
      </c>
      <c r="I8" s="60" t="s">
        <v>309</v>
      </c>
      <c r="J8" s="60" t="s">
        <v>310</v>
      </c>
      <c r="K8" s="60" t="s">
        <v>311</v>
      </c>
      <c r="L8" s="60" t="s">
        <v>312</v>
      </c>
      <c r="M8" s="60" t="s">
        <v>313</v>
      </c>
      <c r="N8" s="60" t="s">
        <v>314</v>
      </c>
      <c r="O8" s="60" t="s">
        <v>225</v>
      </c>
      <c r="P8" s="13" t="s">
        <v>1</v>
      </c>
      <c r="Q8" s="158" t="s">
        <v>2</v>
      </c>
      <c r="U8" s="175">
        <v>2025</v>
      </c>
    </row>
    <row r="9" spans="1:21" x14ac:dyDescent="0.25">
      <c r="A9" s="114" t="s">
        <v>3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6"/>
      <c r="Q9" s="159"/>
    </row>
    <row r="10" spans="1:21" x14ac:dyDescent="0.25">
      <c r="A10" s="117" t="s">
        <v>4</v>
      </c>
      <c r="B10" s="118">
        <v>758314.01</v>
      </c>
      <c r="C10" s="118">
        <v>2147484.1800000002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  <c r="O10" s="118">
        <v>0</v>
      </c>
      <c r="P10" s="119">
        <f>SUM(B10:O10)</f>
        <v>2905798.1900000004</v>
      </c>
      <c r="Q10" s="21">
        <v>1</v>
      </c>
      <c r="S10" s="98">
        <f>SUM(B10:O10)</f>
        <v>2905798.1900000004</v>
      </c>
      <c r="T10" s="98">
        <f>S10-P10</f>
        <v>0</v>
      </c>
      <c r="U10" s="98">
        <f>P10-B10</f>
        <v>2147484.1800000006</v>
      </c>
    </row>
    <row r="11" spans="1:21" x14ac:dyDescent="0.25">
      <c r="A11" s="114" t="s">
        <v>5</v>
      </c>
      <c r="B11" s="120">
        <v>0</v>
      </c>
      <c r="C11" s="120">
        <v>0</v>
      </c>
      <c r="D11" s="120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  <c r="O11" s="118">
        <v>0</v>
      </c>
      <c r="P11" s="119">
        <f>SUM(B11:O11)</f>
        <v>0</v>
      </c>
      <c r="Q11" s="21"/>
      <c r="S11" s="98">
        <f t="shared" ref="S11:S52" si="0">SUM(B11:O11)</f>
        <v>0</v>
      </c>
      <c r="T11" s="98">
        <f t="shared" ref="T11:T53" si="1">S11-P11</f>
        <v>0</v>
      </c>
      <c r="U11" s="98">
        <f t="shared" ref="U11:U53" si="2">P11-B11</f>
        <v>0</v>
      </c>
    </row>
    <row r="12" spans="1:21" x14ac:dyDescent="0.25">
      <c r="A12" s="121" t="s">
        <v>6</v>
      </c>
      <c r="B12" s="122">
        <f t="shared" ref="B12:I12" si="3">SUM(B10:B11)</f>
        <v>758314.01</v>
      </c>
      <c r="C12" s="122">
        <f t="shared" ref="C12" si="4">SUM(C10:C11)</f>
        <v>2147484.1800000002</v>
      </c>
      <c r="D12" s="122">
        <f>SUM(D10:D11)</f>
        <v>0</v>
      </c>
      <c r="E12" s="122">
        <f t="shared" si="3"/>
        <v>0</v>
      </c>
      <c r="F12" s="122">
        <f t="shared" si="3"/>
        <v>0</v>
      </c>
      <c r="G12" s="122">
        <f t="shared" si="3"/>
        <v>0</v>
      </c>
      <c r="H12" s="122">
        <f t="shared" si="3"/>
        <v>0</v>
      </c>
      <c r="I12" s="122">
        <f t="shared" si="3"/>
        <v>0</v>
      </c>
      <c r="J12" s="122">
        <f>SUM(J10:J11)</f>
        <v>0</v>
      </c>
      <c r="K12" s="122">
        <f>SUM(K10:K11)</f>
        <v>0</v>
      </c>
      <c r="L12" s="122">
        <f>SUM(L10:L11)</f>
        <v>0</v>
      </c>
      <c r="M12" s="122"/>
      <c r="N12" s="122"/>
      <c r="O12" s="122"/>
      <c r="P12" s="122">
        <f>SUM(P10:P11)</f>
        <v>2905798.1900000004</v>
      </c>
      <c r="Q12" s="21">
        <v>1</v>
      </c>
      <c r="S12" s="98">
        <f t="shared" si="0"/>
        <v>2905798.1900000004</v>
      </c>
      <c r="T12" s="98">
        <f t="shared" si="1"/>
        <v>0</v>
      </c>
      <c r="U12" s="98">
        <f t="shared" si="2"/>
        <v>2147484.1800000006</v>
      </c>
    </row>
    <row r="13" spans="1:21" x14ac:dyDescent="0.25">
      <c r="A13" s="123"/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5"/>
      <c r="Q13" s="160"/>
      <c r="S13" s="98">
        <f t="shared" si="0"/>
        <v>0</v>
      </c>
      <c r="T13" s="98">
        <f t="shared" si="1"/>
        <v>0</v>
      </c>
      <c r="U13" s="98">
        <f t="shared" si="2"/>
        <v>0</v>
      </c>
    </row>
    <row r="14" spans="1:21" x14ac:dyDescent="0.25">
      <c r="A14" s="126" t="s">
        <v>7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7"/>
      <c r="Q14" s="161"/>
      <c r="S14" s="98">
        <f t="shared" si="0"/>
        <v>0</v>
      </c>
      <c r="T14" s="98">
        <f t="shared" si="1"/>
        <v>0</v>
      </c>
      <c r="U14" s="98">
        <f t="shared" si="2"/>
        <v>0</v>
      </c>
    </row>
    <row r="15" spans="1:21" x14ac:dyDescent="0.25">
      <c r="A15" s="114" t="s">
        <v>8</v>
      </c>
      <c r="B15" s="128">
        <v>-13354.68</v>
      </c>
      <c r="C15" s="128">
        <v>-59391.03</v>
      </c>
      <c r="D15" s="128">
        <v>-728</v>
      </c>
      <c r="E15" s="128">
        <v>-1471.68</v>
      </c>
      <c r="F15" s="128">
        <v>-460.68</v>
      </c>
      <c r="G15" s="128">
        <v>-2292.6799999999998</v>
      </c>
      <c r="H15" s="128">
        <v>-1547.4</v>
      </c>
      <c r="I15" s="128">
        <v>-1549.98</v>
      </c>
      <c r="J15" s="128">
        <v>0</v>
      </c>
      <c r="K15" s="128">
        <v>0</v>
      </c>
      <c r="L15" s="128">
        <v>0</v>
      </c>
      <c r="M15" s="128">
        <v>0</v>
      </c>
      <c r="N15" s="128">
        <v>0</v>
      </c>
      <c r="O15" s="128">
        <v>0</v>
      </c>
      <c r="P15" s="119">
        <f>SUM(B15:O15)</f>
        <v>-80796.129999999961</v>
      </c>
      <c r="Q15" s="21">
        <f>-P15/$P$12</f>
        <v>2.7805141553894335E-2</v>
      </c>
      <c r="S15" s="98">
        <f t="shared" si="0"/>
        <v>-80796.129999999961</v>
      </c>
      <c r="T15" s="98">
        <f t="shared" si="1"/>
        <v>0</v>
      </c>
      <c r="U15" s="98">
        <f t="shared" si="2"/>
        <v>-67441.449999999953</v>
      </c>
    </row>
    <row r="16" spans="1:21" x14ac:dyDescent="0.25">
      <c r="A16" s="129" t="s">
        <v>9</v>
      </c>
      <c r="B16" s="128">
        <v>0</v>
      </c>
      <c r="C16" s="128">
        <v>0</v>
      </c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28">
        <v>0</v>
      </c>
      <c r="O16" s="128">
        <v>0</v>
      </c>
      <c r="P16" s="119">
        <f t="shared" ref="P16:P40" si="5">SUM(B16:O16)</f>
        <v>0</v>
      </c>
      <c r="Q16" s="21">
        <f t="shared" ref="Q16:Q51" si="6">-P16/$P$12</f>
        <v>0</v>
      </c>
      <c r="S16" s="98">
        <f t="shared" si="0"/>
        <v>0</v>
      </c>
      <c r="T16" s="98">
        <f t="shared" si="1"/>
        <v>0</v>
      </c>
      <c r="U16" s="98">
        <f t="shared" si="2"/>
        <v>0</v>
      </c>
    </row>
    <row r="17" spans="1:21" x14ac:dyDescent="0.25">
      <c r="A17" s="114" t="s">
        <v>10</v>
      </c>
      <c r="B17" s="128">
        <v>-484.8</v>
      </c>
      <c r="C17" s="128">
        <v>-643.20000000000005</v>
      </c>
      <c r="D17" s="128">
        <v>0</v>
      </c>
      <c r="E17" s="128">
        <v>0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28">
        <v>0</v>
      </c>
      <c r="O17" s="128">
        <v>0</v>
      </c>
      <c r="P17" s="119">
        <f t="shared" si="5"/>
        <v>-1128</v>
      </c>
      <c r="Q17" s="21">
        <f t="shared" si="6"/>
        <v>3.8818938076356905E-4</v>
      </c>
      <c r="S17" s="98">
        <f t="shared" si="0"/>
        <v>-1128</v>
      </c>
      <c r="T17" s="98">
        <f t="shared" si="1"/>
        <v>0</v>
      </c>
      <c r="U17" s="98">
        <f t="shared" si="2"/>
        <v>-643.20000000000005</v>
      </c>
    </row>
    <row r="18" spans="1:21" x14ac:dyDescent="0.25">
      <c r="A18" s="129" t="s">
        <v>11</v>
      </c>
      <c r="B18" s="128">
        <v>-1223.01</v>
      </c>
      <c r="C18" s="128">
        <v>-847.21</v>
      </c>
      <c r="D18" s="128">
        <v>-87.38</v>
      </c>
      <c r="E18" s="128">
        <v>0</v>
      </c>
      <c r="F18" s="128">
        <v>0</v>
      </c>
      <c r="G18" s="128">
        <v>0</v>
      </c>
      <c r="H18" s="128">
        <v>0</v>
      </c>
      <c r="I18" s="128">
        <v>0</v>
      </c>
      <c r="J18" s="128">
        <v>0</v>
      </c>
      <c r="K18" s="128">
        <v>0</v>
      </c>
      <c r="L18" s="128">
        <v>0</v>
      </c>
      <c r="M18" s="128">
        <v>0</v>
      </c>
      <c r="N18" s="128">
        <v>0</v>
      </c>
      <c r="O18" s="128">
        <v>0</v>
      </c>
      <c r="P18" s="119">
        <f t="shared" si="5"/>
        <v>-2157.6000000000004</v>
      </c>
      <c r="Q18" s="21">
        <f t="shared" si="6"/>
        <v>7.4251543256691199E-4</v>
      </c>
      <c r="S18" s="98">
        <f t="shared" si="0"/>
        <v>-2157.6000000000004</v>
      </c>
      <c r="T18" s="98">
        <f t="shared" si="1"/>
        <v>0</v>
      </c>
      <c r="U18" s="98">
        <f t="shared" si="2"/>
        <v>-934.59000000000037</v>
      </c>
    </row>
    <row r="19" spans="1:21" x14ac:dyDescent="0.25">
      <c r="A19" s="114" t="s">
        <v>12</v>
      </c>
      <c r="B19" s="128">
        <v>-8681.09</v>
      </c>
      <c r="C19" s="128">
        <v>-12881.37</v>
      </c>
      <c r="D19" s="128">
        <v>0</v>
      </c>
      <c r="E19" s="128">
        <v>-315.48</v>
      </c>
      <c r="F19" s="128">
        <v>-315.48</v>
      </c>
      <c r="G19" s="128">
        <v>-315.48</v>
      </c>
      <c r="H19" s="128">
        <v>-331.73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  <c r="N19" s="128">
        <v>0</v>
      </c>
      <c r="O19" s="128">
        <v>0</v>
      </c>
      <c r="P19" s="119">
        <f t="shared" si="5"/>
        <v>-22840.629999999997</v>
      </c>
      <c r="Q19" s="21">
        <f t="shared" si="6"/>
        <v>7.8603634893171966E-3</v>
      </c>
      <c r="S19" s="98">
        <f t="shared" si="0"/>
        <v>-22840.629999999997</v>
      </c>
      <c r="T19" s="98">
        <f t="shared" si="1"/>
        <v>0</v>
      </c>
      <c r="U19" s="98">
        <f t="shared" si="2"/>
        <v>-14159.539999999997</v>
      </c>
    </row>
    <row r="20" spans="1:21" x14ac:dyDescent="0.25">
      <c r="A20" s="114" t="s">
        <v>13</v>
      </c>
      <c r="B20" s="128">
        <v>-5801.26</v>
      </c>
      <c r="C20" s="128">
        <v>-13656.37</v>
      </c>
      <c r="D20" s="128">
        <v>0</v>
      </c>
      <c r="E20" s="128">
        <v>-194.18</v>
      </c>
      <c r="F20" s="128">
        <v>-224.43</v>
      </c>
      <c r="G20" s="128">
        <v>-194.18</v>
      </c>
      <c r="H20" s="128">
        <v>-208.57</v>
      </c>
      <c r="I20" s="128">
        <v>-145.19999999999999</v>
      </c>
      <c r="J20" s="128">
        <v>0</v>
      </c>
      <c r="K20" s="128">
        <v>0</v>
      </c>
      <c r="L20" s="128">
        <v>0</v>
      </c>
      <c r="M20" s="128">
        <v>0</v>
      </c>
      <c r="N20" s="128">
        <v>0</v>
      </c>
      <c r="O20" s="128">
        <v>0</v>
      </c>
      <c r="P20" s="119">
        <f t="shared" si="5"/>
        <v>-20424.190000000002</v>
      </c>
      <c r="Q20" s="21">
        <f t="shared" si="6"/>
        <v>7.0287709828878372E-3</v>
      </c>
      <c r="S20" s="98">
        <f t="shared" si="0"/>
        <v>-20424.190000000002</v>
      </c>
      <c r="T20" s="98">
        <f t="shared" si="1"/>
        <v>0</v>
      </c>
      <c r="U20" s="98">
        <f t="shared" si="2"/>
        <v>-14622.930000000002</v>
      </c>
    </row>
    <row r="21" spans="1:21" x14ac:dyDescent="0.25">
      <c r="A21" s="114" t="s">
        <v>14</v>
      </c>
      <c r="B21" s="128">
        <v>-7930.6</v>
      </c>
      <c r="C21" s="128">
        <v>-15943.42</v>
      </c>
      <c r="D21" s="128">
        <v>0</v>
      </c>
      <c r="E21" s="128">
        <v>0</v>
      </c>
      <c r="F21" s="128">
        <v>-378.12</v>
      </c>
      <c r="G21" s="128">
        <v>0</v>
      </c>
      <c r="H21" s="128">
        <v>-54.77</v>
      </c>
      <c r="I21" s="128">
        <v>0</v>
      </c>
      <c r="J21" s="128">
        <v>0</v>
      </c>
      <c r="K21" s="128">
        <v>0</v>
      </c>
      <c r="L21" s="128">
        <v>0</v>
      </c>
      <c r="M21" s="128">
        <v>0</v>
      </c>
      <c r="N21" s="128">
        <v>0</v>
      </c>
      <c r="O21" s="128">
        <v>0</v>
      </c>
      <c r="P21" s="119">
        <f t="shared" si="5"/>
        <v>-24306.91</v>
      </c>
      <c r="Q21" s="21">
        <f t="shared" si="6"/>
        <v>8.3649683875672027E-3</v>
      </c>
      <c r="S21" s="98">
        <f t="shared" si="0"/>
        <v>-24306.91</v>
      </c>
      <c r="T21" s="98">
        <f t="shared" si="1"/>
        <v>0</v>
      </c>
      <c r="U21" s="98">
        <f t="shared" si="2"/>
        <v>-16376.31</v>
      </c>
    </row>
    <row r="22" spans="1:21" x14ac:dyDescent="0.25">
      <c r="A22" s="114" t="s">
        <v>15</v>
      </c>
      <c r="B22" s="128">
        <v>0</v>
      </c>
      <c r="C22" s="128">
        <v>-2066.0100000000002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28">
        <v>0</v>
      </c>
      <c r="P22" s="119">
        <f t="shared" si="5"/>
        <v>-2066.0100000000002</v>
      </c>
      <c r="Q22" s="21">
        <f t="shared" si="6"/>
        <v>7.1099569375118916E-4</v>
      </c>
      <c r="S22" s="98">
        <f t="shared" si="0"/>
        <v>-2066.0100000000002</v>
      </c>
      <c r="T22" s="98">
        <f t="shared" si="1"/>
        <v>0</v>
      </c>
      <c r="U22" s="98">
        <f t="shared" si="2"/>
        <v>-2066.0100000000002</v>
      </c>
    </row>
    <row r="23" spans="1:21" x14ac:dyDescent="0.25">
      <c r="A23" s="114" t="s">
        <v>16</v>
      </c>
      <c r="B23" s="128">
        <v>0</v>
      </c>
      <c r="C23" s="128">
        <v>0</v>
      </c>
      <c r="D23" s="128">
        <v>0</v>
      </c>
      <c r="E23" s="128">
        <v>0</v>
      </c>
      <c r="F23" s="128">
        <v>0</v>
      </c>
      <c r="G23" s="128">
        <v>0</v>
      </c>
      <c r="H23" s="128">
        <v>0</v>
      </c>
      <c r="I23" s="128">
        <v>0</v>
      </c>
      <c r="J23" s="128">
        <v>0</v>
      </c>
      <c r="K23" s="128">
        <v>0</v>
      </c>
      <c r="L23" s="128">
        <v>0</v>
      </c>
      <c r="M23" s="128">
        <v>0</v>
      </c>
      <c r="N23" s="128">
        <v>0</v>
      </c>
      <c r="O23" s="128">
        <v>0</v>
      </c>
      <c r="P23" s="119">
        <f t="shared" si="5"/>
        <v>0</v>
      </c>
      <c r="Q23" s="21">
        <f t="shared" si="6"/>
        <v>0</v>
      </c>
      <c r="S23" s="98">
        <f t="shared" si="0"/>
        <v>0</v>
      </c>
      <c r="T23" s="98">
        <f t="shared" si="1"/>
        <v>0</v>
      </c>
      <c r="U23" s="98">
        <f t="shared" si="2"/>
        <v>0</v>
      </c>
    </row>
    <row r="24" spans="1:21" x14ac:dyDescent="0.25">
      <c r="A24" s="114" t="s">
        <v>17</v>
      </c>
      <c r="B24" s="128">
        <v>-6820.17</v>
      </c>
      <c r="C24" s="128">
        <v>-18550.41</v>
      </c>
      <c r="D24" s="128">
        <v>0</v>
      </c>
      <c r="E24" s="128">
        <v>-477.83</v>
      </c>
      <c r="F24" s="128">
        <v>-512.22</v>
      </c>
      <c r="G24" s="128">
        <v>-469.63</v>
      </c>
      <c r="H24" s="128">
        <v>-523.47</v>
      </c>
      <c r="I24" s="128">
        <v>-455.35</v>
      </c>
      <c r="J24" s="128">
        <v>0</v>
      </c>
      <c r="K24" s="128">
        <v>0</v>
      </c>
      <c r="L24" s="128">
        <v>0</v>
      </c>
      <c r="M24" s="128">
        <v>0</v>
      </c>
      <c r="N24" s="128">
        <v>0</v>
      </c>
      <c r="O24" s="128">
        <v>0</v>
      </c>
      <c r="P24" s="119">
        <f t="shared" si="5"/>
        <v>-27809.080000000005</v>
      </c>
      <c r="Q24" s="21">
        <f t="shared" si="6"/>
        <v>9.5702034971671592E-3</v>
      </c>
      <c r="S24" s="98">
        <f t="shared" si="0"/>
        <v>-27809.080000000005</v>
      </c>
      <c r="T24" s="98">
        <f t="shared" si="1"/>
        <v>0</v>
      </c>
      <c r="U24" s="98">
        <f t="shared" si="2"/>
        <v>-20988.910000000003</v>
      </c>
    </row>
    <row r="25" spans="1:21" x14ac:dyDescent="0.25">
      <c r="A25" s="114" t="s">
        <v>18</v>
      </c>
      <c r="B25" s="128">
        <v>0</v>
      </c>
      <c r="C25" s="128">
        <v>-2928.8</v>
      </c>
      <c r="D25" s="128">
        <v>0</v>
      </c>
      <c r="E25" s="128">
        <v>0</v>
      </c>
      <c r="F25" s="128">
        <v>0</v>
      </c>
      <c r="G25" s="128">
        <v>0</v>
      </c>
      <c r="H25" s="128">
        <v>0</v>
      </c>
      <c r="I25" s="128">
        <v>0</v>
      </c>
      <c r="J25" s="128">
        <v>0</v>
      </c>
      <c r="K25" s="128">
        <v>0</v>
      </c>
      <c r="L25" s="128">
        <v>0</v>
      </c>
      <c r="M25" s="128">
        <v>0</v>
      </c>
      <c r="N25" s="128">
        <v>0</v>
      </c>
      <c r="O25" s="128">
        <v>0</v>
      </c>
      <c r="P25" s="119">
        <f t="shared" si="5"/>
        <v>-2928.8</v>
      </c>
      <c r="Q25" s="21">
        <f t="shared" si="6"/>
        <v>1.0079158318974655E-3</v>
      </c>
      <c r="S25" s="98">
        <f t="shared" si="0"/>
        <v>-2928.8</v>
      </c>
      <c r="T25" s="98">
        <f t="shared" si="1"/>
        <v>0</v>
      </c>
      <c r="U25" s="98">
        <f t="shared" si="2"/>
        <v>-2928.8</v>
      </c>
    </row>
    <row r="26" spans="1:21" x14ac:dyDescent="0.25">
      <c r="A26" s="114" t="s">
        <v>19</v>
      </c>
      <c r="B26" s="128">
        <v>-15477.58</v>
      </c>
      <c r="C26" s="128">
        <v>-51306.74</v>
      </c>
      <c r="D26" s="128">
        <v>-1190</v>
      </c>
      <c r="E26" s="128">
        <v>-1190</v>
      </c>
      <c r="F26" s="128">
        <v>-1007.93</v>
      </c>
      <c r="G26" s="128">
        <v>-820</v>
      </c>
      <c r="H26" s="128">
        <v>-820</v>
      </c>
      <c r="I26" s="128">
        <v>-132.25</v>
      </c>
      <c r="J26" s="128">
        <v>0</v>
      </c>
      <c r="K26" s="128">
        <v>0</v>
      </c>
      <c r="L26" s="128">
        <v>0</v>
      </c>
      <c r="M26" s="128">
        <v>0</v>
      </c>
      <c r="N26" s="128">
        <v>0</v>
      </c>
      <c r="O26" s="128">
        <v>0</v>
      </c>
      <c r="P26" s="119">
        <f t="shared" si="5"/>
        <v>-71944.499999999985</v>
      </c>
      <c r="Q26" s="21">
        <f t="shared" si="6"/>
        <v>2.475894583718492E-2</v>
      </c>
      <c r="S26" s="98">
        <f t="shared" si="0"/>
        <v>-71944.499999999985</v>
      </c>
      <c r="T26" s="98">
        <f t="shared" si="1"/>
        <v>0</v>
      </c>
      <c r="U26" s="98">
        <f t="shared" si="2"/>
        <v>-56466.919999999984</v>
      </c>
    </row>
    <row r="27" spans="1:21" x14ac:dyDescent="0.25">
      <c r="A27" s="114" t="s">
        <v>20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28">
        <v>0</v>
      </c>
      <c r="L27" s="128">
        <v>0</v>
      </c>
      <c r="M27" s="128">
        <v>0</v>
      </c>
      <c r="N27" s="128">
        <v>0</v>
      </c>
      <c r="O27" s="128">
        <v>0</v>
      </c>
      <c r="P27" s="119">
        <f t="shared" si="5"/>
        <v>0</v>
      </c>
      <c r="Q27" s="21">
        <f t="shared" si="6"/>
        <v>0</v>
      </c>
      <c r="S27" s="98">
        <f t="shared" si="0"/>
        <v>0</v>
      </c>
      <c r="T27" s="98">
        <f t="shared" si="1"/>
        <v>0</v>
      </c>
      <c r="U27" s="98">
        <f t="shared" si="2"/>
        <v>0</v>
      </c>
    </row>
    <row r="28" spans="1:21" x14ac:dyDescent="0.25">
      <c r="A28" s="114" t="s">
        <v>59</v>
      </c>
      <c r="B28" s="128">
        <v>0</v>
      </c>
      <c r="C28" s="128">
        <v>0</v>
      </c>
      <c r="D28" s="128">
        <v>0</v>
      </c>
      <c r="E28" s="128">
        <v>0</v>
      </c>
      <c r="F28" s="128">
        <v>0</v>
      </c>
      <c r="G28" s="128">
        <v>0</v>
      </c>
      <c r="H28" s="128">
        <v>0</v>
      </c>
      <c r="I28" s="128">
        <v>0</v>
      </c>
      <c r="J28" s="128">
        <v>0</v>
      </c>
      <c r="K28" s="128">
        <v>0</v>
      </c>
      <c r="L28" s="128">
        <v>0</v>
      </c>
      <c r="M28" s="128">
        <v>0</v>
      </c>
      <c r="N28" s="128">
        <v>0</v>
      </c>
      <c r="O28" s="128">
        <v>0</v>
      </c>
      <c r="P28" s="119">
        <f t="shared" si="5"/>
        <v>0</v>
      </c>
      <c r="Q28" s="21">
        <f t="shared" si="6"/>
        <v>0</v>
      </c>
      <c r="S28" s="98">
        <f t="shared" si="0"/>
        <v>0</v>
      </c>
      <c r="T28" s="98">
        <f t="shared" si="1"/>
        <v>0</v>
      </c>
      <c r="U28" s="98">
        <f t="shared" si="2"/>
        <v>0</v>
      </c>
    </row>
    <row r="29" spans="1:21" x14ac:dyDescent="0.25">
      <c r="A29" s="114" t="s">
        <v>21</v>
      </c>
      <c r="B29" s="128">
        <v>-883</v>
      </c>
      <c r="C29" s="128">
        <v>-1665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28">
        <v>0</v>
      </c>
      <c r="O29" s="128">
        <v>0</v>
      </c>
      <c r="P29" s="119">
        <f t="shared" si="5"/>
        <v>-2548</v>
      </c>
      <c r="Q29" s="21">
        <f t="shared" si="6"/>
        <v>8.7686750193756565E-4</v>
      </c>
      <c r="S29" s="98">
        <f t="shared" si="0"/>
        <v>-2548</v>
      </c>
      <c r="T29" s="98">
        <f t="shared" si="1"/>
        <v>0</v>
      </c>
      <c r="U29" s="98">
        <f t="shared" si="2"/>
        <v>-1665</v>
      </c>
    </row>
    <row r="30" spans="1:21" x14ac:dyDescent="0.25">
      <c r="A30" s="114" t="s">
        <v>22</v>
      </c>
      <c r="B30" s="128">
        <v>0</v>
      </c>
      <c r="C30" s="128">
        <v>0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8">
        <v>0</v>
      </c>
      <c r="K30" s="128">
        <v>0</v>
      </c>
      <c r="L30" s="128">
        <v>0</v>
      </c>
      <c r="M30" s="128">
        <v>0</v>
      </c>
      <c r="N30" s="128">
        <v>0</v>
      </c>
      <c r="O30" s="128">
        <v>0</v>
      </c>
      <c r="P30" s="119">
        <f t="shared" si="5"/>
        <v>0</v>
      </c>
      <c r="Q30" s="21">
        <f t="shared" si="6"/>
        <v>0</v>
      </c>
      <c r="S30" s="98">
        <f t="shared" si="0"/>
        <v>0</v>
      </c>
      <c r="T30" s="98">
        <f t="shared" si="1"/>
        <v>0</v>
      </c>
      <c r="U30" s="98">
        <f t="shared" si="2"/>
        <v>0</v>
      </c>
    </row>
    <row r="31" spans="1:21" x14ac:dyDescent="0.25">
      <c r="A31" s="129" t="s">
        <v>23</v>
      </c>
      <c r="B31" s="128">
        <v>-11336.79</v>
      </c>
      <c r="C31" s="128">
        <v>-574.79</v>
      </c>
      <c r="D31" s="128">
        <v>0</v>
      </c>
      <c r="E31" s="128">
        <v>0</v>
      </c>
      <c r="F31" s="128">
        <v>0</v>
      </c>
      <c r="G31" s="128">
        <v>0</v>
      </c>
      <c r="H31" s="128">
        <v>0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28">
        <v>0</v>
      </c>
      <c r="O31" s="128">
        <v>0</v>
      </c>
      <c r="P31" s="119">
        <f t="shared" si="5"/>
        <v>-11911.580000000002</v>
      </c>
      <c r="Q31" s="21">
        <f t="shared" si="6"/>
        <v>4.0992454469110946E-3</v>
      </c>
      <c r="S31" s="98">
        <f t="shared" si="0"/>
        <v>-11911.580000000002</v>
      </c>
      <c r="T31" s="98">
        <f t="shared" si="1"/>
        <v>0</v>
      </c>
      <c r="U31" s="98">
        <f t="shared" si="2"/>
        <v>-574.79000000000087</v>
      </c>
    </row>
    <row r="32" spans="1:21" x14ac:dyDescent="0.25">
      <c r="A32" s="114" t="s">
        <v>24</v>
      </c>
      <c r="B32" s="128">
        <v>-16028.54</v>
      </c>
      <c r="C32" s="128">
        <v>-54779</v>
      </c>
      <c r="D32" s="128">
        <v>0</v>
      </c>
      <c r="E32" s="128">
        <v>-1552</v>
      </c>
      <c r="F32" s="128">
        <v>-1174</v>
      </c>
      <c r="G32" s="128">
        <v>-1192</v>
      </c>
      <c r="H32" s="128">
        <v>-1013</v>
      </c>
      <c r="I32" s="128">
        <v>0</v>
      </c>
      <c r="J32" s="128">
        <v>0</v>
      </c>
      <c r="K32" s="128">
        <v>0</v>
      </c>
      <c r="L32" s="128">
        <v>0</v>
      </c>
      <c r="M32" s="128">
        <v>0</v>
      </c>
      <c r="N32" s="128">
        <v>0</v>
      </c>
      <c r="O32" s="128">
        <v>0</v>
      </c>
      <c r="P32" s="119">
        <f t="shared" si="5"/>
        <v>-75738.540000000008</v>
      </c>
      <c r="Q32" s="21">
        <f t="shared" si="6"/>
        <v>2.6064624949057456E-2</v>
      </c>
      <c r="S32" s="98">
        <f t="shared" si="0"/>
        <v>-75738.540000000008</v>
      </c>
      <c r="T32" s="98">
        <f t="shared" si="1"/>
        <v>0</v>
      </c>
      <c r="U32" s="98">
        <f t="shared" si="2"/>
        <v>-59710.000000000007</v>
      </c>
    </row>
    <row r="33" spans="1:21" x14ac:dyDescent="0.25">
      <c r="A33" s="130" t="s">
        <v>25</v>
      </c>
      <c r="B33" s="128">
        <v>-58830.55</v>
      </c>
      <c r="C33" s="128">
        <v>-103385.14</v>
      </c>
      <c r="D33" s="128">
        <v>0</v>
      </c>
      <c r="E33" s="128">
        <v>-2427.31</v>
      </c>
      <c r="F33" s="128">
        <v>-2427.2199999999998</v>
      </c>
      <c r="G33" s="128">
        <v>-2427.31</v>
      </c>
      <c r="H33" s="128">
        <v>-2551.91</v>
      </c>
      <c r="I33" s="128">
        <v>0</v>
      </c>
      <c r="J33" s="128">
        <v>0</v>
      </c>
      <c r="K33" s="128">
        <v>0</v>
      </c>
      <c r="L33" s="128">
        <v>0</v>
      </c>
      <c r="M33" s="128">
        <v>0</v>
      </c>
      <c r="N33" s="128">
        <v>0</v>
      </c>
      <c r="O33" s="128">
        <v>0</v>
      </c>
      <c r="P33" s="119">
        <f t="shared" si="5"/>
        <v>-172049.44</v>
      </c>
      <c r="Q33" s="21">
        <f t="shared" si="6"/>
        <v>5.9209012033970596E-2</v>
      </c>
      <c r="S33" s="98">
        <f t="shared" si="0"/>
        <v>-172049.44</v>
      </c>
      <c r="T33" s="98">
        <f t="shared" si="1"/>
        <v>0</v>
      </c>
      <c r="U33" s="98">
        <f t="shared" si="2"/>
        <v>-113218.89</v>
      </c>
    </row>
    <row r="34" spans="1:21" x14ac:dyDescent="0.25">
      <c r="A34" s="114" t="s">
        <v>26</v>
      </c>
      <c r="B34" s="128">
        <v>-1320</v>
      </c>
      <c r="C34" s="128">
        <v>-4028.92</v>
      </c>
      <c r="D34" s="128">
        <v>-347.23</v>
      </c>
      <c r="E34" s="128">
        <v>-347.67</v>
      </c>
      <c r="F34" s="128">
        <v>-347.23</v>
      </c>
      <c r="G34" s="128">
        <v>-677.23</v>
      </c>
      <c r="H34" s="128">
        <v>-347.23</v>
      </c>
      <c r="I34" s="128">
        <v>-347.23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28">
        <v>0</v>
      </c>
      <c r="P34" s="119">
        <f t="shared" si="5"/>
        <v>-7762.739999999998</v>
      </c>
      <c r="Q34" s="21">
        <f t="shared" si="6"/>
        <v>2.6714656326494567E-3</v>
      </c>
      <c r="S34" s="98">
        <f t="shared" si="0"/>
        <v>-7762.739999999998</v>
      </c>
      <c r="T34" s="98">
        <f t="shared" si="1"/>
        <v>0</v>
      </c>
      <c r="U34" s="98">
        <f t="shared" si="2"/>
        <v>-6442.739999999998</v>
      </c>
    </row>
    <row r="35" spans="1:21" x14ac:dyDescent="0.25">
      <c r="A35" s="114" t="s">
        <v>27</v>
      </c>
      <c r="B35" s="128">
        <v>0</v>
      </c>
      <c r="C35" s="128">
        <v>0</v>
      </c>
      <c r="D35" s="128">
        <v>0</v>
      </c>
      <c r="E35" s="128">
        <v>0</v>
      </c>
      <c r="F35" s="128">
        <v>0</v>
      </c>
      <c r="G35" s="128">
        <v>0</v>
      </c>
      <c r="H35" s="128">
        <v>0</v>
      </c>
      <c r="I35" s="128">
        <v>0</v>
      </c>
      <c r="J35" s="128">
        <v>0</v>
      </c>
      <c r="K35" s="128">
        <v>0</v>
      </c>
      <c r="L35" s="128">
        <v>0</v>
      </c>
      <c r="M35" s="128">
        <v>0</v>
      </c>
      <c r="N35" s="128">
        <v>0</v>
      </c>
      <c r="O35" s="128">
        <v>0</v>
      </c>
      <c r="P35" s="119">
        <f t="shared" si="5"/>
        <v>0</v>
      </c>
      <c r="Q35" s="21">
        <f t="shared" si="6"/>
        <v>0</v>
      </c>
      <c r="S35" s="98">
        <f t="shared" si="0"/>
        <v>0</v>
      </c>
      <c r="T35" s="98">
        <f t="shared" si="1"/>
        <v>0</v>
      </c>
      <c r="U35" s="98">
        <f t="shared" si="2"/>
        <v>0</v>
      </c>
    </row>
    <row r="36" spans="1:21" x14ac:dyDescent="0.25">
      <c r="A36" s="129" t="s">
        <v>28</v>
      </c>
      <c r="B36" s="128">
        <v>-719.58</v>
      </c>
      <c r="C36" s="128">
        <v>-1664.99</v>
      </c>
      <c r="D36" s="128">
        <v>0</v>
      </c>
      <c r="E36" s="128">
        <v>0</v>
      </c>
      <c r="F36" s="128">
        <v>0</v>
      </c>
      <c r="G36" s="128">
        <v>0</v>
      </c>
      <c r="H36" s="128">
        <v>0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28">
        <v>0</v>
      </c>
      <c r="O36" s="128">
        <v>0</v>
      </c>
      <c r="P36" s="119">
        <f t="shared" si="5"/>
        <v>-2384.5700000000002</v>
      </c>
      <c r="Q36" s="21">
        <f t="shared" si="6"/>
        <v>8.2062477986470205E-4</v>
      </c>
      <c r="S36" s="98">
        <f t="shared" si="0"/>
        <v>-2384.5700000000002</v>
      </c>
      <c r="T36" s="98">
        <f t="shared" si="1"/>
        <v>0</v>
      </c>
      <c r="U36" s="98">
        <f t="shared" si="2"/>
        <v>-1664.9900000000002</v>
      </c>
    </row>
    <row r="37" spans="1:21" x14ac:dyDescent="0.25">
      <c r="A37" s="114" t="s">
        <v>29</v>
      </c>
      <c r="B37" s="128">
        <v>-3245.31</v>
      </c>
      <c r="C37" s="128">
        <v>-12836.18</v>
      </c>
      <c r="D37" s="128">
        <v>0</v>
      </c>
      <c r="E37" s="128">
        <v>-41.96</v>
      </c>
      <c r="F37" s="128">
        <v>-267.08</v>
      </c>
      <c r="G37" s="128">
        <v>-229.56</v>
      </c>
      <c r="H37" s="128">
        <v>-222.06</v>
      </c>
      <c r="I37" s="128">
        <v>-412.72</v>
      </c>
      <c r="J37" s="128">
        <v>0</v>
      </c>
      <c r="K37" s="128">
        <v>0</v>
      </c>
      <c r="L37" s="128">
        <v>0</v>
      </c>
      <c r="M37" s="128">
        <v>0</v>
      </c>
      <c r="N37" s="128">
        <v>0</v>
      </c>
      <c r="O37" s="128">
        <v>0</v>
      </c>
      <c r="P37" s="119">
        <f t="shared" si="5"/>
        <v>-17254.870000000003</v>
      </c>
      <c r="Q37" s="21">
        <f t="shared" si="6"/>
        <v>5.9380827131701123E-3</v>
      </c>
      <c r="S37" s="98">
        <f t="shared" si="0"/>
        <v>-17254.870000000003</v>
      </c>
      <c r="T37" s="98">
        <f t="shared" si="1"/>
        <v>0</v>
      </c>
      <c r="U37" s="98">
        <f t="shared" si="2"/>
        <v>-14009.560000000003</v>
      </c>
    </row>
    <row r="38" spans="1:21" x14ac:dyDescent="0.25">
      <c r="A38" s="15" t="s">
        <v>276</v>
      </c>
      <c r="B38" s="128">
        <v>-3973.93</v>
      </c>
      <c r="C38" s="128">
        <v>-10261.459999999999</v>
      </c>
      <c r="D38" s="128">
        <v>0</v>
      </c>
      <c r="E38" s="128">
        <v>-236.61</v>
      </c>
      <c r="F38" s="128">
        <v>-236.61</v>
      </c>
      <c r="G38" s="128">
        <v>-236.61</v>
      </c>
      <c r="H38" s="128">
        <v>-248.8</v>
      </c>
      <c r="I38" s="128">
        <v>0</v>
      </c>
      <c r="J38" s="128">
        <v>0</v>
      </c>
      <c r="K38" s="128">
        <v>0</v>
      </c>
      <c r="L38" s="128">
        <v>0</v>
      </c>
      <c r="M38" s="128">
        <v>0</v>
      </c>
      <c r="N38" s="128">
        <v>0</v>
      </c>
      <c r="O38" s="128">
        <v>0</v>
      </c>
      <c r="P38" s="119">
        <f t="shared" si="5"/>
        <v>-15194.02</v>
      </c>
      <c r="Q38" s="21">
        <f t="shared" si="6"/>
        <v>5.2288627793522025E-3</v>
      </c>
      <c r="S38" s="98">
        <f t="shared" si="0"/>
        <v>-15194.02</v>
      </c>
      <c r="T38" s="98">
        <f t="shared" si="1"/>
        <v>0</v>
      </c>
      <c r="U38" s="98">
        <f t="shared" si="2"/>
        <v>-11220.09</v>
      </c>
    </row>
    <row r="39" spans="1:21" x14ac:dyDescent="0.25">
      <c r="A39" s="114" t="s">
        <v>97</v>
      </c>
      <c r="B39" s="128">
        <v>0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28">
        <v>0</v>
      </c>
      <c r="O39" s="128">
        <v>0</v>
      </c>
      <c r="P39" s="119">
        <f t="shared" si="5"/>
        <v>0</v>
      </c>
      <c r="Q39" s="21">
        <f t="shared" si="6"/>
        <v>0</v>
      </c>
      <c r="S39" s="98">
        <f t="shared" si="0"/>
        <v>0</v>
      </c>
      <c r="T39" s="98">
        <f t="shared" si="1"/>
        <v>0</v>
      </c>
      <c r="U39" s="98">
        <f t="shared" si="2"/>
        <v>0</v>
      </c>
    </row>
    <row r="40" spans="1:21" x14ac:dyDescent="0.25">
      <c r="A40" s="114" t="s">
        <v>114</v>
      </c>
      <c r="B40" s="128">
        <v>0</v>
      </c>
      <c r="C40" s="128">
        <v>0</v>
      </c>
      <c r="D40" s="128">
        <v>0</v>
      </c>
      <c r="E40" s="128">
        <v>0</v>
      </c>
      <c r="F40" s="128">
        <v>0</v>
      </c>
      <c r="G40" s="128">
        <v>0</v>
      </c>
      <c r="H40" s="128">
        <v>0</v>
      </c>
      <c r="I40" s="128">
        <v>0</v>
      </c>
      <c r="J40" s="128">
        <v>0</v>
      </c>
      <c r="K40" s="128">
        <v>0</v>
      </c>
      <c r="L40" s="128">
        <v>0</v>
      </c>
      <c r="M40" s="128">
        <v>0</v>
      </c>
      <c r="N40" s="128">
        <v>0</v>
      </c>
      <c r="O40" s="128">
        <v>0</v>
      </c>
      <c r="P40" s="119">
        <f t="shared" si="5"/>
        <v>0</v>
      </c>
      <c r="Q40" s="21">
        <f t="shared" si="6"/>
        <v>0</v>
      </c>
      <c r="S40" s="98">
        <f t="shared" si="0"/>
        <v>0</v>
      </c>
      <c r="T40" s="98">
        <f t="shared" si="1"/>
        <v>0</v>
      </c>
      <c r="U40" s="98">
        <f t="shared" si="2"/>
        <v>0</v>
      </c>
    </row>
    <row r="41" spans="1:21" x14ac:dyDescent="0.25">
      <c r="A41" s="131" t="s">
        <v>31</v>
      </c>
      <c r="B41" s="132">
        <f>SUM(B15:B40)</f>
        <v>-156110.88999999998</v>
      </c>
      <c r="C41" s="132">
        <f>SUM(C15:C40)</f>
        <v>-367410.04</v>
      </c>
      <c r="D41" s="132">
        <f t="shared" ref="D41:O41" si="7">SUM(D15:D40)</f>
        <v>-2352.61</v>
      </c>
      <c r="E41" s="132">
        <f t="shared" si="7"/>
        <v>-8254.7199999999993</v>
      </c>
      <c r="F41" s="132">
        <f t="shared" si="7"/>
        <v>-7350.9999999999991</v>
      </c>
      <c r="G41" s="132">
        <f t="shared" si="7"/>
        <v>-8854.6799999999985</v>
      </c>
      <c r="H41" s="132">
        <f t="shared" si="7"/>
        <v>-7868.9400000000005</v>
      </c>
      <c r="I41" s="132">
        <f t="shared" si="7"/>
        <v>-3042.7300000000005</v>
      </c>
      <c r="J41" s="132">
        <f t="shared" si="7"/>
        <v>0</v>
      </c>
      <c r="K41" s="132">
        <f t="shared" si="7"/>
        <v>0</v>
      </c>
      <c r="L41" s="132">
        <f t="shared" si="7"/>
        <v>0</v>
      </c>
      <c r="M41" s="132">
        <f t="shared" si="7"/>
        <v>0</v>
      </c>
      <c r="N41" s="132">
        <f t="shared" si="7"/>
        <v>0</v>
      </c>
      <c r="O41" s="132">
        <f t="shared" si="7"/>
        <v>0</v>
      </c>
      <c r="P41" s="132">
        <f>SUM(P15:P40)</f>
        <v>-561245.61</v>
      </c>
      <c r="Q41" s="21">
        <f t="shared" si="6"/>
        <v>0.19314679592391099</v>
      </c>
      <c r="S41" s="98">
        <f t="shared" si="0"/>
        <v>-561245.60999999987</v>
      </c>
      <c r="T41" s="98">
        <f t="shared" si="1"/>
        <v>0</v>
      </c>
      <c r="U41" s="98">
        <f t="shared" si="2"/>
        <v>-405134.72</v>
      </c>
    </row>
    <row r="42" spans="1:21" x14ac:dyDescent="0.25">
      <c r="A42" s="133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25"/>
      <c r="Q42" s="159"/>
      <c r="S42" s="98">
        <f t="shared" si="0"/>
        <v>0</v>
      </c>
      <c r="T42" s="98">
        <f t="shared" si="1"/>
        <v>0</v>
      </c>
      <c r="U42" s="98">
        <f t="shared" si="2"/>
        <v>0</v>
      </c>
    </row>
    <row r="43" spans="1:21" x14ac:dyDescent="0.25">
      <c r="A43" s="135" t="s">
        <v>32</v>
      </c>
      <c r="B43" s="165">
        <f>B12+B41</f>
        <v>602203.12</v>
      </c>
      <c r="C43" s="165">
        <f>C12+C41</f>
        <v>1780074.1400000001</v>
      </c>
      <c r="D43" s="136">
        <f t="shared" ref="D43" si="8">D12+D41</f>
        <v>-2352.61</v>
      </c>
      <c r="E43" s="136">
        <f t="shared" ref="E43:I43" si="9">E12+E41</f>
        <v>-8254.7199999999993</v>
      </c>
      <c r="F43" s="136">
        <f t="shared" si="9"/>
        <v>-7350.9999999999991</v>
      </c>
      <c r="G43" s="136">
        <f t="shared" si="9"/>
        <v>-8854.6799999999985</v>
      </c>
      <c r="H43" s="136">
        <f t="shared" si="9"/>
        <v>-7868.9400000000005</v>
      </c>
      <c r="I43" s="165">
        <f t="shared" si="9"/>
        <v>-3042.7300000000005</v>
      </c>
      <c r="J43" s="165">
        <f t="shared" ref="J43:O43" si="10">J12+J41</f>
        <v>0</v>
      </c>
      <c r="K43" s="165">
        <f t="shared" si="10"/>
        <v>0</v>
      </c>
      <c r="L43" s="136">
        <f t="shared" si="10"/>
        <v>0</v>
      </c>
      <c r="M43" s="136">
        <f t="shared" si="10"/>
        <v>0</v>
      </c>
      <c r="N43" s="136">
        <f t="shared" si="10"/>
        <v>0</v>
      </c>
      <c r="O43" s="136">
        <f t="shared" si="10"/>
        <v>0</v>
      </c>
      <c r="P43" s="166">
        <f>SUM(B43:O43)</f>
        <v>2344552.58</v>
      </c>
      <c r="Q43" s="21">
        <f>P43/$P$12</f>
        <v>0.80685320407608885</v>
      </c>
      <c r="S43" s="98">
        <f t="shared" si="0"/>
        <v>2344552.58</v>
      </c>
      <c r="T43" s="98">
        <f t="shared" si="1"/>
        <v>0</v>
      </c>
      <c r="U43" s="98">
        <f t="shared" si="2"/>
        <v>1742349.46</v>
      </c>
    </row>
    <row r="44" spans="1:21" x14ac:dyDescent="0.25">
      <c r="A44" s="137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62"/>
      <c r="S44" s="98">
        <f t="shared" si="0"/>
        <v>0</v>
      </c>
      <c r="T44" s="98">
        <f t="shared" si="1"/>
        <v>0</v>
      </c>
      <c r="U44" s="98">
        <f t="shared" si="2"/>
        <v>0</v>
      </c>
    </row>
    <row r="45" spans="1:21" x14ac:dyDescent="0.25">
      <c r="A45" s="126" t="s">
        <v>56</v>
      </c>
      <c r="B45" s="139">
        <f t="shared" ref="B45:F45" si="11">-B10*13.15%</f>
        <v>-99718.292314999999</v>
      </c>
      <c r="C45" s="139">
        <f t="shared" ref="C45" si="12">-C10*13.15%</f>
        <v>-282394.16967000003</v>
      </c>
      <c r="D45" s="139">
        <f t="shared" ref="D45" si="13">-D10*13.15%</f>
        <v>0</v>
      </c>
      <c r="E45" s="139">
        <f t="shared" si="11"/>
        <v>0</v>
      </c>
      <c r="F45" s="139">
        <f t="shared" si="11"/>
        <v>0</v>
      </c>
      <c r="G45" s="139">
        <f>-G10*13.15%</f>
        <v>0</v>
      </c>
      <c r="H45" s="139">
        <f t="shared" ref="H45:I45" si="14">-H10*13.15%</f>
        <v>0</v>
      </c>
      <c r="I45" s="139">
        <f t="shared" si="14"/>
        <v>0</v>
      </c>
      <c r="J45" s="139">
        <f t="shared" ref="J45:O45" si="15">-J10*13.15%</f>
        <v>0</v>
      </c>
      <c r="K45" s="139">
        <f t="shared" si="15"/>
        <v>0</v>
      </c>
      <c r="L45" s="139">
        <f t="shared" si="15"/>
        <v>0</v>
      </c>
      <c r="M45" s="139">
        <f t="shared" si="15"/>
        <v>0</v>
      </c>
      <c r="N45" s="139">
        <f t="shared" si="15"/>
        <v>0</v>
      </c>
      <c r="O45" s="139">
        <f t="shared" si="15"/>
        <v>0</v>
      </c>
      <c r="P45" s="119">
        <f t="shared" ref="P45" si="16">SUM(B45:O45)</f>
        <v>-382112.46198500006</v>
      </c>
      <c r="Q45" s="21">
        <f t="shared" si="6"/>
        <v>0.13150000000000001</v>
      </c>
      <c r="S45" s="98">
        <f t="shared" si="0"/>
        <v>-382112.46198500006</v>
      </c>
      <c r="T45" s="98">
        <f t="shared" si="1"/>
        <v>0</v>
      </c>
      <c r="U45" s="98">
        <f t="shared" si="2"/>
        <v>-282394.16967000009</v>
      </c>
    </row>
    <row r="46" spans="1:21" x14ac:dyDescent="0.25">
      <c r="A46" s="137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62"/>
      <c r="S46" s="98">
        <f t="shared" si="0"/>
        <v>0</v>
      </c>
      <c r="T46" s="98">
        <f t="shared" si="1"/>
        <v>0</v>
      </c>
      <c r="U46" s="98">
        <f t="shared" si="2"/>
        <v>0</v>
      </c>
    </row>
    <row r="47" spans="1:21" x14ac:dyDescent="0.25">
      <c r="A47" s="126" t="s">
        <v>33</v>
      </c>
      <c r="B47" s="139">
        <f t="shared" ref="B47:I47" si="17">-B10*1.22%</f>
        <v>-9251.4309219999996</v>
      </c>
      <c r="C47" s="139">
        <f t="shared" ref="C47" si="18">-C10*1.22%</f>
        <v>-26199.306995999999</v>
      </c>
      <c r="D47" s="139">
        <f t="shared" ref="D47" si="19">-D10*1.22%</f>
        <v>0</v>
      </c>
      <c r="E47" s="139">
        <f t="shared" si="17"/>
        <v>0</v>
      </c>
      <c r="F47" s="139">
        <f t="shared" si="17"/>
        <v>0</v>
      </c>
      <c r="G47" s="139">
        <f t="shared" si="17"/>
        <v>0</v>
      </c>
      <c r="H47" s="139">
        <f t="shared" si="17"/>
        <v>0</v>
      </c>
      <c r="I47" s="139">
        <f t="shared" si="17"/>
        <v>0</v>
      </c>
      <c r="J47" s="139">
        <f t="shared" ref="J47:O47" si="20">-J10*1.22%</f>
        <v>0</v>
      </c>
      <c r="K47" s="139">
        <f t="shared" si="20"/>
        <v>0</v>
      </c>
      <c r="L47" s="139">
        <f t="shared" si="20"/>
        <v>0</v>
      </c>
      <c r="M47" s="139">
        <f t="shared" si="20"/>
        <v>0</v>
      </c>
      <c r="N47" s="139">
        <f t="shared" si="20"/>
        <v>0</v>
      </c>
      <c r="O47" s="139">
        <f t="shared" si="20"/>
        <v>0</v>
      </c>
      <c r="P47" s="119">
        <f t="shared" ref="P47" si="21">SUM(B47:O47)</f>
        <v>-35450.737917999999</v>
      </c>
      <c r="Q47" s="21">
        <f t="shared" si="6"/>
        <v>1.2199999999999997E-2</v>
      </c>
      <c r="S47" s="98">
        <f t="shared" si="0"/>
        <v>-35450.737917999999</v>
      </c>
      <c r="T47" s="98">
        <f t="shared" si="1"/>
        <v>0</v>
      </c>
      <c r="U47" s="98">
        <f t="shared" si="2"/>
        <v>-26199.306995999999</v>
      </c>
    </row>
    <row r="48" spans="1:21" x14ac:dyDescent="0.25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62"/>
      <c r="S48" s="98">
        <f t="shared" si="0"/>
        <v>0</v>
      </c>
      <c r="T48" s="98">
        <f t="shared" si="1"/>
        <v>0</v>
      </c>
      <c r="U48" s="98">
        <f t="shared" si="2"/>
        <v>0</v>
      </c>
    </row>
    <row r="49" spans="1:21" x14ac:dyDescent="0.25">
      <c r="A49" s="113" t="s">
        <v>57</v>
      </c>
      <c r="B49" s="142">
        <f t="shared" ref="B49:H49" si="22">B41*5.56%</f>
        <v>-8679.7654839999977</v>
      </c>
      <c r="C49" s="142">
        <f t="shared" ref="C49" si="23">C41*5.56%</f>
        <v>-20427.998223999999</v>
      </c>
      <c r="D49" s="142">
        <f t="shared" ref="D49" si="24">D41*5.56%</f>
        <v>-130.805116</v>
      </c>
      <c r="E49" s="142">
        <f t="shared" si="22"/>
        <v>-458.96243199999992</v>
      </c>
      <c r="F49" s="142">
        <f t="shared" si="22"/>
        <v>-408.71559999999994</v>
      </c>
      <c r="G49" s="142">
        <f t="shared" si="22"/>
        <v>-492.32020799999987</v>
      </c>
      <c r="H49" s="142">
        <f t="shared" si="22"/>
        <v>-437.51306399999999</v>
      </c>
      <c r="I49" s="142">
        <f>I41*5.56%</f>
        <v>-169.17578800000001</v>
      </c>
      <c r="J49" s="142">
        <f t="shared" ref="J49:O49" si="25">J41*5.56%</f>
        <v>0</v>
      </c>
      <c r="K49" s="142">
        <f t="shared" si="25"/>
        <v>0</v>
      </c>
      <c r="L49" s="142">
        <f t="shared" si="25"/>
        <v>0</v>
      </c>
      <c r="M49" s="142">
        <f t="shared" si="25"/>
        <v>0</v>
      </c>
      <c r="N49" s="142">
        <f t="shared" si="25"/>
        <v>0</v>
      </c>
      <c r="O49" s="142">
        <f t="shared" si="25"/>
        <v>0</v>
      </c>
      <c r="P49" s="119">
        <f t="shared" ref="P49" si="26">SUM(B49:O49)</f>
        <v>-31205.255915999998</v>
      </c>
      <c r="Q49" s="21">
        <f t="shared" si="6"/>
        <v>1.073896185336945E-2</v>
      </c>
      <c r="S49" s="98">
        <f t="shared" si="0"/>
        <v>-31205.255915999998</v>
      </c>
      <c r="T49" s="98">
        <f t="shared" si="1"/>
        <v>0</v>
      </c>
      <c r="U49" s="98">
        <f t="shared" si="2"/>
        <v>-22525.490431999999</v>
      </c>
    </row>
    <row r="50" spans="1:21" x14ac:dyDescent="0.25">
      <c r="A50" s="140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62"/>
      <c r="S50" s="98">
        <f t="shared" si="0"/>
        <v>0</v>
      </c>
      <c r="T50" s="98">
        <f t="shared" si="1"/>
        <v>0</v>
      </c>
      <c r="U50" s="98">
        <f t="shared" si="2"/>
        <v>0</v>
      </c>
    </row>
    <row r="51" spans="1:21" x14ac:dyDescent="0.25">
      <c r="A51" s="113" t="s">
        <v>58</v>
      </c>
      <c r="B51" s="142">
        <f t="shared" ref="B51:F51" si="27">B41*0.01%</f>
        <v>-15.611089</v>
      </c>
      <c r="C51" s="142">
        <f t="shared" ref="C51" si="28">C41*0.01%</f>
        <v>-36.741003999999997</v>
      </c>
      <c r="D51" s="142">
        <f t="shared" ref="D51" si="29">D41*0.01%</f>
        <v>-0.23526100000000003</v>
      </c>
      <c r="E51" s="142">
        <f t="shared" si="27"/>
        <v>-0.82547199999999998</v>
      </c>
      <c r="F51" s="142">
        <f t="shared" si="27"/>
        <v>-0.73509999999999998</v>
      </c>
      <c r="G51" s="142">
        <f>G41*0.01%</f>
        <v>-0.88546799999999992</v>
      </c>
      <c r="H51" s="142">
        <f t="shared" ref="H51" si="30">H41*0.01%</f>
        <v>-0.78689400000000009</v>
      </c>
      <c r="I51" s="142">
        <f>I41*0.01%</f>
        <v>-0.30427300000000007</v>
      </c>
      <c r="J51" s="142">
        <f t="shared" ref="J51:O51" si="31">J41*0.01%</f>
        <v>0</v>
      </c>
      <c r="K51" s="142">
        <f t="shared" si="31"/>
        <v>0</v>
      </c>
      <c r="L51" s="142">
        <f t="shared" si="31"/>
        <v>0</v>
      </c>
      <c r="M51" s="142">
        <f t="shared" si="31"/>
        <v>0</v>
      </c>
      <c r="N51" s="142">
        <f t="shared" si="31"/>
        <v>0</v>
      </c>
      <c r="O51" s="142">
        <f t="shared" si="31"/>
        <v>0</v>
      </c>
      <c r="P51" s="119">
        <f t="shared" ref="P51" si="32">SUM(B51:O51)</f>
        <v>-56.124561</v>
      </c>
      <c r="Q51" s="21">
        <f t="shared" si="6"/>
        <v>1.9314679592391098E-5</v>
      </c>
      <c r="S51" s="98">
        <f t="shared" si="0"/>
        <v>-56.124561</v>
      </c>
      <c r="T51" s="98">
        <f t="shared" si="1"/>
        <v>0</v>
      </c>
      <c r="U51" s="98">
        <f t="shared" si="2"/>
        <v>-40.513472</v>
      </c>
    </row>
    <row r="52" spans="1:21" x14ac:dyDescent="0.25">
      <c r="A52" s="140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62"/>
      <c r="S52" s="98">
        <f t="shared" si="0"/>
        <v>0</v>
      </c>
      <c r="T52" s="98">
        <f t="shared" si="1"/>
        <v>0</v>
      </c>
      <c r="U52" s="98">
        <f t="shared" si="2"/>
        <v>0</v>
      </c>
    </row>
    <row r="53" spans="1:21" x14ac:dyDescent="0.25">
      <c r="A53" s="135" t="s">
        <v>182</v>
      </c>
      <c r="B53" s="136">
        <f>B43+B49+B51+B45+B47</f>
        <v>484538.02019000007</v>
      </c>
      <c r="C53" s="136">
        <f>C43+C49+C51+C45+C47</f>
        <v>1451015.9241060002</v>
      </c>
      <c r="D53" s="165">
        <f>D43+D49+D51+D45+D47</f>
        <v>-2483.6503769999999</v>
      </c>
      <c r="E53" s="136">
        <f>E43+E49+E51+E45+E47</f>
        <v>-8714.5079040000001</v>
      </c>
      <c r="F53" s="136">
        <f t="shared" ref="F53:H53" si="33">F43+F49+F51+F45+F47</f>
        <v>-7760.4506999999985</v>
      </c>
      <c r="G53" s="136">
        <f t="shared" si="33"/>
        <v>-9347.8856759999981</v>
      </c>
      <c r="H53" s="136">
        <f t="shared" si="33"/>
        <v>-8307.2399580000019</v>
      </c>
      <c r="I53" s="165">
        <f>I43+I49+I51+I45+I47</f>
        <v>-3212.2100610000007</v>
      </c>
      <c r="J53" s="165">
        <f t="shared" ref="J53:O53" si="34">J43+J49+J51+J45+J47</f>
        <v>0</v>
      </c>
      <c r="K53" s="165">
        <f t="shared" si="34"/>
        <v>0</v>
      </c>
      <c r="L53" s="136">
        <f t="shared" si="34"/>
        <v>0</v>
      </c>
      <c r="M53" s="136">
        <f t="shared" si="34"/>
        <v>0</v>
      </c>
      <c r="N53" s="136">
        <f t="shared" si="34"/>
        <v>0</v>
      </c>
      <c r="O53" s="136">
        <f t="shared" si="34"/>
        <v>0</v>
      </c>
      <c r="P53" s="166">
        <f>SUM(B53:O53)</f>
        <v>1895727.9996200004</v>
      </c>
      <c r="Q53" s="21">
        <f>P53/$P$12</f>
        <v>0.65239492754312722</v>
      </c>
      <c r="S53" s="98">
        <f>SUM(B53:O53)</f>
        <v>1895727.9996200004</v>
      </c>
      <c r="T53" s="98">
        <f t="shared" si="1"/>
        <v>0</v>
      </c>
      <c r="U53" s="98">
        <f t="shared" si="2"/>
        <v>1411189.9794300003</v>
      </c>
    </row>
    <row r="54" spans="1:21" x14ac:dyDescent="0.25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63"/>
    </row>
    <row r="55" spans="1:21" x14ac:dyDescent="0.25">
      <c r="A55" s="144" t="s">
        <v>35</v>
      </c>
      <c r="B55" s="13"/>
      <c r="C55" s="13"/>
      <c r="D55" s="13"/>
      <c r="E55" s="13">
        <v>1</v>
      </c>
      <c r="F55" s="13">
        <v>1</v>
      </c>
      <c r="G55" s="13">
        <v>1</v>
      </c>
      <c r="H55" s="13">
        <v>1</v>
      </c>
      <c r="I55" s="13">
        <v>1</v>
      </c>
      <c r="J55" s="13"/>
      <c r="K55" s="13"/>
      <c r="L55" s="13"/>
      <c r="M55" s="13"/>
      <c r="N55" s="13"/>
      <c r="O55" s="13"/>
      <c r="P55" s="145"/>
      <c r="Q55" s="163"/>
    </row>
    <row r="56" spans="1:21" x14ac:dyDescent="0.25">
      <c r="A56" s="80"/>
      <c r="B56" s="109"/>
      <c r="C56" s="109"/>
      <c r="D56" s="109"/>
      <c r="E56" s="109"/>
      <c r="F56" s="109"/>
      <c r="G56" s="109"/>
      <c r="H56" s="109"/>
      <c r="I56" s="153" t="s">
        <v>140</v>
      </c>
      <c r="J56" s="109"/>
      <c r="K56" s="109"/>
      <c r="L56" s="109"/>
      <c r="M56" s="109"/>
      <c r="N56" s="153"/>
      <c r="O56" s="109"/>
      <c r="P56" s="109"/>
    </row>
    <row r="57" spans="1:21" x14ac:dyDescent="0.25">
      <c r="A57" s="146" t="s">
        <v>36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64">
        <v>46203</v>
      </c>
    </row>
    <row r="58" spans="1:21" x14ac:dyDescent="0.25">
      <c r="B58" s="98">
        <f t="shared" ref="B58:I58" si="35">B12+B41+B45+B47+B49+B51</f>
        <v>484538.02019000007</v>
      </c>
      <c r="C58" s="98"/>
      <c r="D58" s="98">
        <f t="shared" ref="D58" si="36">D12+D41+D45+D47+D49+D51</f>
        <v>-2483.6503769999999</v>
      </c>
      <c r="E58" s="98">
        <f t="shared" si="35"/>
        <v>-8714.5079040000001</v>
      </c>
      <c r="F58" s="98">
        <f t="shared" si="35"/>
        <v>-7760.4506999999985</v>
      </c>
      <c r="G58" s="98">
        <f t="shared" si="35"/>
        <v>-9347.8856759999981</v>
      </c>
      <c r="H58" s="98">
        <f t="shared" si="35"/>
        <v>-8307.2399580000019</v>
      </c>
      <c r="I58" s="98">
        <f t="shared" si="35"/>
        <v>-3212.2100610000007</v>
      </c>
      <c r="J58" s="98">
        <f t="shared" ref="J58:O58" si="37">J12+J41+J45+J47+J49+J51</f>
        <v>0</v>
      </c>
      <c r="K58" s="98">
        <f t="shared" si="37"/>
        <v>0</v>
      </c>
      <c r="L58" s="98">
        <f t="shared" si="37"/>
        <v>0</v>
      </c>
      <c r="M58" s="98">
        <f t="shared" si="37"/>
        <v>0</v>
      </c>
      <c r="N58" s="98">
        <f t="shared" si="37"/>
        <v>0</v>
      </c>
      <c r="O58" s="98">
        <f t="shared" si="37"/>
        <v>0</v>
      </c>
      <c r="P58" s="98">
        <f>P12+P41+P45+P47+P49+P51</f>
        <v>1895727.9996200006</v>
      </c>
    </row>
    <row r="60" spans="1:21" x14ac:dyDescent="0.25">
      <c r="B60" s="98">
        <f t="shared" ref="B60:P60" si="38">B58-B53</f>
        <v>0</v>
      </c>
      <c r="C60" s="98"/>
      <c r="D60" s="98">
        <f t="shared" ref="D60" si="39">D58-D53</f>
        <v>0</v>
      </c>
      <c r="E60" s="98">
        <f t="shared" si="38"/>
        <v>0</v>
      </c>
      <c r="F60" s="98">
        <f t="shared" si="38"/>
        <v>0</v>
      </c>
      <c r="G60" s="98">
        <f t="shared" si="38"/>
        <v>0</v>
      </c>
      <c r="H60" s="98">
        <f t="shared" si="38"/>
        <v>0</v>
      </c>
      <c r="I60" s="98">
        <f t="shared" si="38"/>
        <v>0</v>
      </c>
      <c r="J60" s="98">
        <f t="shared" ref="J60:O60" si="40">J58-J53</f>
        <v>0</v>
      </c>
      <c r="K60" s="98">
        <f t="shared" si="40"/>
        <v>0</v>
      </c>
      <c r="L60" s="98">
        <f t="shared" si="40"/>
        <v>0</v>
      </c>
      <c r="M60" s="98">
        <f t="shared" si="40"/>
        <v>0</v>
      </c>
      <c r="N60" s="98">
        <f t="shared" si="40"/>
        <v>0</v>
      </c>
      <c r="O60" s="98">
        <f t="shared" si="40"/>
        <v>0</v>
      </c>
      <c r="P60" s="98">
        <f t="shared" si="38"/>
        <v>0</v>
      </c>
    </row>
  </sheetData>
  <mergeCells count="4">
    <mergeCell ref="A6:P6"/>
    <mergeCell ref="A4:P4"/>
    <mergeCell ref="A2:P2"/>
    <mergeCell ref="A1:Q1"/>
  </mergeCells>
  <conditionalFormatting sqref="B53:D53">
    <cfRule type="cellIs" dxfId="17" priority="3" operator="lessThan">
      <formula>0</formula>
    </cfRule>
    <cfRule type="cellIs" dxfId="16" priority="4" operator="greaterThan">
      <formula>0</formula>
    </cfRule>
  </conditionalFormatting>
  <conditionalFormatting sqref="F53">
    <cfRule type="cellIs" dxfId="15" priority="1" operator="lessThan">
      <formula>0</formula>
    </cfRule>
    <cfRule type="cellIs" dxfId="14" priority="2" operator="greaterThan">
      <formula>0</formula>
    </cfRule>
  </conditionalFormatting>
  <printOptions horizontalCentered="1" verticalCentered="1"/>
  <pageMargins left="0" right="0" top="0.19685039370078741" bottom="0" header="1.1417322834645669" footer="0"/>
  <pageSetup paperSize="9" scale="71" orientation="landscape" r:id="rId1"/>
  <headerFooter>
    <oddHeader xml:space="preserve">&amp;L&amp;"-,Negrito"&amp;14                                                                                                                                                                                                                           
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9"/>
  </sheetPr>
  <dimension ref="A1:U59"/>
  <sheetViews>
    <sheetView zoomScale="85" zoomScaleNormal="85" workbookViewId="0">
      <pane xSplit="1" topLeftCell="B1" activePane="topRight" state="frozen"/>
      <selection activeCell="E21" sqref="E21"/>
      <selection pane="topRight" activeCell="H13" sqref="H13"/>
    </sheetView>
  </sheetViews>
  <sheetFormatPr defaultRowHeight="15" x14ac:dyDescent="0.25"/>
  <cols>
    <col min="1" max="1" width="45.28515625" customWidth="1"/>
    <col min="2" max="5" width="16.140625" customWidth="1"/>
    <col min="6" max="6" width="16.85546875" customWidth="1"/>
    <col min="7" max="9" width="16.7109375" customWidth="1"/>
    <col min="10" max="15" width="16.7109375" hidden="1" customWidth="1"/>
    <col min="16" max="16" width="16.140625" bestFit="1" customWidth="1"/>
    <col min="17" max="17" width="11.85546875" style="153" bestFit="1" customWidth="1"/>
    <col min="19" max="19" width="15.140625" bestFit="1" customWidth="1"/>
    <col min="20" max="21" width="14.42578125" bestFit="1" customWidth="1"/>
  </cols>
  <sheetData>
    <row r="1" spans="1:21" ht="15.75" x14ac:dyDescent="0.25">
      <c r="A1" s="214" t="s">
        <v>351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21" ht="11.25" customHeight="1" x14ac:dyDescent="0.25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</row>
    <row r="3" spans="1:21" ht="15.75" x14ac:dyDescent="0.25">
      <c r="A3" s="214" t="s">
        <v>352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</row>
    <row r="4" spans="1:21" ht="10.5" customHeight="1" x14ac:dyDescent="0.25">
      <c r="A4" s="108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spans="1:21" ht="13.5" customHeight="1" x14ac:dyDescent="0.25">
      <c r="A5" s="202" t="s">
        <v>353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</row>
    <row r="6" spans="1:21" ht="8.25" customHeight="1" x14ac:dyDescent="0.25">
      <c r="A6" s="110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</row>
    <row r="7" spans="1:21" x14ac:dyDescent="0.25">
      <c r="A7" s="111"/>
      <c r="B7" s="112" t="s">
        <v>223</v>
      </c>
      <c r="C7" s="60" t="s">
        <v>303</v>
      </c>
      <c r="D7" s="60" t="s">
        <v>304</v>
      </c>
      <c r="E7" s="60" t="s">
        <v>305</v>
      </c>
      <c r="F7" s="60" t="s">
        <v>306</v>
      </c>
      <c r="G7" s="60" t="s">
        <v>307</v>
      </c>
      <c r="H7" s="60" t="s">
        <v>308</v>
      </c>
      <c r="I7" s="60" t="s">
        <v>309</v>
      </c>
      <c r="J7" s="60" t="s">
        <v>310</v>
      </c>
      <c r="K7" s="60" t="s">
        <v>311</v>
      </c>
      <c r="L7" s="60" t="s">
        <v>312</v>
      </c>
      <c r="M7" s="60" t="s">
        <v>313</v>
      </c>
      <c r="N7" s="60" t="s">
        <v>314</v>
      </c>
      <c r="O7" s="60" t="s">
        <v>225</v>
      </c>
      <c r="P7" s="13" t="s">
        <v>1</v>
      </c>
      <c r="Q7" s="158" t="s">
        <v>2</v>
      </c>
      <c r="U7" s="175">
        <v>2025</v>
      </c>
    </row>
    <row r="8" spans="1:21" x14ac:dyDescent="0.25">
      <c r="A8" s="114" t="s">
        <v>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6"/>
      <c r="Q8" s="159"/>
    </row>
    <row r="9" spans="1:21" x14ac:dyDescent="0.25">
      <c r="A9" s="117" t="s">
        <v>4</v>
      </c>
      <c r="B9" s="118">
        <v>91931.68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  <c r="O9" s="118">
        <v>0</v>
      </c>
      <c r="P9" s="119">
        <f>SUM(B9:O9)</f>
        <v>91931.68</v>
      </c>
      <c r="Q9" s="21">
        <v>1</v>
      </c>
      <c r="S9" s="98">
        <f>SUM(B9:O9)</f>
        <v>91931.68</v>
      </c>
      <c r="T9" s="98">
        <f t="shared" ref="T9:T52" si="0">S9-P9</f>
        <v>0</v>
      </c>
      <c r="U9" s="98">
        <f>P9-B9</f>
        <v>0</v>
      </c>
    </row>
    <row r="10" spans="1:21" x14ac:dyDescent="0.25">
      <c r="A10" s="114" t="s">
        <v>5</v>
      </c>
      <c r="B10" s="118">
        <v>90138.52</v>
      </c>
      <c r="C10" s="118">
        <v>426377.87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  <c r="O10" s="118">
        <v>0</v>
      </c>
      <c r="P10" s="119">
        <f>SUM(B10:O10)</f>
        <v>516516.39</v>
      </c>
      <c r="Q10" s="21">
        <v>1</v>
      </c>
      <c r="S10" s="98">
        <f t="shared" ref="S10:S52" si="1">SUM(B10:O10)</f>
        <v>516516.39</v>
      </c>
      <c r="T10" s="98">
        <f t="shared" si="0"/>
        <v>0</v>
      </c>
      <c r="U10" s="98">
        <f t="shared" ref="U10:U52" si="2">P10-B10</f>
        <v>426377.87</v>
      </c>
    </row>
    <row r="11" spans="1:21" x14ac:dyDescent="0.25">
      <c r="A11" s="121" t="s">
        <v>6</v>
      </c>
      <c r="B11" s="122">
        <f t="shared" ref="B11:O11" si="3">SUM(B9:B10)</f>
        <v>182070.2</v>
      </c>
      <c r="C11" s="122">
        <f t="shared" si="3"/>
        <v>426377.87</v>
      </c>
      <c r="D11" s="122">
        <f t="shared" ref="D11" si="4">SUM(D9:D10)</f>
        <v>0</v>
      </c>
      <c r="E11" s="122">
        <f t="shared" si="3"/>
        <v>0</v>
      </c>
      <c r="F11" s="122">
        <f t="shared" si="3"/>
        <v>0</v>
      </c>
      <c r="G11" s="122">
        <f t="shared" si="3"/>
        <v>0</v>
      </c>
      <c r="H11" s="122">
        <f t="shared" si="3"/>
        <v>0</v>
      </c>
      <c r="I11" s="122">
        <f t="shared" si="3"/>
        <v>0</v>
      </c>
      <c r="J11" s="122">
        <f t="shared" si="3"/>
        <v>0</v>
      </c>
      <c r="K11" s="122">
        <f t="shared" si="3"/>
        <v>0</v>
      </c>
      <c r="L11" s="122">
        <f t="shared" si="3"/>
        <v>0</v>
      </c>
      <c r="M11" s="122">
        <f t="shared" si="3"/>
        <v>0</v>
      </c>
      <c r="N11" s="122">
        <f t="shared" ref="N11" si="5">SUM(N9:N10)</f>
        <v>0</v>
      </c>
      <c r="O11" s="122">
        <f t="shared" si="3"/>
        <v>0</v>
      </c>
      <c r="P11" s="122">
        <f>SUM(P9:P10)</f>
        <v>608448.07000000007</v>
      </c>
      <c r="Q11" s="21">
        <v>1</v>
      </c>
      <c r="S11" s="98">
        <f t="shared" si="1"/>
        <v>608448.07000000007</v>
      </c>
      <c r="T11" s="98">
        <f t="shared" si="0"/>
        <v>0</v>
      </c>
      <c r="U11" s="98">
        <f t="shared" si="2"/>
        <v>426377.87000000005</v>
      </c>
    </row>
    <row r="12" spans="1:21" x14ac:dyDescent="0.25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5"/>
      <c r="Q12" s="160"/>
      <c r="S12" s="98">
        <f t="shared" si="1"/>
        <v>0</v>
      </c>
      <c r="T12" s="98">
        <f t="shared" si="0"/>
        <v>0</v>
      </c>
      <c r="U12" s="98">
        <f t="shared" si="2"/>
        <v>0</v>
      </c>
    </row>
    <row r="13" spans="1:21" x14ac:dyDescent="0.25">
      <c r="A13" s="126" t="s">
        <v>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7"/>
      <c r="Q13" s="161"/>
      <c r="S13" s="98">
        <f t="shared" si="1"/>
        <v>0</v>
      </c>
      <c r="T13" s="98">
        <f t="shared" si="0"/>
        <v>0</v>
      </c>
      <c r="U13" s="98">
        <f t="shared" si="2"/>
        <v>0</v>
      </c>
    </row>
    <row r="14" spans="1:21" x14ac:dyDescent="0.25">
      <c r="A14" s="114" t="s">
        <v>8</v>
      </c>
      <c r="B14" s="128">
        <v>-10103.549999999999</v>
      </c>
      <c r="C14" s="128">
        <v>-36705.839999999997</v>
      </c>
      <c r="D14" s="128">
        <v>-1255.2</v>
      </c>
      <c r="E14" s="128">
        <v>-1803.2</v>
      </c>
      <c r="F14" s="128">
        <v>-834.23</v>
      </c>
      <c r="G14" s="128">
        <v>-1432.96</v>
      </c>
      <c r="H14" s="128">
        <v>0</v>
      </c>
      <c r="I14" s="128">
        <v>0</v>
      </c>
      <c r="J14" s="128">
        <v>0</v>
      </c>
      <c r="K14" s="128">
        <v>0</v>
      </c>
      <c r="L14" s="128">
        <v>0</v>
      </c>
      <c r="M14" s="128">
        <v>0</v>
      </c>
      <c r="N14" s="128">
        <v>0</v>
      </c>
      <c r="O14" s="128">
        <v>0</v>
      </c>
      <c r="P14" s="119">
        <f>SUM(B14:O14)</f>
        <v>-52134.979999999996</v>
      </c>
      <c r="Q14" s="21">
        <f>-P14/$P$11</f>
        <v>8.5685176057835127E-2</v>
      </c>
      <c r="S14" s="98">
        <f t="shared" si="1"/>
        <v>-52134.979999999996</v>
      </c>
      <c r="T14" s="98">
        <f>S14-P14</f>
        <v>0</v>
      </c>
      <c r="U14" s="98">
        <f t="shared" si="2"/>
        <v>-42031.429999999993</v>
      </c>
    </row>
    <row r="15" spans="1:21" x14ac:dyDescent="0.25">
      <c r="A15" s="129" t="s">
        <v>9</v>
      </c>
      <c r="B15" s="128">
        <v>0</v>
      </c>
      <c r="C15" s="128">
        <v>0</v>
      </c>
      <c r="D15" s="128">
        <v>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0</v>
      </c>
      <c r="L15" s="128">
        <v>0</v>
      </c>
      <c r="M15" s="128">
        <v>0</v>
      </c>
      <c r="N15" s="128">
        <v>0</v>
      </c>
      <c r="O15" s="128">
        <v>0</v>
      </c>
      <c r="P15" s="119">
        <f t="shared" ref="P15:P39" si="6">SUM(B15:O15)</f>
        <v>0</v>
      </c>
      <c r="Q15" s="21">
        <f t="shared" ref="Q15:Q50" si="7">-P15/$P$11</f>
        <v>0</v>
      </c>
      <c r="S15" s="98">
        <f t="shared" si="1"/>
        <v>0</v>
      </c>
      <c r="T15" s="98">
        <f t="shared" si="0"/>
        <v>0</v>
      </c>
      <c r="U15" s="98">
        <f t="shared" si="2"/>
        <v>0</v>
      </c>
    </row>
    <row r="16" spans="1:21" x14ac:dyDescent="0.25">
      <c r="A16" s="114" t="s">
        <v>10</v>
      </c>
      <c r="B16" s="128">
        <v>0</v>
      </c>
      <c r="C16" s="128">
        <v>0</v>
      </c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28">
        <v>0</v>
      </c>
      <c r="O16" s="128">
        <v>0</v>
      </c>
      <c r="P16" s="119">
        <f t="shared" si="6"/>
        <v>0</v>
      </c>
      <c r="Q16" s="21">
        <f t="shared" si="7"/>
        <v>0</v>
      </c>
      <c r="S16" s="98">
        <f t="shared" si="1"/>
        <v>0</v>
      </c>
      <c r="T16" s="98">
        <f t="shared" si="0"/>
        <v>0</v>
      </c>
      <c r="U16" s="98">
        <f t="shared" si="2"/>
        <v>0</v>
      </c>
    </row>
    <row r="17" spans="1:21" x14ac:dyDescent="0.25">
      <c r="A17" s="129" t="s">
        <v>11</v>
      </c>
      <c r="B17" s="128">
        <v>-84.45</v>
      </c>
      <c r="C17" s="128">
        <v>-94.41</v>
      </c>
      <c r="D17" s="128">
        <v>0</v>
      </c>
      <c r="E17" s="128">
        <v>0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28">
        <v>0</v>
      </c>
      <c r="O17" s="128">
        <v>0</v>
      </c>
      <c r="P17" s="119">
        <f t="shared" si="6"/>
        <v>-178.86</v>
      </c>
      <c r="Q17" s="21">
        <f t="shared" si="7"/>
        <v>2.9396099489640914E-4</v>
      </c>
      <c r="S17" s="98">
        <f t="shared" si="1"/>
        <v>-178.86</v>
      </c>
      <c r="T17" s="98">
        <f t="shared" si="0"/>
        <v>0</v>
      </c>
      <c r="U17" s="98">
        <f t="shared" si="2"/>
        <v>-94.410000000000011</v>
      </c>
    </row>
    <row r="18" spans="1:21" x14ac:dyDescent="0.25">
      <c r="A18" s="114" t="s">
        <v>12</v>
      </c>
      <c r="B18" s="128">
        <v>-9723.81</v>
      </c>
      <c r="C18" s="128">
        <v>-20933.43</v>
      </c>
      <c r="D18" s="128">
        <v>-630.97</v>
      </c>
      <c r="E18" s="128">
        <v>-284.63</v>
      </c>
      <c r="F18" s="128">
        <v>-946.45</v>
      </c>
      <c r="G18" s="128">
        <v>0</v>
      </c>
      <c r="H18" s="128">
        <v>0</v>
      </c>
      <c r="I18" s="128">
        <v>0</v>
      </c>
      <c r="J18" s="128">
        <v>0</v>
      </c>
      <c r="K18" s="128">
        <v>0</v>
      </c>
      <c r="L18" s="128">
        <v>0</v>
      </c>
      <c r="M18" s="128">
        <v>0</v>
      </c>
      <c r="N18" s="128">
        <v>0</v>
      </c>
      <c r="O18" s="128">
        <v>0</v>
      </c>
      <c r="P18" s="119">
        <f t="shared" si="6"/>
        <v>-32519.29</v>
      </c>
      <c r="Q18" s="21">
        <f t="shared" si="7"/>
        <v>5.3446286714328793E-2</v>
      </c>
      <c r="S18" s="98">
        <f t="shared" si="1"/>
        <v>-32519.29</v>
      </c>
      <c r="T18" s="98">
        <f t="shared" si="0"/>
        <v>0</v>
      </c>
      <c r="U18" s="98">
        <f t="shared" si="2"/>
        <v>-22795.480000000003</v>
      </c>
    </row>
    <row r="19" spans="1:21" x14ac:dyDescent="0.25">
      <c r="A19" s="114" t="s">
        <v>13</v>
      </c>
      <c r="B19" s="128">
        <v>-5779.97</v>
      </c>
      <c r="C19" s="128">
        <v>-15741.48</v>
      </c>
      <c r="D19" s="128">
        <v>-750.08</v>
      </c>
      <c r="E19" s="128">
        <v>-439.81</v>
      </c>
      <c r="F19" s="128">
        <v>-626.38</v>
      </c>
      <c r="G19" s="128">
        <v>0</v>
      </c>
      <c r="H19" s="128">
        <v>0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  <c r="N19" s="128">
        <v>0</v>
      </c>
      <c r="O19" s="128">
        <v>0</v>
      </c>
      <c r="P19" s="119">
        <f t="shared" si="6"/>
        <v>-23337.720000000005</v>
      </c>
      <c r="Q19" s="21">
        <f t="shared" si="7"/>
        <v>3.8356141059006074E-2</v>
      </c>
      <c r="S19" s="98">
        <f t="shared" si="1"/>
        <v>-23337.720000000005</v>
      </c>
      <c r="T19" s="98">
        <f t="shared" si="0"/>
        <v>0</v>
      </c>
      <c r="U19" s="98">
        <f t="shared" si="2"/>
        <v>-17557.750000000004</v>
      </c>
    </row>
    <row r="20" spans="1:21" x14ac:dyDescent="0.25">
      <c r="A20" s="114" t="s">
        <v>14</v>
      </c>
      <c r="B20" s="128">
        <v>-9295.92</v>
      </c>
      <c r="C20" s="128">
        <v>-28405.82</v>
      </c>
      <c r="D20" s="128">
        <v>-140.84</v>
      </c>
      <c r="E20" s="128">
        <v>-1189.6300000000001</v>
      </c>
      <c r="F20" s="128">
        <v>-1169.6400000000001</v>
      </c>
      <c r="G20" s="128">
        <v>0</v>
      </c>
      <c r="H20" s="128">
        <v>0</v>
      </c>
      <c r="I20" s="128">
        <v>0</v>
      </c>
      <c r="J20" s="128">
        <v>0</v>
      </c>
      <c r="K20" s="128">
        <v>0</v>
      </c>
      <c r="L20" s="128">
        <v>0</v>
      </c>
      <c r="M20" s="128">
        <v>0</v>
      </c>
      <c r="N20" s="128">
        <v>0</v>
      </c>
      <c r="O20" s="128">
        <v>0</v>
      </c>
      <c r="P20" s="119">
        <f t="shared" si="6"/>
        <v>-40201.849999999991</v>
      </c>
      <c r="Q20" s="21">
        <f t="shared" si="7"/>
        <v>6.6072771009036135E-2</v>
      </c>
      <c r="S20" s="98">
        <f t="shared" si="1"/>
        <v>-40201.849999999991</v>
      </c>
      <c r="T20" s="98">
        <f t="shared" si="0"/>
        <v>0</v>
      </c>
      <c r="U20" s="98">
        <f t="shared" si="2"/>
        <v>-30905.929999999993</v>
      </c>
    </row>
    <row r="21" spans="1:21" x14ac:dyDescent="0.25">
      <c r="A21" s="114" t="s">
        <v>15</v>
      </c>
      <c r="B21" s="128">
        <v>0</v>
      </c>
      <c r="C21" s="128">
        <v>0</v>
      </c>
      <c r="D21" s="128">
        <v>0</v>
      </c>
      <c r="E21" s="128">
        <v>0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28">
        <v>0</v>
      </c>
      <c r="N21" s="128">
        <v>0</v>
      </c>
      <c r="O21" s="128">
        <v>0</v>
      </c>
      <c r="P21" s="119">
        <f t="shared" si="6"/>
        <v>0</v>
      </c>
      <c r="Q21" s="21">
        <f t="shared" si="7"/>
        <v>0</v>
      </c>
      <c r="S21" s="98">
        <f t="shared" si="1"/>
        <v>0</v>
      </c>
      <c r="T21" s="98">
        <f t="shared" si="0"/>
        <v>0</v>
      </c>
      <c r="U21" s="98">
        <f t="shared" si="2"/>
        <v>0</v>
      </c>
    </row>
    <row r="22" spans="1:21" x14ac:dyDescent="0.25">
      <c r="A22" s="114" t="s">
        <v>16</v>
      </c>
      <c r="B22" s="128">
        <v>0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28">
        <v>0</v>
      </c>
      <c r="P22" s="119">
        <f t="shared" si="6"/>
        <v>0</v>
      </c>
      <c r="Q22" s="21">
        <f t="shared" si="7"/>
        <v>0</v>
      </c>
      <c r="S22" s="98">
        <f t="shared" si="1"/>
        <v>0</v>
      </c>
      <c r="T22" s="98">
        <f t="shared" si="0"/>
        <v>0</v>
      </c>
      <c r="U22" s="98">
        <f t="shared" si="2"/>
        <v>0</v>
      </c>
    </row>
    <row r="23" spans="1:21" x14ac:dyDescent="0.25">
      <c r="A23" s="114" t="s">
        <v>17</v>
      </c>
      <c r="B23" s="128">
        <v>-6358.16</v>
      </c>
      <c r="C23" s="128">
        <v>-28098.38</v>
      </c>
      <c r="D23" s="128">
        <v>-1911.1</v>
      </c>
      <c r="E23" s="128">
        <v>-1013.37</v>
      </c>
      <c r="F23" s="128">
        <v>-1484.03</v>
      </c>
      <c r="G23" s="128">
        <v>0</v>
      </c>
      <c r="H23" s="128">
        <v>0</v>
      </c>
      <c r="I23" s="128">
        <v>0</v>
      </c>
      <c r="J23" s="128">
        <v>0</v>
      </c>
      <c r="K23" s="128">
        <v>0</v>
      </c>
      <c r="L23" s="128">
        <v>0</v>
      </c>
      <c r="M23" s="128">
        <v>0</v>
      </c>
      <c r="N23" s="128">
        <v>0</v>
      </c>
      <c r="O23" s="128">
        <v>0</v>
      </c>
      <c r="P23" s="119">
        <f t="shared" si="6"/>
        <v>-38865.040000000001</v>
      </c>
      <c r="Q23" s="21">
        <f t="shared" si="7"/>
        <v>6.3875689506254815E-2</v>
      </c>
      <c r="S23" s="98">
        <f t="shared" si="1"/>
        <v>-38865.040000000001</v>
      </c>
      <c r="T23" s="98">
        <f t="shared" si="0"/>
        <v>0</v>
      </c>
      <c r="U23" s="98">
        <f t="shared" si="2"/>
        <v>-32506.880000000001</v>
      </c>
    </row>
    <row r="24" spans="1:21" x14ac:dyDescent="0.25">
      <c r="A24" s="114" t="s">
        <v>18</v>
      </c>
      <c r="B24" s="128">
        <v>0</v>
      </c>
      <c r="C24" s="128">
        <v>0</v>
      </c>
      <c r="D24" s="128">
        <v>0</v>
      </c>
      <c r="E24" s="128">
        <v>0</v>
      </c>
      <c r="F24" s="128">
        <v>0</v>
      </c>
      <c r="G24" s="128">
        <v>0</v>
      </c>
      <c r="H24" s="128">
        <v>0</v>
      </c>
      <c r="I24" s="128">
        <v>0</v>
      </c>
      <c r="J24" s="128">
        <v>0</v>
      </c>
      <c r="K24" s="128">
        <v>0</v>
      </c>
      <c r="L24" s="128">
        <v>0</v>
      </c>
      <c r="M24" s="128">
        <v>0</v>
      </c>
      <c r="N24" s="128">
        <v>0</v>
      </c>
      <c r="O24" s="128">
        <v>0</v>
      </c>
      <c r="P24" s="119">
        <f t="shared" si="6"/>
        <v>0</v>
      </c>
      <c r="Q24" s="21">
        <f t="shared" si="7"/>
        <v>0</v>
      </c>
      <c r="S24" s="98">
        <f t="shared" si="1"/>
        <v>0</v>
      </c>
      <c r="T24" s="98">
        <f t="shared" si="0"/>
        <v>0</v>
      </c>
      <c r="U24" s="98">
        <f t="shared" si="2"/>
        <v>0</v>
      </c>
    </row>
    <row r="25" spans="1:21" x14ac:dyDescent="0.25">
      <c r="A25" s="114" t="s">
        <v>19</v>
      </c>
      <c r="B25" s="128">
        <v>0</v>
      </c>
      <c r="C25" s="128">
        <v>0</v>
      </c>
      <c r="D25" s="128">
        <v>0</v>
      </c>
      <c r="E25" s="128">
        <v>0</v>
      </c>
      <c r="F25" s="128">
        <v>0</v>
      </c>
      <c r="G25" s="128">
        <v>0</v>
      </c>
      <c r="H25" s="128">
        <v>0</v>
      </c>
      <c r="I25" s="128">
        <v>0</v>
      </c>
      <c r="J25" s="128">
        <v>0</v>
      </c>
      <c r="K25" s="128">
        <v>0</v>
      </c>
      <c r="L25" s="128">
        <v>0</v>
      </c>
      <c r="M25" s="128">
        <v>0</v>
      </c>
      <c r="N25" s="128">
        <v>0</v>
      </c>
      <c r="O25" s="128">
        <v>0</v>
      </c>
      <c r="P25" s="119">
        <f t="shared" si="6"/>
        <v>0</v>
      </c>
      <c r="Q25" s="21">
        <f t="shared" si="7"/>
        <v>0</v>
      </c>
      <c r="S25" s="98">
        <f t="shared" si="1"/>
        <v>0</v>
      </c>
      <c r="T25" s="98">
        <f t="shared" si="0"/>
        <v>0</v>
      </c>
      <c r="U25" s="98">
        <f t="shared" si="2"/>
        <v>0</v>
      </c>
    </row>
    <row r="26" spans="1:21" x14ac:dyDescent="0.25">
      <c r="A26" s="114" t="s">
        <v>20</v>
      </c>
      <c r="B26" s="128">
        <v>0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28">
        <v>0</v>
      </c>
      <c r="L26" s="128">
        <v>0</v>
      </c>
      <c r="M26" s="128">
        <v>0</v>
      </c>
      <c r="N26" s="128">
        <v>0</v>
      </c>
      <c r="O26" s="128">
        <v>0</v>
      </c>
      <c r="P26" s="119">
        <f t="shared" si="6"/>
        <v>0</v>
      </c>
      <c r="Q26" s="21">
        <f t="shared" si="7"/>
        <v>0</v>
      </c>
      <c r="S26" s="98">
        <f t="shared" si="1"/>
        <v>0</v>
      </c>
      <c r="T26" s="98">
        <f t="shared" si="0"/>
        <v>0</v>
      </c>
      <c r="U26" s="98">
        <f t="shared" si="2"/>
        <v>0</v>
      </c>
    </row>
    <row r="27" spans="1:21" x14ac:dyDescent="0.25">
      <c r="A27" s="114" t="s">
        <v>59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28">
        <v>0</v>
      </c>
      <c r="L27" s="128">
        <v>0</v>
      </c>
      <c r="M27" s="128">
        <v>0</v>
      </c>
      <c r="N27" s="128">
        <v>0</v>
      </c>
      <c r="O27" s="128">
        <v>0</v>
      </c>
      <c r="P27" s="119">
        <f t="shared" si="6"/>
        <v>0</v>
      </c>
      <c r="Q27" s="21">
        <f t="shared" si="7"/>
        <v>0</v>
      </c>
      <c r="S27" s="98">
        <f t="shared" si="1"/>
        <v>0</v>
      </c>
      <c r="T27" s="98">
        <f t="shared" si="0"/>
        <v>0</v>
      </c>
      <c r="U27" s="98">
        <f t="shared" si="2"/>
        <v>0</v>
      </c>
    </row>
    <row r="28" spans="1:21" x14ac:dyDescent="0.25">
      <c r="A28" s="114" t="s">
        <v>21</v>
      </c>
      <c r="B28" s="128">
        <v>-540</v>
      </c>
      <c r="C28" s="128">
        <v>-1530</v>
      </c>
      <c r="D28" s="128">
        <v>0</v>
      </c>
      <c r="E28" s="128">
        <v>0</v>
      </c>
      <c r="F28" s="128">
        <v>-135</v>
      </c>
      <c r="G28" s="128">
        <v>-135</v>
      </c>
      <c r="H28" s="128">
        <v>0</v>
      </c>
      <c r="I28" s="128">
        <v>0</v>
      </c>
      <c r="J28" s="128">
        <v>0</v>
      </c>
      <c r="K28" s="128">
        <v>0</v>
      </c>
      <c r="L28" s="128">
        <v>0</v>
      </c>
      <c r="M28" s="128">
        <v>0</v>
      </c>
      <c r="N28" s="128">
        <v>0</v>
      </c>
      <c r="O28" s="128">
        <v>0</v>
      </c>
      <c r="P28" s="119">
        <f t="shared" si="6"/>
        <v>-2340</v>
      </c>
      <c r="Q28" s="21">
        <f t="shared" si="7"/>
        <v>3.8458499835491299E-3</v>
      </c>
      <c r="S28" s="98">
        <f t="shared" si="1"/>
        <v>-2340</v>
      </c>
      <c r="T28" s="98">
        <f t="shared" si="0"/>
        <v>0</v>
      </c>
      <c r="U28" s="98">
        <f t="shared" si="2"/>
        <v>-1800</v>
      </c>
    </row>
    <row r="29" spans="1:21" x14ac:dyDescent="0.25">
      <c r="A29" s="114" t="s">
        <v>22</v>
      </c>
      <c r="B29" s="128">
        <v>0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28">
        <v>0</v>
      </c>
      <c r="O29" s="128">
        <v>0</v>
      </c>
      <c r="P29" s="119">
        <f t="shared" si="6"/>
        <v>0</v>
      </c>
      <c r="Q29" s="21">
        <f t="shared" si="7"/>
        <v>0</v>
      </c>
      <c r="S29" s="98">
        <f t="shared" si="1"/>
        <v>0</v>
      </c>
      <c r="T29" s="98">
        <f t="shared" si="0"/>
        <v>0</v>
      </c>
      <c r="U29" s="98">
        <f t="shared" si="2"/>
        <v>0</v>
      </c>
    </row>
    <row r="30" spans="1:21" x14ac:dyDescent="0.25">
      <c r="A30" s="129" t="s">
        <v>23</v>
      </c>
      <c r="B30" s="128">
        <v>0</v>
      </c>
      <c r="C30" s="128">
        <v>-6.47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8">
        <v>0</v>
      </c>
      <c r="K30" s="128">
        <v>0</v>
      </c>
      <c r="L30" s="128">
        <v>0</v>
      </c>
      <c r="M30" s="128">
        <v>0</v>
      </c>
      <c r="N30" s="128">
        <v>0</v>
      </c>
      <c r="O30" s="128">
        <v>0</v>
      </c>
      <c r="P30" s="119">
        <f t="shared" si="6"/>
        <v>-6.47</v>
      </c>
      <c r="Q30" s="21">
        <f t="shared" si="7"/>
        <v>1.0633610851949943E-5</v>
      </c>
      <c r="S30" s="98">
        <f t="shared" si="1"/>
        <v>-6.47</v>
      </c>
      <c r="T30" s="98">
        <f t="shared" si="0"/>
        <v>0</v>
      </c>
      <c r="U30" s="98">
        <f t="shared" si="2"/>
        <v>-6.47</v>
      </c>
    </row>
    <row r="31" spans="1:21" x14ac:dyDescent="0.25">
      <c r="A31" s="114" t="s">
        <v>24</v>
      </c>
      <c r="B31" s="128">
        <v>-21067</v>
      </c>
      <c r="C31" s="128">
        <v>-30811.7</v>
      </c>
      <c r="D31" s="128">
        <v>-6027.78</v>
      </c>
      <c r="E31" s="128">
        <v>-1481</v>
      </c>
      <c r="F31" s="128">
        <v>-4109</v>
      </c>
      <c r="G31" s="128">
        <v>0</v>
      </c>
      <c r="H31" s="128">
        <v>0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28">
        <v>0</v>
      </c>
      <c r="O31" s="128">
        <v>0</v>
      </c>
      <c r="P31" s="119">
        <f t="shared" si="6"/>
        <v>-63496.479999999996</v>
      </c>
      <c r="Q31" s="21">
        <f t="shared" si="7"/>
        <v>0.10435809254847335</v>
      </c>
      <c r="S31" s="98">
        <f t="shared" si="1"/>
        <v>-63496.479999999996</v>
      </c>
      <c r="T31" s="98">
        <f t="shared" si="0"/>
        <v>0</v>
      </c>
      <c r="U31" s="98">
        <f t="shared" si="2"/>
        <v>-42429.479999999996</v>
      </c>
    </row>
    <row r="32" spans="1:21" x14ac:dyDescent="0.25">
      <c r="A32" s="130" t="s">
        <v>25</v>
      </c>
      <c r="B32" s="128">
        <v>-63011.29</v>
      </c>
      <c r="C32" s="128">
        <v>-145107.54999999999</v>
      </c>
      <c r="D32" s="128">
        <v>-8012.93</v>
      </c>
      <c r="E32" s="128">
        <v>-4307.82</v>
      </c>
      <c r="F32" s="128">
        <v>-6658.88</v>
      </c>
      <c r="G32" s="128">
        <v>0</v>
      </c>
      <c r="H32" s="128">
        <v>0</v>
      </c>
      <c r="I32" s="128">
        <v>0</v>
      </c>
      <c r="J32" s="128">
        <v>0</v>
      </c>
      <c r="K32" s="128">
        <v>0</v>
      </c>
      <c r="L32" s="128">
        <v>0</v>
      </c>
      <c r="M32" s="128">
        <v>0</v>
      </c>
      <c r="N32" s="128">
        <v>0</v>
      </c>
      <c r="O32" s="128">
        <v>0</v>
      </c>
      <c r="P32" s="119">
        <f t="shared" si="6"/>
        <v>-227098.47</v>
      </c>
      <c r="Q32" s="21">
        <f t="shared" si="7"/>
        <v>0.373242156886125</v>
      </c>
      <c r="S32" s="98">
        <f t="shared" si="1"/>
        <v>-227098.47</v>
      </c>
      <c r="T32" s="98">
        <f t="shared" si="0"/>
        <v>0</v>
      </c>
      <c r="U32" s="98">
        <f t="shared" si="2"/>
        <v>-164087.18</v>
      </c>
    </row>
    <row r="33" spans="1:21" x14ac:dyDescent="0.25">
      <c r="A33" s="114" t="s">
        <v>26</v>
      </c>
      <c r="B33" s="128">
        <v>0</v>
      </c>
      <c r="C33" s="128">
        <v>-100</v>
      </c>
      <c r="D33" s="128">
        <v>0</v>
      </c>
      <c r="E33" s="128">
        <v>0</v>
      </c>
      <c r="F33" s="128">
        <v>0</v>
      </c>
      <c r="G33" s="128">
        <v>0</v>
      </c>
      <c r="H33" s="128">
        <v>0</v>
      </c>
      <c r="I33" s="128">
        <v>0</v>
      </c>
      <c r="J33" s="128">
        <v>0</v>
      </c>
      <c r="K33" s="128">
        <v>0</v>
      </c>
      <c r="L33" s="128">
        <v>0</v>
      </c>
      <c r="M33" s="128">
        <v>0</v>
      </c>
      <c r="N33" s="128">
        <v>0</v>
      </c>
      <c r="O33" s="128">
        <v>0</v>
      </c>
      <c r="P33" s="119">
        <f t="shared" si="6"/>
        <v>-100</v>
      </c>
      <c r="Q33" s="21">
        <f t="shared" si="7"/>
        <v>1.6435256339953545E-4</v>
      </c>
      <c r="S33" s="98">
        <f t="shared" si="1"/>
        <v>-100</v>
      </c>
      <c r="T33" s="98">
        <f t="shared" si="0"/>
        <v>0</v>
      </c>
      <c r="U33" s="98">
        <f t="shared" si="2"/>
        <v>-100</v>
      </c>
    </row>
    <row r="34" spans="1:21" x14ac:dyDescent="0.25">
      <c r="A34" s="114" t="s">
        <v>27</v>
      </c>
      <c r="B34" s="128">
        <v>0</v>
      </c>
      <c r="C34" s="128">
        <v>0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28">
        <v>0</v>
      </c>
      <c r="P34" s="119">
        <f t="shared" si="6"/>
        <v>0</v>
      </c>
      <c r="Q34" s="21">
        <f t="shared" si="7"/>
        <v>0</v>
      </c>
      <c r="S34" s="98">
        <f t="shared" si="1"/>
        <v>0</v>
      </c>
      <c r="T34" s="98">
        <f t="shared" si="0"/>
        <v>0</v>
      </c>
      <c r="U34" s="98">
        <f t="shared" si="2"/>
        <v>0</v>
      </c>
    </row>
    <row r="35" spans="1:21" x14ac:dyDescent="0.25">
      <c r="A35" s="129" t="s">
        <v>28</v>
      </c>
      <c r="B35" s="128">
        <v>-1492.12</v>
      </c>
      <c r="C35" s="128">
        <v>-2333.87</v>
      </c>
      <c r="D35" s="128">
        <v>0</v>
      </c>
      <c r="E35" s="128">
        <v>0</v>
      </c>
      <c r="F35" s="128">
        <v>0</v>
      </c>
      <c r="G35" s="128">
        <v>0</v>
      </c>
      <c r="H35" s="128">
        <v>0</v>
      </c>
      <c r="I35" s="128">
        <v>0</v>
      </c>
      <c r="J35" s="128">
        <v>0</v>
      </c>
      <c r="K35" s="128">
        <v>0</v>
      </c>
      <c r="L35" s="128">
        <v>0</v>
      </c>
      <c r="M35" s="128">
        <v>0</v>
      </c>
      <c r="N35" s="128">
        <v>0</v>
      </c>
      <c r="O35" s="128">
        <v>0</v>
      </c>
      <c r="P35" s="119">
        <f t="shared" si="6"/>
        <v>-3825.99</v>
      </c>
      <c r="Q35" s="21">
        <f t="shared" si="7"/>
        <v>6.2881126404098868E-3</v>
      </c>
      <c r="S35" s="98">
        <f t="shared" si="1"/>
        <v>-3825.99</v>
      </c>
      <c r="T35" s="98">
        <f t="shared" si="0"/>
        <v>0</v>
      </c>
      <c r="U35" s="98">
        <f t="shared" si="2"/>
        <v>-2333.87</v>
      </c>
    </row>
    <row r="36" spans="1:21" x14ac:dyDescent="0.25">
      <c r="A36" s="114" t="s">
        <v>29</v>
      </c>
      <c r="B36" s="128">
        <v>-4445.55</v>
      </c>
      <c r="C36" s="128">
        <v>-18966.419999999998</v>
      </c>
      <c r="D36" s="128">
        <v>-1014</v>
      </c>
      <c r="E36" s="128">
        <v>-815.55</v>
      </c>
      <c r="F36" s="128">
        <v>-369.75</v>
      </c>
      <c r="G36" s="128">
        <v>-1055.3599999999999</v>
      </c>
      <c r="H36" s="128">
        <v>0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28">
        <v>0</v>
      </c>
      <c r="O36" s="128">
        <v>0</v>
      </c>
      <c r="P36" s="119">
        <f t="shared" si="6"/>
        <v>-26666.629999999997</v>
      </c>
      <c r="Q36" s="21">
        <f t="shared" si="7"/>
        <v>4.3827289977269542E-2</v>
      </c>
      <c r="S36" s="98">
        <f t="shared" si="1"/>
        <v>-26666.629999999997</v>
      </c>
      <c r="T36" s="98">
        <f t="shared" si="0"/>
        <v>0</v>
      </c>
      <c r="U36" s="98">
        <f t="shared" si="2"/>
        <v>-22221.079999999998</v>
      </c>
    </row>
    <row r="37" spans="1:21" x14ac:dyDescent="0.25">
      <c r="A37" s="15" t="s">
        <v>276</v>
      </c>
      <c r="B37" s="128">
        <v>-6852.47</v>
      </c>
      <c r="C37" s="128">
        <v>-16604.740000000002</v>
      </c>
      <c r="D37" s="128">
        <v>-946.45</v>
      </c>
      <c r="E37" s="128">
        <v>-473.23</v>
      </c>
      <c r="F37" s="128">
        <v>-709.84</v>
      </c>
      <c r="G37" s="128">
        <v>0</v>
      </c>
      <c r="H37" s="128">
        <v>0</v>
      </c>
      <c r="I37" s="128">
        <v>0</v>
      </c>
      <c r="J37" s="128">
        <v>0</v>
      </c>
      <c r="K37" s="128">
        <v>0</v>
      </c>
      <c r="L37" s="128">
        <v>0</v>
      </c>
      <c r="M37" s="128">
        <v>0</v>
      </c>
      <c r="N37" s="128">
        <v>0</v>
      </c>
      <c r="O37" s="128">
        <v>0</v>
      </c>
      <c r="P37" s="119">
        <f t="shared" si="6"/>
        <v>-25586.730000000003</v>
      </c>
      <c r="Q37" s="21">
        <f t="shared" si="7"/>
        <v>4.2052446645117966E-2</v>
      </c>
      <c r="S37" s="98">
        <f t="shared" si="1"/>
        <v>-25586.730000000003</v>
      </c>
      <c r="T37" s="98">
        <f t="shared" si="0"/>
        <v>0</v>
      </c>
      <c r="U37" s="98">
        <f t="shared" si="2"/>
        <v>-18734.260000000002</v>
      </c>
    </row>
    <row r="38" spans="1:21" x14ac:dyDescent="0.25">
      <c r="A38" s="114" t="s">
        <v>97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28">
        <v>0</v>
      </c>
      <c r="N38" s="128">
        <v>0</v>
      </c>
      <c r="O38" s="128">
        <v>0</v>
      </c>
      <c r="P38" s="119">
        <f t="shared" si="6"/>
        <v>0</v>
      </c>
      <c r="Q38" s="21">
        <f t="shared" si="7"/>
        <v>0</v>
      </c>
      <c r="S38" s="98">
        <f t="shared" si="1"/>
        <v>0</v>
      </c>
      <c r="T38" s="98">
        <f t="shared" si="0"/>
        <v>0</v>
      </c>
      <c r="U38" s="98">
        <f t="shared" si="2"/>
        <v>0</v>
      </c>
    </row>
    <row r="39" spans="1:21" x14ac:dyDescent="0.25">
      <c r="A39" s="114" t="s">
        <v>114</v>
      </c>
      <c r="B39" s="128">
        <v>0</v>
      </c>
      <c r="C39" s="128">
        <v>-1500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28">
        <v>0</v>
      </c>
      <c r="O39" s="128">
        <v>0</v>
      </c>
      <c r="P39" s="119">
        <f t="shared" si="6"/>
        <v>-1500</v>
      </c>
      <c r="Q39" s="21">
        <f t="shared" si="7"/>
        <v>2.4652884509930319E-3</v>
      </c>
      <c r="S39" s="98">
        <f t="shared" si="1"/>
        <v>-1500</v>
      </c>
      <c r="T39" s="98">
        <f t="shared" si="0"/>
        <v>0</v>
      </c>
      <c r="U39" s="98">
        <f t="shared" si="2"/>
        <v>-1500</v>
      </c>
    </row>
    <row r="40" spans="1:21" x14ac:dyDescent="0.25">
      <c r="A40" s="131" t="s">
        <v>31</v>
      </c>
      <c r="B40" s="132">
        <f>SUM(B14:B39)</f>
        <v>-138754.28999999998</v>
      </c>
      <c r="C40" s="132">
        <f>SUM(C14:C39)</f>
        <v>-346940.11</v>
      </c>
      <c r="D40" s="132">
        <f t="shared" ref="D40:O40" si="8">SUM(D14:D39)</f>
        <v>-20689.350000000002</v>
      </c>
      <c r="E40" s="132">
        <f t="shared" si="8"/>
        <v>-11808.239999999998</v>
      </c>
      <c r="F40" s="132">
        <f t="shared" si="8"/>
        <v>-17043.2</v>
      </c>
      <c r="G40" s="132">
        <f t="shared" si="8"/>
        <v>-2623.3199999999997</v>
      </c>
      <c r="H40" s="132">
        <f t="shared" si="8"/>
        <v>0</v>
      </c>
      <c r="I40" s="132">
        <f t="shared" si="8"/>
        <v>0</v>
      </c>
      <c r="J40" s="132">
        <f t="shared" si="8"/>
        <v>0</v>
      </c>
      <c r="K40" s="132">
        <f t="shared" si="8"/>
        <v>0</v>
      </c>
      <c r="L40" s="132">
        <f t="shared" si="8"/>
        <v>0</v>
      </c>
      <c r="M40" s="132">
        <f t="shared" si="8"/>
        <v>0</v>
      </c>
      <c r="N40" s="132">
        <f t="shared" si="8"/>
        <v>0</v>
      </c>
      <c r="O40" s="132">
        <f t="shared" si="8"/>
        <v>0</v>
      </c>
      <c r="P40" s="132">
        <f>SUM(P14:P39)</f>
        <v>-537858.51</v>
      </c>
      <c r="Q40" s="21">
        <f t="shared" si="7"/>
        <v>0.88398424864754677</v>
      </c>
      <c r="S40" s="98">
        <f t="shared" si="1"/>
        <v>-537858.50999999989</v>
      </c>
      <c r="T40" s="98">
        <f t="shared" si="0"/>
        <v>0</v>
      </c>
      <c r="U40" s="98">
        <f t="shared" si="2"/>
        <v>-399104.22000000003</v>
      </c>
    </row>
    <row r="41" spans="1:21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25"/>
      <c r="Q41" s="159"/>
      <c r="S41" s="98">
        <f t="shared" si="1"/>
        <v>0</v>
      </c>
      <c r="T41" s="98">
        <f t="shared" si="0"/>
        <v>0</v>
      </c>
      <c r="U41" s="98">
        <f t="shared" si="2"/>
        <v>0</v>
      </c>
    </row>
    <row r="42" spans="1:21" x14ac:dyDescent="0.25">
      <c r="A42" s="135" t="s">
        <v>32</v>
      </c>
      <c r="B42" s="165">
        <f t="shared" ref="B42:F42" si="9">B11+B40</f>
        <v>43315.910000000033</v>
      </c>
      <c r="C42" s="165">
        <f t="shared" ref="C42" si="10">C11+C40</f>
        <v>79437.760000000009</v>
      </c>
      <c r="D42" s="136">
        <f t="shared" ref="D42" si="11">D11+D40</f>
        <v>-20689.350000000002</v>
      </c>
      <c r="E42" s="136">
        <f t="shared" si="9"/>
        <v>-11808.239999999998</v>
      </c>
      <c r="F42" s="136">
        <f t="shared" si="9"/>
        <v>-17043.2</v>
      </c>
      <c r="G42" s="136">
        <f>G11+G40</f>
        <v>-2623.3199999999997</v>
      </c>
      <c r="H42" s="136">
        <f t="shared" ref="H42:O42" si="12">H11+H40</f>
        <v>0</v>
      </c>
      <c r="I42" s="136">
        <f t="shared" si="12"/>
        <v>0</v>
      </c>
      <c r="J42" s="165">
        <f t="shared" si="12"/>
        <v>0</v>
      </c>
      <c r="K42" s="136">
        <f t="shared" si="12"/>
        <v>0</v>
      </c>
      <c r="L42" s="136">
        <f t="shared" si="12"/>
        <v>0</v>
      </c>
      <c r="M42" s="136">
        <f>M11+M40</f>
        <v>0</v>
      </c>
      <c r="N42" s="136">
        <f>N11+N40</f>
        <v>0</v>
      </c>
      <c r="O42" s="136">
        <f t="shared" si="12"/>
        <v>0</v>
      </c>
      <c r="P42" s="166">
        <f>SUM(B42:O42)</f>
        <v>70589.560000000056</v>
      </c>
      <c r="Q42" s="21">
        <f>P42/$P$11</f>
        <v>0.11601575135245322</v>
      </c>
      <c r="S42" s="98">
        <f t="shared" si="1"/>
        <v>70589.560000000056</v>
      </c>
      <c r="T42" s="98">
        <f t="shared" si="0"/>
        <v>0</v>
      </c>
      <c r="U42" s="98">
        <f t="shared" si="2"/>
        <v>27273.650000000023</v>
      </c>
    </row>
    <row r="43" spans="1:21" x14ac:dyDescent="0.25">
      <c r="A43" s="13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62"/>
      <c r="S43" s="98">
        <f t="shared" si="1"/>
        <v>0</v>
      </c>
      <c r="T43" s="98">
        <f t="shared" si="0"/>
        <v>0</v>
      </c>
      <c r="U43" s="98">
        <f t="shared" si="2"/>
        <v>0</v>
      </c>
    </row>
    <row r="44" spans="1:21" x14ac:dyDescent="0.25">
      <c r="A44" s="126" t="s">
        <v>56</v>
      </c>
      <c r="B44" s="139">
        <f>-B9*13.15%</f>
        <v>-12089.01592</v>
      </c>
      <c r="C44" s="139">
        <f>-C9*13.15%</f>
        <v>0</v>
      </c>
      <c r="D44" s="139">
        <f t="shared" ref="D44" si="13">-D9*13.15%</f>
        <v>0</v>
      </c>
      <c r="E44" s="139">
        <f>-E9*13.15%</f>
        <v>0</v>
      </c>
      <c r="F44" s="139">
        <f t="shared" ref="F44:G44" si="14">-F9*13.15%</f>
        <v>0</v>
      </c>
      <c r="G44" s="139">
        <f t="shared" si="14"/>
        <v>0</v>
      </c>
      <c r="H44" s="139">
        <f t="shared" ref="H44:O44" si="15">-H9*13.15%</f>
        <v>0</v>
      </c>
      <c r="I44" s="139">
        <f t="shared" si="15"/>
        <v>0</v>
      </c>
      <c r="J44" s="139">
        <f t="shared" si="15"/>
        <v>0</v>
      </c>
      <c r="K44" s="139">
        <f t="shared" si="15"/>
        <v>0</v>
      </c>
      <c r="L44" s="139">
        <f t="shared" si="15"/>
        <v>0</v>
      </c>
      <c r="M44" s="139">
        <f>-M9*13.15%</f>
        <v>0</v>
      </c>
      <c r="N44" s="139">
        <f>-N9*13.15%</f>
        <v>0</v>
      </c>
      <c r="O44" s="139">
        <f t="shared" si="15"/>
        <v>0</v>
      </c>
      <c r="P44" s="119">
        <f t="shared" ref="P44" si="16">SUM(B44:O44)</f>
        <v>-12089.01592</v>
      </c>
      <c r="Q44" s="21">
        <f t="shared" si="7"/>
        <v>1.9868607554297934E-2</v>
      </c>
      <c r="S44" s="98">
        <f t="shared" si="1"/>
        <v>-12089.01592</v>
      </c>
      <c r="T44" s="98">
        <f t="shared" si="0"/>
        <v>0</v>
      </c>
      <c r="U44" s="98">
        <f t="shared" si="2"/>
        <v>0</v>
      </c>
    </row>
    <row r="45" spans="1:21" x14ac:dyDescent="0.25">
      <c r="A45" s="137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62"/>
      <c r="S45" s="98">
        <f t="shared" si="1"/>
        <v>0</v>
      </c>
      <c r="T45" s="98">
        <f t="shared" si="0"/>
        <v>0</v>
      </c>
      <c r="U45" s="98">
        <f t="shared" si="2"/>
        <v>0</v>
      </c>
    </row>
    <row r="46" spans="1:21" x14ac:dyDescent="0.25">
      <c r="A46" s="126" t="s">
        <v>33</v>
      </c>
      <c r="B46" s="139">
        <f t="shared" ref="B46:G46" si="17">-B9*1.22%</f>
        <v>-1121.5664959999999</v>
      </c>
      <c r="C46" s="139">
        <f t="shared" ref="C46" si="18">-C9*1.22%</f>
        <v>0</v>
      </c>
      <c r="D46" s="139">
        <f t="shared" ref="D46" si="19">-D9*1.22%</f>
        <v>0</v>
      </c>
      <c r="E46" s="139">
        <f t="shared" si="17"/>
        <v>0</v>
      </c>
      <c r="F46" s="139">
        <f t="shared" si="17"/>
        <v>0</v>
      </c>
      <c r="G46" s="139">
        <f t="shared" si="17"/>
        <v>0</v>
      </c>
      <c r="H46" s="139">
        <f t="shared" ref="H46:O46" si="20">-H9*1.22%</f>
        <v>0</v>
      </c>
      <c r="I46" s="139">
        <f t="shared" si="20"/>
        <v>0</v>
      </c>
      <c r="J46" s="139">
        <f t="shared" si="20"/>
        <v>0</v>
      </c>
      <c r="K46" s="139">
        <f t="shared" si="20"/>
        <v>0</v>
      </c>
      <c r="L46" s="139">
        <f t="shared" si="20"/>
        <v>0</v>
      </c>
      <c r="M46" s="139">
        <f>-M9*1.22%</f>
        <v>0</v>
      </c>
      <c r="N46" s="139">
        <f>-N9*1.22%</f>
        <v>0</v>
      </c>
      <c r="O46" s="139">
        <f t="shared" si="20"/>
        <v>0</v>
      </c>
      <c r="P46" s="119">
        <f t="shared" ref="P46" si="21">SUM(B46:O46)</f>
        <v>-1121.5664959999999</v>
      </c>
      <c r="Q46" s="21">
        <f t="shared" si="7"/>
        <v>1.8433232864063483E-3</v>
      </c>
      <c r="S46" s="98">
        <f t="shared" si="1"/>
        <v>-1121.5664959999999</v>
      </c>
      <c r="T46" s="98">
        <f t="shared" si="0"/>
        <v>0</v>
      </c>
      <c r="U46" s="98">
        <f t="shared" si="2"/>
        <v>0</v>
      </c>
    </row>
    <row r="47" spans="1:21" x14ac:dyDescent="0.2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62"/>
      <c r="S47" s="98">
        <f t="shared" si="1"/>
        <v>0</v>
      </c>
      <c r="T47" s="98">
        <f t="shared" si="0"/>
        <v>0</v>
      </c>
      <c r="U47" s="98">
        <f t="shared" si="2"/>
        <v>0</v>
      </c>
    </row>
    <row r="48" spans="1:21" x14ac:dyDescent="0.25">
      <c r="A48" s="113" t="s">
        <v>57</v>
      </c>
      <c r="B48" s="142">
        <f t="shared" ref="B48:F48" si="22">B40*5.56%</f>
        <v>-7714.7385239999985</v>
      </c>
      <c r="C48" s="142">
        <f t="shared" ref="C48" si="23">C40*5.56%</f>
        <v>-19289.870115999998</v>
      </c>
      <c r="D48" s="142">
        <f t="shared" ref="D48" si="24">D40*5.56%</f>
        <v>-1150.3278600000001</v>
      </c>
      <c r="E48" s="142">
        <f t="shared" si="22"/>
        <v>-656.53814399999987</v>
      </c>
      <c r="F48" s="142">
        <f t="shared" si="22"/>
        <v>-947.60191999999995</v>
      </c>
      <c r="G48" s="142">
        <f>G40*5.56%</f>
        <v>-145.85659199999998</v>
      </c>
      <c r="H48" s="142">
        <f t="shared" ref="H48:O48" si="25">H40*5.56%</f>
        <v>0</v>
      </c>
      <c r="I48" s="142">
        <f t="shared" si="25"/>
        <v>0</v>
      </c>
      <c r="J48" s="142">
        <f t="shared" si="25"/>
        <v>0</v>
      </c>
      <c r="K48" s="142">
        <f t="shared" si="25"/>
        <v>0</v>
      </c>
      <c r="L48" s="142">
        <f t="shared" si="25"/>
        <v>0</v>
      </c>
      <c r="M48" s="142">
        <f>M40*5.56%</f>
        <v>0</v>
      </c>
      <c r="N48" s="142">
        <f>N40*5.56%</f>
        <v>0</v>
      </c>
      <c r="O48" s="142">
        <f t="shared" si="25"/>
        <v>0</v>
      </c>
      <c r="P48" s="119">
        <f t="shared" ref="P48" si="26">SUM(B48:O48)</f>
        <v>-29904.933155999999</v>
      </c>
      <c r="Q48" s="21">
        <f t="shared" si="7"/>
        <v>4.9149524224803599E-2</v>
      </c>
      <c r="S48" s="98">
        <f t="shared" si="1"/>
        <v>-29904.933155999999</v>
      </c>
      <c r="T48" s="98">
        <f t="shared" si="0"/>
        <v>0</v>
      </c>
      <c r="U48" s="98">
        <f t="shared" si="2"/>
        <v>-22190.194631999999</v>
      </c>
    </row>
    <row r="49" spans="1:21" x14ac:dyDescent="0.2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62"/>
      <c r="S49" s="98">
        <f t="shared" si="1"/>
        <v>0</v>
      </c>
      <c r="T49" s="98">
        <f t="shared" si="0"/>
        <v>0</v>
      </c>
      <c r="U49" s="98">
        <f t="shared" si="2"/>
        <v>0</v>
      </c>
    </row>
    <row r="50" spans="1:21" x14ac:dyDescent="0.25">
      <c r="A50" s="113" t="s">
        <v>58</v>
      </c>
      <c r="B50" s="142">
        <f t="shared" ref="B50:D50" si="27">B40*0.01%</f>
        <v>-13.875428999999999</v>
      </c>
      <c r="C50" s="142">
        <f t="shared" ref="C50" si="28">C40*0.01%</f>
        <v>-34.694011000000003</v>
      </c>
      <c r="D50" s="142">
        <f t="shared" si="27"/>
        <v>-2.0689350000000002</v>
      </c>
      <c r="E50" s="142">
        <f>E40*0.01%</f>
        <v>-1.1808239999999999</v>
      </c>
      <c r="F50" s="142">
        <f t="shared" ref="F50" si="29">F40*0.01%</f>
        <v>-1.7043200000000001</v>
      </c>
      <c r="G50" s="142">
        <f>G40*0.01%</f>
        <v>-0.26233200000000001</v>
      </c>
      <c r="H50" s="142">
        <f t="shared" ref="H50:O50" si="30">H40*0.01%</f>
        <v>0</v>
      </c>
      <c r="I50" s="142">
        <f t="shared" si="30"/>
        <v>0</v>
      </c>
      <c r="J50" s="142">
        <f t="shared" si="30"/>
        <v>0</v>
      </c>
      <c r="K50" s="142">
        <f t="shared" si="30"/>
        <v>0</v>
      </c>
      <c r="L50" s="142">
        <f t="shared" si="30"/>
        <v>0</v>
      </c>
      <c r="M50" s="142">
        <f>M40*0.01%</f>
        <v>0</v>
      </c>
      <c r="N50" s="142">
        <f>N40*0.01%</f>
        <v>0</v>
      </c>
      <c r="O50" s="142">
        <f t="shared" si="30"/>
        <v>0</v>
      </c>
      <c r="P50" s="119">
        <f t="shared" ref="P50" si="31">SUM(B50:O50)</f>
        <v>-53.785851000000008</v>
      </c>
      <c r="Q50" s="21">
        <f t="shared" si="7"/>
        <v>8.8398424864754695E-5</v>
      </c>
      <c r="S50" s="98">
        <f t="shared" si="1"/>
        <v>-53.785851000000008</v>
      </c>
      <c r="T50" s="98">
        <f t="shared" si="0"/>
        <v>0</v>
      </c>
      <c r="U50" s="98">
        <f t="shared" si="2"/>
        <v>-39.910422000000011</v>
      </c>
    </row>
    <row r="51" spans="1:21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62"/>
      <c r="S51" s="98">
        <f t="shared" si="1"/>
        <v>0</v>
      </c>
      <c r="T51" s="98">
        <f t="shared" si="0"/>
        <v>0</v>
      </c>
      <c r="U51" s="98">
        <f t="shared" si="2"/>
        <v>0</v>
      </c>
    </row>
    <row r="52" spans="1:21" x14ac:dyDescent="0.25">
      <c r="A52" s="135" t="s">
        <v>202</v>
      </c>
      <c r="B52" s="136">
        <f>B42+B48+B50+B44+B46</f>
        <v>22376.713631000035</v>
      </c>
      <c r="C52" s="136">
        <f>C42+C48+C50+C44+C46</f>
        <v>60113.195873000011</v>
      </c>
      <c r="D52" s="165">
        <f>D42+D48+D50+D44+D46</f>
        <v>-21841.746795000003</v>
      </c>
      <c r="E52" s="136">
        <f>E42+E48+E50+E44+E46</f>
        <v>-12465.958967999997</v>
      </c>
      <c r="F52" s="136">
        <f t="shared" ref="F52" si="32">F42+F48+F50+F44+F46</f>
        <v>-17992.506240000002</v>
      </c>
      <c r="G52" s="136">
        <f>G42+G48+G50+G44+G46</f>
        <v>-2769.4389239999996</v>
      </c>
      <c r="H52" s="136">
        <f t="shared" ref="H52:O52" si="33">H42+H48+H50+H44+H46</f>
        <v>0</v>
      </c>
      <c r="I52" s="136">
        <f t="shared" si="33"/>
        <v>0</v>
      </c>
      <c r="J52" s="165">
        <f t="shared" si="33"/>
        <v>0</v>
      </c>
      <c r="K52" s="136">
        <f t="shared" si="33"/>
        <v>0</v>
      </c>
      <c r="L52" s="136">
        <f t="shared" si="33"/>
        <v>0</v>
      </c>
      <c r="M52" s="136">
        <f>M42+M48+M50+M44+M46</f>
        <v>0</v>
      </c>
      <c r="N52" s="136">
        <f>N42+N48+N50+N44+N46</f>
        <v>0</v>
      </c>
      <c r="O52" s="136">
        <f t="shared" si="33"/>
        <v>0</v>
      </c>
      <c r="P52" s="166">
        <f>SUM(B52:O52)</f>
        <v>27420.258577000041</v>
      </c>
      <c r="Q52" s="21">
        <f>P52/$P$11</f>
        <v>4.5065897862080553E-2</v>
      </c>
      <c r="S52" s="98">
        <f t="shared" si="1"/>
        <v>27420.258577000041</v>
      </c>
      <c r="T52" s="98">
        <f t="shared" si="0"/>
        <v>0</v>
      </c>
      <c r="U52" s="98">
        <f t="shared" si="2"/>
        <v>5043.5449460000054</v>
      </c>
    </row>
    <row r="53" spans="1:21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63"/>
    </row>
    <row r="54" spans="1:21" x14ac:dyDescent="0.25">
      <c r="A54" s="144" t="s">
        <v>35</v>
      </c>
      <c r="B54" s="13"/>
      <c r="C54" s="13"/>
      <c r="D54" s="13">
        <v>5</v>
      </c>
      <c r="E54" s="13">
        <v>2</v>
      </c>
      <c r="F54" s="13">
        <v>3</v>
      </c>
      <c r="G54" s="13"/>
      <c r="H54" s="13"/>
      <c r="I54" s="13"/>
      <c r="J54" s="13"/>
      <c r="K54" s="13"/>
      <c r="L54" s="13"/>
      <c r="M54" s="13"/>
      <c r="N54" s="13"/>
      <c r="O54" s="13"/>
      <c r="P54" s="145"/>
      <c r="Q54" s="163"/>
    </row>
    <row r="55" spans="1:21" x14ac:dyDescent="0.25">
      <c r="A55" s="80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</row>
    <row r="56" spans="1:21" x14ac:dyDescent="0.25">
      <c r="A56" s="146" t="s">
        <v>36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64">
        <v>46203</v>
      </c>
    </row>
    <row r="57" spans="1:21" x14ac:dyDescent="0.25">
      <c r="B57" s="98">
        <f>B11+B40+B44+B46+B48+B50</f>
        <v>22376.713631000035</v>
      </c>
      <c r="C57" s="98">
        <f>C11+C40+C44+C46+C48+C50</f>
        <v>60113.195873000011</v>
      </c>
      <c r="D57" s="98">
        <f>D11+D40+D44+D46+D48+D50</f>
        <v>-21841.746795000003</v>
      </c>
      <c r="E57" s="98">
        <f t="shared" ref="E57:P57" si="34">E11+E40+E44+E46+E48+E50</f>
        <v>-12465.958967999997</v>
      </c>
      <c r="F57" s="98">
        <f t="shared" si="34"/>
        <v>-17992.506240000002</v>
      </c>
      <c r="G57" s="98">
        <f t="shared" si="34"/>
        <v>-2769.4389239999996</v>
      </c>
      <c r="H57" s="98">
        <f t="shared" ref="H57:O57" si="35">H11+H40+H44+H46+H48+H50</f>
        <v>0</v>
      </c>
      <c r="I57" s="98">
        <f t="shared" si="35"/>
        <v>0</v>
      </c>
      <c r="J57" s="98">
        <f t="shared" si="35"/>
        <v>0</v>
      </c>
      <c r="K57" s="98">
        <f t="shared" si="35"/>
        <v>0</v>
      </c>
      <c r="L57" s="98">
        <f t="shared" si="35"/>
        <v>0</v>
      </c>
      <c r="M57" s="98">
        <f>M11+M40+M44+M46+M48+M50</f>
        <v>0</v>
      </c>
      <c r="N57" s="98">
        <f>N11+N40+N44+N46+N48+N50</f>
        <v>0</v>
      </c>
      <c r="O57" s="98">
        <f t="shared" si="35"/>
        <v>0</v>
      </c>
      <c r="P57" s="98">
        <f t="shared" si="34"/>
        <v>27420.258577000059</v>
      </c>
    </row>
    <row r="59" spans="1:21" x14ac:dyDescent="0.25">
      <c r="B59" s="98">
        <f t="shared" ref="B59:P59" si="36">B57-B52</f>
        <v>0</v>
      </c>
      <c r="C59" s="98">
        <f t="shared" ref="C59" si="37">C57-C52</f>
        <v>0</v>
      </c>
      <c r="D59" s="98">
        <f t="shared" ref="D59" si="38">D57-D52</f>
        <v>0</v>
      </c>
      <c r="E59" s="98">
        <f t="shared" si="36"/>
        <v>0</v>
      </c>
      <c r="F59" s="98">
        <f t="shared" si="36"/>
        <v>0</v>
      </c>
      <c r="G59" s="98">
        <f t="shared" si="36"/>
        <v>0</v>
      </c>
      <c r="H59" s="98">
        <f t="shared" ref="H59:O59" si="39">H57-H52</f>
        <v>0</v>
      </c>
      <c r="I59" s="98">
        <f t="shared" si="39"/>
        <v>0</v>
      </c>
      <c r="J59" s="98">
        <f t="shared" si="39"/>
        <v>0</v>
      </c>
      <c r="K59" s="98">
        <f t="shared" si="39"/>
        <v>0</v>
      </c>
      <c r="L59" s="98">
        <f t="shared" si="39"/>
        <v>0</v>
      </c>
      <c r="M59" s="98">
        <f>M57-M52</f>
        <v>0</v>
      </c>
      <c r="N59" s="98">
        <f>N57-N52</f>
        <v>0</v>
      </c>
      <c r="O59" s="98">
        <f t="shared" si="39"/>
        <v>0</v>
      </c>
      <c r="P59" s="98">
        <f t="shared" si="36"/>
        <v>0</v>
      </c>
    </row>
  </sheetData>
  <mergeCells count="3">
    <mergeCell ref="A1:P1"/>
    <mergeCell ref="A3:P3"/>
    <mergeCell ref="A5:P5"/>
  </mergeCells>
  <conditionalFormatting sqref="B52:D52">
    <cfRule type="cellIs" dxfId="13" priority="1" operator="lessThan">
      <formula>0</formula>
    </cfRule>
    <cfRule type="cellIs" dxfId="12" priority="2" operator="greaterThan">
      <formula>0</formula>
    </cfRule>
  </conditionalFormatting>
  <printOptions horizontalCentered="1" verticalCentered="1"/>
  <pageMargins left="0.11811023622047245" right="0" top="0.39370078740157483" bottom="0" header="0.31496062992125984" footer="0"/>
  <pageSetup paperSize="9" scale="71" orientation="landscape" r:id="rId1"/>
  <headerFooter>
    <oddHeader>&amp;C&amp;"-,Negrito"&amp;14BELA NOVA CONSTRUTORA LTDA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X59"/>
  <sheetViews>
    <sheetView zoomScale="85" zoomScaleNormal="85" workbookViewId="0">
      <pane xSplit="1" topLeftCell="F1" activePane="topRight" state="frozen"/>
      <selection activeCell="K19" sqref="K19"/>
      <selection pane="topRight" activeCell="E15" sqref="E15"/>
    </sheetView>
  </sheetViews>
  <sheetFormatPr defaultRowHeight="15" x14ac:dyDescent="0.25"/>
  <cols>
    <col min="1" max="1" width="48.42578125" customWidth="1"/>
    <col min="2" max="2" width="16.140625" customWidth="1"/>
    <col min="3" max="3" width="14.7109375" customWidth="1"/>
    <col min="4" max="4" width="16.85546875" customWidth="1"/>
    <col min="5" max="5" width="16.7109375" customWidth="1"/>
    <col min="6" max="6" width="16.140625" customWidth="1"/>
    <col min="7" max="7" width="14.42578125" customWidth="1"/>
    <col min="8" max="8" width="12.42578125" customWidth="1"/>
    <col min="9" max="10" width="13.28515625" customWidth="1"/>
    <col min="11" max="11" width="16.140625" customWidth="1"/>
    <col min="12" max="12" width="14.7109375" customWidth="1"/>
    <col min="13" max="13" width="16.85546875" customWidth="1"/>
    <col min="14" max="14" width="16.7109375" hidden="1" customWidth="1"/>
    <col min="15" max="15" width="16.140625" bestFit="1" customWidth="1"/>
    <col min="16" max="16" width="11.85546875" style="153" bestFit="1" customWidth="1"/>
    <col min="18" max="18" width="15.140625" bestFit="1" customWidth="1"/>
    <col min="19" max="19" width="14" bestFit="1" customWidth="1"/>
  </cols>
  <sheetData>
    <row r="1" spans="1:24" ht="15.75" x14ac:dyDescent="0.25">
      <c r="A1" s="176" t="s">
        <v>271</v>
      </c>
      <c r="B1" s="203" t="s">
        <v>281</v>
      </c>
      <c r="C1" s="203"/>
      <c r="D1" s="203"/>
      <c r="E1" s="203"/>
      <c r="F1" s="203"/>
      <c r="G1" s="203"/>
      <c r="H1" s="203"/>
      <c r="I1" s="203"/>
    </row>
    <row r="2" spans="1:24" ht="11.25" customHeight="1" x14ac:dyDescent="0.25">
      <c r="A2" s="108"/>
      <c r="B2" s="109"/>
      <c r="C2" s="109"/>
      <c r="D2" s="109"/>
      <c r="E2" s="109"/>
      <c r="F2" s="109"/>
      <c r="G2" s="109"/>
    </row>
    <row r="3" spans="1:24" ht="15.75" x14ac:dyDescent="0.25">
      <c r="A3" s="176" t="s">
        <v>272</v>
      </c>
      <c r="B3" s="203" t="s">
        <v>282</v>
      </c>
      <c r="C3" s="203"/>
      <c r="D3" s="203"/>
      <c r="E3" s="203"/>
      <c r="F3" s="203"/>
      <c r="G3" s="203"/>
      <c r="H3" s="203"/>
      <c r="I3" s="203"/>
    </row>
    <row r="4" spans="1:24" ht="10.5" customHeight="1" x14ac:dyDescent="0.25">
      <c r="A4" s="108"/>
      <c r="B4" s="109" t="s">
        <v>280</v>
      </c>
      <c r="C4" s="109"/>
      <c r="D4" s="109"/>
      <c r="E4" s="109"/>
      <c r="F4" s="109"/>
      <c r="G4" s="109"/>
    </row>
    <row r="5" spans="1:24" ht="18" customHeight="1" x14ac:dyDescent="0.25">
      <c r="A5" s="108"/>
      <c r="B5" s="209" t="s">
        <v>283</v>
      </c>
      <c r="C5" s="209"/>
      <c r="D5" s="209"/>
      <c r="E5" s="209"/>
      <c r="F5" s="209"/>
      <c r="G5" s="209"/>
      <c r="H5" s="209"/>
      <c r="Q5" s="168"/>
      <c r="R5" s="168"/>
      <c r="S5" s="168"/>
      <c r="T5" s="168"/>
      <c r="U5" s="168"/>
    </row>
    <row r="6" spans="1:24" x14ac:dyDescent="0.25">
      <c r="A6" s="110"/>
      <c r="C6" s="109"/>
      <c r="D6" s="109"/>
      <c r="E6" s="109"/>
      <c r="F6" s="109"/>
      <c r="G6" s="109"/>
    </row>
    <row r="7" spans="1:24" x14ac:dyDescent="0.25">
      <c r="A7" s="111"/>
      <c r="B7" s="112" t="s">
        <v>223</v>
      </c>
      <c r="C7" s="60" t="s">
        <v>228</v>
      </c>
      <c r="D7" s="60" t="s">
        <v>242</v>
      </c>
      <c r="E7" s="60" t="s">
        <v>244</v>
      </c>
      <c r="F7" s="60" t="s">
        <v>247</v>
      </c>
      <c r="G7" s="60" t="s">
        <v>248</v>
      </c>
      <c r="H7" s="60" t="s">
        <v>249</v>
      </c>
      <c r="I7" s="60" t="s">
        <v>258</v>
      </c>
      <c r="J7" s="60" t="s">
        <v>259</v>
      </c>
      <c r="K7" s="60" t="s">
        <v>260</v>
      </c>
      <c r="L7" s="60" t="s">
        <v>261</v>
      </c>
      <c r="M7" s="60" t="s">
        <v>262</v>
      </c>
      <c r="N7" s="60" t="s">
        <v>263</v>
      </c>
      <c r="O7" s="13" t="s">
        <v>1</v>
      </c>
      <c r="P7" s="158" t="s">
        <v>2</v>
      </c>
      <c r="Q7" s="167"/>
    </row>
    <row r="8" spans="1:24" x14ac:dyDescent="0.25">
      <c r="A8" s="114" t="s">
        <v>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6"/>
      <c r="P8" s="159"/>
    </row>
    <row r="9" spans="1:24" x14ac:dyDescent="0.25">
      <c r="A9" s="117" t="s">
        <v>4</v>
      </c>
      <c r="B9" s="118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  <c r="O9" s="119">
        <f>B9+C9+D9+E9+F9+G9+H9+I9+J9+K9+L9+M9+N9</f>
        <v>0</v>
      </c>
      <c r="P9" s="21">
        <v>1</v>
      </c>
      <c r="R9" s="98">
        <f>SUM(B9:N9)</f>
        <v>0</v>
      </c>
      <c r="S9" s="98">
        <f t="shared" ref="S9:S52" si="0">R9-O9</f>
        <v>0</v>
      </c>
      <c r="T9" s="217" t="s">
        <v>241</v>
      </c>
      <c r="U9" s="217"/>
      <c r="V9" s="217"/>
      <c r="W9" s="217"/>
      <c r="X9" s="217"/>
    </row>
    <row r="10" spans="1:24" x14ac:dyDescent="0.25">
      <c r="A10" s="114" t="s">
        <v>5</v>
      </c>
      <c r="B10" s="118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  <c r="O10" s="119">
        <f>B10+C10+D10+E10+F10+G10+H10+I10+J10+K10+L10+M10+N10</f>
        <v>0</v>
      </c>
      <c r="P10" s="21"/>
      <c r="R10" s="98">
        <f t="shared" ref="R10:R51" si="1">SUM(B10:N10)</f>
        <v>0</v>
      </c>
      <c r="S10" s="98">
        <f t="shared" si="0"/>
        <v>0</v>
      </c>
      <c r="T10" s="217"/>
      <c r="U10" s="217"/>
      <c r="V10" s="217"/>
      <c r="W10" s="217"/>
      <c r="X10" s="217"/>
    </row>
    <row r="11" spans="1:24" x14ac:dyDescent="0.25">
      <c r="A11" s="121" t="s">
        <v>6</v>
      </c>
      <c r="B11" s="122">
        <f>SUM(B9:B10)</f>
        <v>0</v>
      </c>
      <c r="C11" s="122">
        <f>SUM(C10:C10)</f>
        <v>0</v>
      </c>
      <c r="D11" s="122">
        <f t="shared" ref="D11:O11" si="2">SUM(D9:D10)</f>
        <v>0</v>
      </c>
      <c r="E11" s="122">
        <f t="shared" si="2"/>
        <v>0</v>
      </c>
      <c r="F11" s="122">
        <f t="shared" si="2"/>
        <v>0</v>
      </c>
      <c r="G11" s="122">
        <f t="shared" si="2"/>
        <v>0</v>
      </c>
      <c r="H11" s="122">
        <f t="shared" si="2"/>
        <v>0</v>
      </c>
      <c r="I11" s="122">
        <f t="shared" si="2"/>
        <v>0</v>
      </c>
      <c r="J11" s="122">
        <f t="shared" si="2"/>
        <v>0</v>
      </c>
      <c r="K11" s="122">
        <f t="shared" si="2"/>
        <v>0</v>
      </c>
      <c r="L11" s="122">
        <f t="shared" si="2"/>
        <v>0</v>
      </c>
      <c r="M11" s="122">
        <f t="shared" si="2"/>
        <v>0</v>
      </c>
      <c r="N11" s="122">
        <f t="shared" si="2"/>
        <v>0</v>
      </c>
      <c r="O11" s="122">
        <f t="shared" si="2"/>
        <v>0</v>
      </c>
      <c r="P11" s="21">
        <v>1</v>
      </c>
      <c r="R11" s="98">
        <f t="shared" si="1"/>
        <v>0</v>
      </c>
      <c r="S11" s="98">
        <f t="shared" si="0"/>
        <v>0</v>
      </c>
      <c r="T11" s="217"/>
      <c r="U11" s="217"/>
      <c r="V11" s="217"/>
      <c r="W11" s="217"/>
      <c r="X11" s="217"/>
    </row>
    <row r="12" spans="1:24" x14ac:dyDescent="0.25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5"/>
      <c r="P12" s="160"/>
      <c r="R12" s="98">
        <f t="shared" si="1"/>
        <v>0</v>
      </c>
      <c r="S12" s="98">
        <f t="shared" si="0"/>
        <v>0</v>
      </c>
      <c r="T12" s="170" t="s">
        <v>237</v>
      </c>
      <c r="U12" s="170"/>
      <c r="V12" s="170"/>
    </row>
    <row r="13" spans="1:24" x14ac:dyDescent="0.25">
      <c r="A13" s="126" t="s">
        <v>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/>
      <c r="P13" s="161"/>
      <c r="R13" s="98">
        <f t="shared" si="1"/>
        <v>0</v>
      </c>
      <c r="S13" s="98">
        <f t="shared" si="0"/>
        <v>0</v>
      </c>
      <c r="T13" s="170" t="s">
        <v>238</v>
      </c>
      <c r="U13" s="170"/>
      <c r="V13" s="170"/>
      <c r="W13" s="169"/>
      <c r="X13" s="169"/>
    </row>
    <row r="14" spans="1:24" x14ac:dyDescent="0.25">
      <c r="A14" s="114" t="s">
        <v>8</v>
      </c>
      <c r="B14" s="128">
        <v>-6055.77</v>
      </c>
      <c r="C14" s="128">
        <v>-2587.5</v>
      </c>
      <c r="D14" s="128">
        <v>0</v>
      </c>
      <c r="E14" s="128">
        <v>0</v>
      </c>
      <c r="F14" s="128">
        <v>0</v>
      </c>
      <c r="G14" s="128">
        <v>0</v>
      </c>
      <c r="H14" s="128">
        <v>0</v>
      </c>
      <c r="I14" s="128">
        <v>0</v>
      </c>
      <c r="J14" s="128">
        <v>0</v>
      </c>
      <c r="K14" s="128">
        <v>0</v>
      </c>
      <c r="L14" s="128">
        <v>0</v>
      </c>
      <c r="M14" s="128">
        <v>0</v>
      </c>
      <c r="N14" s="128">
        <v>0</v>
      </c>
      <c r="O14" s="119">
        <f>B14+C14+D14+E14+F14+G14+H14+I14+J14+K14+L14+M14+N14</f>
        <v>-8643.27</v>
      </c>
      <c r="P14" s="21"/>
      <c r="R14" s="98">
        <f t="shared" si="1"/>
        <v>-8643.27</v>
      </c>
      <c r="S14" s="98">
        <f>R14-O14</f>
        <v>0</v>
      </c>
      <c r="T14" s="170" t="s">
        <v>239</v>
      </c>
      <c r="U14" s="170"/>
      <c r="V14" s="170"/>
      <c r="W14" s="169"/>
      <c r="X14" s="169"/>
    </row>
    <row r="15" spans="1:24" x14ac:dyDescent="0.25">
      <c r="A15" s="129" t="s">
        <v>9</v>
      </c>
      <c r="B15" s="128">
        <v>0</v>
      </c>
      <c r="C15" s="128">
        <v>0</v>
      </c>
      <c r="D15" s="128">
        <v>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0</v>
      </c>
      <c r="L15" s="128">
        <v>0</v>
      </c>
      <c r="M15" s="128">
        <v>0</v>
      </c>
      <c r="N15" s="128">
        <v>0</v>
      </c>
      <c r="O15" s="119">
        <f t="shared" ref="O15:O39" si="3">B15+C15+D15+E15+F15+G15+H15+I15+J15+K15+L15+M15+N15</f>
        <v>0</v>
      </c>
      <c r="P15" s="21"/>
      <c r="R15" s="98">
        <f t="shared" si="1"/>
        <v>0</v>
      </c>
      <c r="S15" s="98">
        <f t="shared" si="0"/>
        <v>0</v>
      </c>
      <c r="T15" s="170" t="s">
        <v>240</v>
      </c>
      <c r="U15" s="170"/>
      <c r="V15" s="170"/>
      <c r="W15" s="169"/>
      <c r="X15" s="169"/>
    </row>
    <row r="16" spans="1:24" x14ac:dyDescent="0.25">
      <c r="A16" s="114" t="s">
        <v>10</v>
      </c>
      <c r="B16" s="128">
        <v>0</v>
      </c>
      <c r="C16" s="128">
        <v>0</v>
      </c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28">
        <v>0</v>
      </c>
      <c r="O16" s="119">
        <f t="shared" si="3"/>
        <v>0</v>
      </c>
      <c r="P16" s="21"/>
      <c r="R16" s="98">
        <f t="shared" si="1"/>
        <v>0</v>
      </c>
      <c r="S16" s="98">
        <f t="shared" si="0"/>
        <v>0</v>
      </c>
      <c r="W16" s="169"/>
      <c r="X16" s="169"/>
    </row>
    <row r="17" spans="1:24" x14ac:dyDescent="0.25">
      <c r="A17" s="129" t="s">
        <v>11</v>
      </c>
      <c r="B17" s="128">
        <v>0</v>
      </c>
      <c r="C17" s="128">
        <v>0</v>
      </c>
      <c r="D17" s="128">
        <v>0</v>
      </c>
      <c r="E17" s="128">
        <v>0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28">
        <v>0</v>
      </c>
      <c r="O17" s="119">
        <f t="shared" si="3"/>
        <v>0</v>
      </c>
      <c r="P17" s="21"/>
      <c r="R17" s="98">
        <f t="shared" si="1"/>
        <v>0</v>
      </c>
      <c r="S17" s="98">
        <f t="shared" si="0"/>
        <v>0</v>
      </c>
      <c r="T17" s="169"/>
      <c r="U17" s="169"/>
      <c r="V17" s="169"/>
      <c r="W17" s="169"/>
      <c r="X17" s="169"/>
    </row>
    <row r="18" spans="1:24" x14ac:dyDescent="0.25">
      <c r="A18" s="114" t="s">
        <v>12</v>
      </c>
      <c r="B18" s="128">
        <v>-1305</v>
      </c>
      <c r="C18" s="128">
        <v>0</v>
      </c>
      <c r="D18" s="128">
        <v>0</v>
      </c>
      <c r="E18" s="128">
        <v>0</v>
      </c>
      <c r="F18" s="128">
        <v>0</v>
      </c>
      <c r="G18" s="128">
        <v>0</v>
      </c>
      <c r="H18" s="128">
        <v>0</v>
      </c>
      <c r="I18" s="128">
        <v>0</v>
      </c>
      <c r="J18" s="128">
        <v>0</v>
      </c>
      <c r="K18" s="128">
        <v>0</v>
      </c>
      <c r="L18" s="128">
        <v>0</v>
      </c>
      <c r="M18" s="128">
        <v>0</v>
      </c>
      <c r="N18" s="128">
        <v>0</v>
      </c>
      <c r="O18" s="119">
        <f t="shared" si="3"/>
        <v>-1305</v>
      </c>
      <c r="P18" s="21"/>
      <c r="R18" s="98">
        <f t="shared" si="1"/>
        <v>-1305</v>
      </c>
      <c r="S18" s="98">
        <f t="shared" si="0"/>
        <v>0</v>
      </c>
      <c r="T18" s="169"/>
      <c r="U18" s="169"/>
      <c r="V18" s="169"/>
      <c r="W18" s="169"/>
      <c r="X18" s="169"/>
    </row>
    <row r="19" spans="1:24" x14ac:dyDescent="0.25">
      <c r="A19" s="114" t="s">
        <v>13</v>
      </c>
      <c r="B19" s="128">
        <v>-791.04</v>
      </c>
      <c r="C19" s="128">
        <v>0</v>
      </c>
      <c r="D19" s="128">
        <v>0</v>
      </c>
      <c r="E19" s="128">
        <v>0</v>
      </c>
      <c r="F19" s="128">
        <v>0</v>
      </c>
      <c r="G19" s="128">
        <v>0</v>
      </c>
      <c r="H19" s="128">
        <v>0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  <c r="N19" s="128">
        <v>0</v>
      </c>
      <c r="O19" s="119">
        <f t="shared" si="3"/>
        <v>-791.04</v>
      </c>
      <c r="P19" s="21"/>
      <c r="R19" s="98">
        <f t="shared" si="1"/>
        <v>-791.04</v>
      </c>
      <c r="S19" s="98">
        <f t="shared" si="0"/>
        <v>0</v>
      </c>
    </row>
    <row r="20" spans="1:24" x14ac:dyDescent="0.25">
      <c r="A20" s="114" t="s">
        <v>14</v>
      </c>
      <c r="B20" s="128">
        <v>0</v>
      </c>
      <c r="C20" s="128">
        <v>0</v>
      </c>
      <c r="D20" s="128">
        <v>0</v>
      </c>
      <c r="E20" s="128">
        <v>0</v>
      </c>
      <c r="F20" s="128">
        <v>0</v>
      </c>
      <c r="G20" s="128">
        <v>0</v>
      </c>
      <c r="H20" s="128">
        <v>0</v>
      </c>
      <c r="I20" s="128">
        <v>0</v>
      </c>
      <c r="J20" s="128">
        <v>0</v>
      </c>
      <c r="K20" s="128">
        <v>0</v>
      </c>
      <c r="L20" s="128">
        <v>0</v>
      </c>
      <c r="M20" s="128">
        <v>0</v>
      </c>
      <c r="N20" s="128">
        <v>0</v>
      </c>
      <c r="O20" s="119">
        <f t="shared" si="3"/>
        <v>0</v>
      </c>
      <c r="P20" s="21"/>
      <c r="R20" s="98">
        <f t="shared" si="1"/>
        <v>0</v>
      </c>
      <c r="S20" s="98">
        <f t="shared" si="0"/>
        <v>0</v>
      </c>
    </row>
    <row r="21" spans="1:24" x14ac:dyDescent="0.25">
      <c r="A21" s="114" t="s">
        <v>15</v>
      </c>
      <c r="B21" s="128">
        <v>0</v>
      </c>
      <c r="C21" s="128">
        <v>0</v>
      </c>
      <c r="D21" s="128">
        <v>0</v>
      </c>
      <c r="E21" s="128">
        <v>0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28">
        <v>0</v>
      </c>
      <c r="N21" s="128">
        <v>0</v>
      </c>
      <c r="O21" s="119">
        <f t="shared" si="3"/>
        <v>0</v>
      </c>
      <c r="P21" s="21"/>
      <c r="R21" s="98">
        <f t="shared" si="1"/>
        <v>0</v>
      </c>
      <c r="S21" s="98">
        <f t="shared" si="0"/>
        <v>0</v>
      </c>
    </row>
    <row r="22" spans="1:24" x14ac:dyDescent="0.25">
      <c r="A22" s="114" t="s">
        <v>16</v>
      </c>
      <c r="B22" s="128">
        <v>0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19">
        <f t="shared" si="3"/>
        <v>0</v>
      </c>
      <c r="P22" s="21"/>
      <c r="R22" s="98">
        <f t="shared" si="1"/>
        <v>0</v>
      </c>
      <c r="S22" s="98">
        <f t="shared" si="0"/>
        <v>0</v>
      </c>
    </row>
    <row r="23" spans="1:24" x14ac:dyDescent="0.25">
      <c r="A23" s="114" t="s">
        <v>17</v>
      </c>
      <c r="B23" s="128">
        <v>-870.16</v>
      </c>
      <c r="C23" s="128">
        <v>0</v>
      </c>
      <c r="D23" s="128">
        <v>0</v>
      </c>
      <c r="E23" s="128">
        <v>0</v>
      </c>
      <c r="F23" s="128">
        <v>0</v>
      </c>
      <c r="G23" s="128">
        <v>0</v>
      </c>
      <c r="H23" s="128">
        <v>0</v>
      </c>
      <c r="I23" s="128">
        <v>0</v>
      </c>
      <c r="J23" s="128">
        <v>0</v>
      </c>
      <c r="K23" s="128">
        <v>0</v>
      </c>
      <c r="L23" s="128">
        <v>0</v>
      </c>
      <c r="M23" s="128">
        <v>0</v>
      </c>
      <c r="N23" s="128">
        <v>0</v>
      </c>
      <c r="O23" s="119">
        <f t="shared" si="3"/>
        <v>-870.16</v>
      </c>
      <c r="P23" s="21"/>
      <c r="R23" s="98">
        <f t="shared" si="1"/>
        <v>-870.16</v>
      </c>
      <c r="S23" s="98">
        <f t="shared" si="0"/>
        <v>0</v>
      </c>
    </row>
    <row r="24" spans="1:24" x14ac:dyDescent="0.25">
      <c r="A24" s="114" t="s">
        <v>18</v>
      </c>
      <c r="B24" s="128">
        <v>0</v>
      </c>
      <c r="C24" s="128">
        <v>0</v>
      </c>
      <c r="D24" s="128">
        <v>0</v>
      </c>
      <c r="E24" s="128">
        <v>0</v>
      </c>
      <c r="F24" s="128">
        <v>0</v>
      </c>
      <c r="G24" s="128">
        <v>0</v>
      </c>
      <c r="H24" s="128">
        <v>0</v>
      </c>
      <c r="I24" s="128">
        <v>0</v>
      </c>
      <c r="J24" s="128">
        <v>0</v>
      </c>
      <c r="K24" s="128">
        <v>0</v>
      </c>
      <c r="L24" s="128">
        <v>0</v>
      </c>
      <c r="M24" s="128">
        <v>0</v>
      </c>
      <c r="N24" s="128">
        <v>0</v>
      </c>
      <c r="O24" s="119">
        <f t="shared" si="3"/>
        <v>0</v>
      </c>
      <c r="P24" s="21"/>
      <c r="R24" s="98">
        <f t="shared" si="1"/>
        <v>0</v>
      </c>
      <c r="S24" s="98">
        <f t="shared" si="0"/>
        <v>0</v>
      </c>
    </row>
    <row r="25" spans="1:24" x14ac:dyDescent="0.25">
      <c r="A25" s="114" t="s">
        <v>19</v>
      </c>
      <c r="B25" s="128">
        <v>-1330</v>
      </c>
      <c r="C25" s="128">
        <v>-412</v>
      </c>
      <c r="D25" s="128">
        <v>0</v>
      </c>
      <c r="E25" s="128">
        <v>0</v>
      </c>
      <c r="F25" s="128">
        <v>0</v>
      </c>
      <c r="G25" s="128">
        <v>0</v>
      </c>
      <c r="H25" s="128">
        <v>0</v>
      </c>
      <c r="I25" s="128">
        <v>0</v>
      </c>
      <c r="J25" s="128">
        <v>0</v>
      </c>
      <c r="K25" s="128">
        <v>0</v>
      </c>
      <c r="L25" s="128">
        <v>0</v>
      </c>
      <c r="M25" s="128">
        <v>0</v>
      </c>
      <c r="N25" s="128">
        <v>0</v>
      </c>
      <c r="O25" s="119">
        <f t="shared" si="3"/>
        <v>-1742</v>
      </c>
      <c r="P25" s="21"/>
      <c r="R25" s="98">
        <f t="shared" si="1"/>
        <v>-1742</v>
      </c>
      <c r="S25" s="98">
        <f t="shared" si="0"/>
        <v>0</v>
      </c>
    </row>
    <row r="26" spans="1:24" x14ac:dyDescent="0.25">
      <c r="A26" s="114" t="s">
        <v>20</v>
      </c>
      <c r="B26" s="128">
        <v>0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28">
        <v>0</v>
      </c>
      <c r="L26" s="128">
        <v>0</v>
      </c>
      <c r="M26" s="128">
        <v>0</v>
      </c>
      <c r="N26" s="128">
        <v>0</v>
      </c>
      <c r="O26" s="119">
        <f t="shared" si="3"/>
        <v>0</v>
      </c>
      <c r="P26" s="21"/>
      <c r="R26" s="98">
        <f t="shared" si="1"/>
        <v>0</v>
      </c>
      <c r="S26" s="98">
        <f t="shared" si="0"/>
        <v>0</v>
      </c>
    </row>
    <row r="27" spans="1:24" x14ac:dyDescent="0.25">
      <c r="A27" s="114" t="s">
        <v>59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28">
        <v>0</v>
      </c>
      <c r="L27" s="128">
        <v>0</v>
      </c>
      <c r="M27" s="128">
        <v>0</v>
      </c>
      <c r="N27" s="128">
        <v>0</v>
      </c>
      <c r="O27" s="119">
        <f t="shared" si="3"/>
        <v>0</v>
      </c>
      <c r="P27" s="21"/>
      <c r="R27" s="98">
        <f t="shared" si="1"/>
        <v>0</v>
      </c>
      <c r="S27" s="98">
        <f t="shared" si="0"/>
        <v>0</v>
      </c>
    </row>
    <row r="28" spans="1:24" x14ac:dyDescent="0.25">
      <c r="A28" s="114" t="s">
        <v>21</v>
      </c>
      <c r="B28" s="128">
        <v>0</v>
      </c>
      <c r="C28" s="128">
        <v>0</v>
      </c>
      <c r="D28" s="128">
        <v>0</v>
      </c>
      <c r="E28" s="128">
        <v>0</v>
      </c>
      <c r="F28" s="128">
        <v>0</v>
      </c>
      <c r="G28" s="128">
        <v>0</v>
      </c>
      <c r="H28" s="128">
        <v>0</v>
      </c>
      <c r="I28" s="128">
        <v>0</v>
      </c>
      <c r="J28" s="128">
        <v>0</v>
      </c>
      <c r="K28" s="128">
        <v>0</v>
      </c>
      <c r="L28" s="128">
        <v>0</v>
      </c>
      <c r="M28" s="128">
        <v>0</v>
      </c>
      <c r="N28" s="128">
        <v>0</v>
      </c>
      <c r="O28" s="119">
        <f t="shared" si="3"/>
        <v>0</v>
      </c>
      <c r="P28" s="21"/>
      <c r="R28" s="98">
        <f t="shared" si="1"/>
        <v>0</v>
      </c>
      <c r="S28" s="98">
        <f t="shared" si="0"/>
        <v>0</v>
      </c>
    </row>
    <row r="29" spans="1:24" x14ac:dyDescent="0.25">
      <c r="A29" s="114" t="s">
        <v>22</v>
      </c>
      <c r="B29" s="128">
        <v>0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28">
        <v>0</v>
      </c>
      <c r="O29" s="119">
        <f t="shared" si="3"/>
        <v>0</v>
      </c>
      <c r="P29" s="21"/>
      <c r="R29" s="98">
        <f t="shared" si="1"/>
        <v>0</v>
      </c>
      <c r="S29" s="98">
        <f t="shared" si="0"/>
        <v>0</v>
      </c>
    </row>
    <row r="30" spans="1:24" x14ac:dyDescent="0.25">
      <c r="A30" s="129" t="s">
        <v>23</v>
      </c>
      <c r="B30" s="128">
        <v>0</v>
      </c>
      <c r="C30" s="128">
        <v>0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8">
        <v>0</v>
      </c>
      <c r="K30" s="128">
        <v>0</v>
      </c>
      <c r="L30" s="128">
        <v>0</v>
      </c>
      <c r="M30" s="128">
        <v>0</v>
      </c>
      <c r="N30" s="128">
        <v>0</v>
      </c>
      <c r="O30" s="119">
        <f t="shared" si="3"/>
        <v>0</v>
      </c>
      <c r="P30" s="21"/>
      <c r="R30" s="98">
        <f t="shared" si="1"/>
        <v>0</v>
      </c>
      <c r="S30" s="98">
        <f t="shared" si="0"/>
        <v>0</v>
      </c>
    </row>
    <row r="31" spans="1:24" x14ac:dyDescent="0.25">
      <c r="A31" s="114" t="s">
        <v>24</v>
      </c>
      <c r="B31" s="128">
        <v>-4244</v>
      </c>
      <c r="C31" s="128">
        <v>0</v>
      </c>
      <c r="D31" s="128">
        <v>0</v>
      </c>
      <c r="E31" s="128">
        <v>0</v>
      </c>
      <c r="F31" s="128">
        <v>0</v>
      </c>
      <c r="G31" s="128">
        <v>0</v>
      </c>
      <c r="H31" s="128">
        <v>0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28">
        <v>0</v>
      </c>
      <c r="O31" s="119">
        <f t="shared" si="3"/>
        <v>-4244</v>
      </c>
      <c r="P31" s="21"/>
      <c r="R31" s="98">
        <f t="shared" si="1"/>
        <v>-4244</v>
      </c>
      <c r="S31" s="98">
        <f t="shared" si="0"/>
        <v>0</v>
      </c>
    </row>
    <row r="32" spans="1:24" x14ac:dyDescent="0.25">
      <c r="A32" s="130" t="s">
        <v>25</v>
      </c>
      <c r="B32" s="128">
        <v>-9886.6</v>
      </c>
      <c r="C32" s="128">
        <v>0</v>
      </c>
      <c r="D32" s="128">
        <v>0</v>
      </c>
      <c r="E32" s="128">
        <v>0</v>
      </c>
      <c r="F32" s="128">
        <v>0</v>
      </c>
      <c r="G32" s="128">
        <v>0</v>
      </c>
      <c r="H32" s="128">
        <v>0</v>
      </c>
      <c r="I32" s="128">
        <v>0</v>
      </c>
      <c r="J32" s="128">
        <v>0</v>
      </c>
      <c r="K32" s="128">
        <v>0</v>
      </c>
      <c r="L32" s="128">
        <v>0</v>
      </c>
      <c r="M32" s="128">
        <v>0</v>
      </c>
      <c r="N32" s="128">
        <v>0</v>
      </c>
      <c r="O32" s="119">
        <f t="shared" si="3"/>
        <v>-9886.6</v>
      </c>
      <c r="P32" s="21"/>
      <c r="R32" s="98">
        <f t="shared" si="1"/>
        <v>-9886.6</v>
      </c>
      <c r="S32" s="98">
        <f t="shared" si="0"/>
        <v>0</v>
      </c>
    </row>
    <row r="33" spans="1:19" x14ac:dyDescent="0.25">
      <c r="A33" s="114" t="s">
        <v>26</v>
      </c>
      <c r="B33" s="128">
        <v>0</v>
      </c>
      <c r="C33" s="128">
        <v>0</v>
      </c>
      <c r="D33" s="128">
        <v>0</v>
      </c>
      <c r="E33" s="128">
        <v>0</v>
      </c>
      <c r="F33" s="128">
        <v>0</v>
      </c>
      <c r="G33" s="128">
        <v>0</v>
      </c>
      <c r="H33" s="128">
        <v>0</v>
      </c>
      <c r="I33" s="128">
        <v>0</v>
      </c>
      <c r="J33" s="128">
        <v>0</v>
      </c>
      <c r="K33" s="128">
        <v>0</v>
      </c>
      <c r="L33" s="128">
        <v>0</v>
      </c>
      <c r="M33" s="128">
        <v>0</v>
      </c>
      <c r="N33" s="128">
        <v>0</v>
      </c>
      <c r="O33" s="119">
        <f t="shared" si="3"/>
        <v>0</v>
      </c>
      <c r="P33" s="21"/>
      <c r="R33" s="98">
        <f t="shared" si="1"/>
        <v>0</v>
      </c>
      <c r="S33" s="98">
        <f t="shared" si="0"/>
        <v>0</v>
      </c>
    </row>
    <row r="34" spans="1:19" x14ac:dyDescent="0.25">
      <c r="A34" s="114" t="s">
        <v>27</v>
      </c>
      <c r="B34" s="128">
        <v>0</v>
      </c>
      <c r="C34" s="128">
        <v>0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19">
        <f t="shared" si="3"/>
        <v>0</v>
      </c>
      <c r="P34" s="21"/>
      <c r="R34" s="98">
        <f t="shared" si="1"/>
        <v>0</v>
      </c>
      <c r="S34" s="98">
        <f t="shared" si="0"/>
        <v>0</v>
      </c>
    </row>
    <row r="35" spans="1:19" x14ac:dyDescent="0.25">
      <c r="A35" s="129" t="s">
        <v>28</v>
      </c>
      <c r="B35" s="128">
        <v>0</v>
      </c>
      <c r="C35" s="128">
        <v>0</v>
      </c>
      <c r="D35" s="128">
        <v>0</v>
      </c>
      <c r="E35" s="128">
        <v>0</v>
      </c>
      <c r="F35" s="128">
        <v>0</v>
      </c>
      <c r="G35" s="128">
        <v>0</v>
      </c>
      <c r="H35" s="128">
        <v>0</v>
      </c>
      <c r="I35" s="128">
        <v>0</v>
      </c>
      <c r="J35" s="128">
        <v>0</v>
      </c>
      <c r="K35" s="128">
        <v>0</v>
      </c>
      <c r="L35" s="128">
        <v>0</v>
      </c>
      <c r="M35" s="128">
        <v>0</v>
      </c>
      <c r="N35" s="128">
        <v>0</v>
      </c>
      <c r="O35" s="119">
        <f t="shared" si="3"/>
        <v>0</v>
      </c>
      <c r="P35" s="21"/>
      <c r="R35" s="98">
        <f t="shared" si="1"/>
        <v>0</v>
      </c>
      <c r="S35" s="98">
        <f t="shared" si="0"/>
        <v>0</v>
      </c>
    </row>
    <row r="36" spans="1:19" x14ac:dyDescent="0.25">
      <c r="A36" s="114" t="s">
        <v>29</v>
      </c>
      <c r="B36" s="128">
        <v>-1240.8800000000001</v>
      </c>
      <c r="C36" s="128">
        <v>0</v>
      </c>
      <c r="D36" s="128">
        <v>0</v>
      </c>
      <c r="E36" s="128">
        <v>0</v>
      </c>
      <c r="F36" s="128">
        <v>0</v>
      </c>
      <c r="G36" s="128">
        <v>0</v>
      </c>
      <c r="H36" s="128">
        <v>0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28">
        <v>0</v>
      </c>
      <c r="O36" s="119">
        <f t="shared" si="3"/>
        <v>-1240.8800000000001</v>
      </c>
      <c r="P36" s="21"/>
      <c r="R36" s="98">
        <f t="shared" si="1"/>
        <v>-1240.8800000000001</v>
      </c>
      <c r="S36" s="98">
        <f t="shared" si="0"/>
        <v>0</v>
      </c>
    </row>
    <row r="37" spans="1:19" x14ac:dyDescent="0.25">
      <c r="A37" s="15" t="s">
        <v>276</v>
      </c>
      <c r="B37" s="128">
        <v>-489.37</v>
      </c>
      <c r="C37" s="128">
        <v>0</v>
      </c>
      <c r="D37" s="128">
        <v>0</v>
      </c>
      <c r="E37" s="128">
        <v>0</v>
      </c>
      <c r="F37" s="128">
        <v>0</v>
      </c>
      <c r="G37" s="128">
        <v>0</v>
      </c>
      <c r="H37" s="128">
        <v>0</v>
      </c>
      <c r="I37" s="128">
        <v>0</v>
      </c>
      <c r="J37" s="128">
        <v>0</v>
      </c>
      <c r="K37" s="128">
        <v>0</v>
      </c>
      <c r="L37" s="128">
        <v>0</v>
      </c>
      <c r="M37" s="128">
        <v>0</v>
      </c>
      <c r="N37" s="128">
        <v>0</v>
      </c>
      <c r="O37" s="119">
        <f t="shared" si="3"/>
        <v>-489.37</v>
      </c>
      <c r="P37" s="21"/>
      <c r="R37" s="98">
        <f t="shared" si="1"/>
        <v>-489.37</v>
      </c>
      <c r="S37" s="98">
        <f t="shared" si="0"/>
        <v>0</v>
      </c>
    </row>
    <row r="38" spans="1:19" x14ac:dyDescent="0.25">
      <c r="A38" s="114" t="s">
        <v>97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28">
        <v>0</v>
      </c>
      <c r="N38" s="128">
        <v>0</v>
      </c>
      <c r="O38" s="119">
        <f t="shared" si="3"/>
        <v>0</v>
      </c>
      <c r="P38" s="21"/>
      <c r="R38" s="98">
        <f t="shared" si="1"/>
        <v>0</v>
      </c>
      <c r="S38" s="98">
        <f t="shared" si="0"/>
        <v>0</v>
      </c>
    </row>
    <row r="39" spans="1:19" x14ac:dyDescent="0.25">
      <c r="A39" s="114" t="s">
        <v>114</v>
      </c>
      <c r="B39" s="128">
        <v>0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28">
        <v>0</v>
      </c>
      <c r="O39" s="119">
        <f t="shared" si="3"/>
        <v>0</v>
      </c>
      <c r="P39" s="21"/>
      <c r="R39" s="98">
        <f t="shared" si="1"/>
        <v>0</v>
      </c>
      <c r="S39" s="98">
        <f t="shared" si="0"/>
        <v>0</v>
      </c>
    </row>
    <row r="40" spans="1:19" x14ac:dyDescent="0.25">
      <c r="A40" s="131" t="s">
        <v>31</v>
      </c>
      <c r="B40" s="132">
        <f>SUM(B14:B39)</f>
        <v>-26212.82</v>
      </c>
      <c r="C40" s="132">
        <f>SUM(C14:C39)</f>
        <v>-2999.5</v>
      </c>
      <c r="D40" s="132">
        <f t="shared" ref="D40:N40" si="4">SUM(D14:D39)</f>
        <v>0</v>
      </c>
      <c r="E40" s="132">
        <f t="shared" si="4"/>
        <v>0</v>
      </c>
      <c r="F40" s="132">
        <f t="shared" si="4"/>
        <v>0</v>
      </c>
      <c r="G40" s="132">
        <f t="shared" si="4"/>
        <v>0</v>
      </c>
      <c r="H40" s="132">
        <f t="shared" si="4"/>
        <v>0</v>
      </c>
      <c r="I40" s="132">
        <f t="shared" si="4"/>
        <v>0</v>
      </c>
      <c r="J40" s="132">
        <f t="shared" si="4"/>
        <v>0</v>
      </c>
      <c r="K40" s="132">
        <f t="shared" si="4"/>
        <v>0</v>
      </c>
      <c r="L40" s="132">
        <f t="shared" si="4"/>
        <v>0</v>
      </c>
      <c r="M40" s="132">
        <f t="shared" si="4"/>
        <v>0</v>
      </c>
      <c r="N40" s="132">
        <f t="shared" si="4"/>
        <v>0</v>
      </c>
      <c r="O40" s="132">
        <f>SUM(O14:O39)</f>
        <v>-29212.32</v>
      </c>
      <c r="P40" s="21"/>
      <c r="R40" s="98">
        <f t="shared" si="1"/>
        <v>-29212.32</v>
      </c>
      <c r="S40" s="98">
        <f t="shared" si="0"/>
        <v>0</v>
      </c>
    </row>
    <row r="41" spans="1:19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25"/>
      <c r="P41" s="159"/>
      <c r="R41" s="98">
        <f t="shared" si="1"/>
        <v>0</v>
      </c>
      <c r="S41" s="98">
        <f t="shared" si="0"/>
        <v>0</v>
      </c>
    </row>
    <row r="42" spans="1:19" x14ac:dyDescent="0.25">
      <c r="A42" s="135" t="s">
        <v>32</v>
      </c>
      <c r="B42" s="136">
        <f>B11+B40</f>
        <v>-26212.82</v>
      </c>
      <c r="C42" s="136">
        <f t="shared" ref="C42:E42" si="5">C11+C40</f>
        <v>-2999.5</v>
      </c>
      <c r="D42" s="136">
        <f t="shared" si="5"/>
        <v>0</v>
      </c>
      <c r="E42" s="136">
        <f t="shared" si="5"/>
        <v>0</v>
      </c>
      <c r="F42" s="136">
        <f>F11+F40</f>
        <v>0</v>
      </c>
      <c r="G42" s="136">
        <f t="shared" ref="G42:N42" si="6">G11+G40</f>
        <v>0</v>
      </c>
      <c r="H42" s="136">
        <f t="shared" si="6"/>
        <v>0</v>
      </c>
      <c r="I42" s="136">
        <f t="shared" si="6"/>
        <v>0</v>
      </c>
      <c r="J42" s="136">
        <f t="shared" si="6"/>
        <v>0</v>
      </c>
      <c r="K42" s="136">
        <f t="shared" si="6"/>
        <v>0</v>
      </c>
      <c r="L42" s="136">
        <f>L11+L40</f>
        <v>0</v>
      </c>
      <c r="M42" s="136">
        <f>M11+M40</f>
        <v>0</v>
      </c>
      <c r="N42" s="136">
        <f t="shared" si="6"/>
        <v>0</v>
      </c>
      <c r="O42" s="157">
        <f t="shared" ref="O42" si="7">B42+C42+D42+E42+F42+G42+H42+I42+J42+K42+L42+M42+N42</f>
        <v>-29212.32</v>
      </c>
      <c r="P42" s="21"/>
      <c r="R42" s="98">
        <f t="shared" si="1"/>
        <v>-29212.32</v>
      </c>
      <c r="S42" s="98">
        <f t="shared" si="0"/>
        <v>0</v>
      </c>
    </row>
    <row r="43" spans="1:19" x14ac:dyDescent="0.25">
      <c r="A43" s="13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62"/>
      <c r="R43" s="98">
        <f t="shared" si="1"/>
        <v>0</v>
      </c>
      <c r="S43" s="98">
        <f t="shared" si="0"/>
        <v>0</v>
      </c>
    </row>
    <row r="44" spans="1:19" x14ac:dyDescent="0.25">
      <c r="A44" s="126" t="s">
        <v>56</v>
      </c>
      <c r="B44" s="139">
        <f t="shared" ref="B44:N44" si="8">-B9*13.15%</f>
        <v>0</v>
      </c>
      <c r="C44" s="139">
        <f t="shared" si="8"/>
        <v>0</v>
      </c>
      <c r="D44" s="139">
        <f t="shared" si="8"/>
        <v>0</v>
      </c>
      <c r="E44" s="139">
        <f t="shared" si="8"/>
        <v>0</v>
      </c>
      <c r="F44" s="139">
        <f t="shared" si="8"/>
        <v>0</v>
      </c>
      <c r="G44" s="139">
        <f t="shared" si="8"/>
        <v>0</v>
      </c>
      <c r="H44" s="139">
        <f t="shared" si="8"/>
        <v>0</v>
      </c>
      <c r="I44" s="139">
        <f t="shared" si="8"/>
        <v>0</v>
      </c>
      <c r="J44" s="139">
        <f t="shared" si="8"/>
        <v>0</v>
      </c>
      <c r="K44" s="139">
        <f t="shared" si="8"/>
        <v>0</v>
      </c>
      <c r="L44" s="139">
        <f t="shared" si="8"/>
        <v>0</v>
      </c>
      <c r="M44" s="139">
        <f t="shared" si="8"/>
        <v>0</v>
      </c>
      <c r="N44" s="139">
        <f t="shared" si="8"/>
        <v>0</v>
      </c>
      <c r="O44" s="119">
        <f t="shared" ref="O44" si="9">B44+C44+D44+E44+F44+G44+H44+I44+J44+K44+L44+M44+N44</f>
        <v>0</v>
      </c>
      <c r="P44" s="21"/>
      <c r="R44" s="98">
        <f t="shared" si="1"/>
        <v>0</v>
      </c>
      <c r="S44" s="98">
        <f t="shared" si="0"/>
        <v>0</v>
      </c>
    </row>
    <row r="45" spans="1:19" x14ac:dyDescent="0.25">
      <c r="A45" s="137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62"/>
      <c r="R45" s="98">
        <f t="shared" si="1"/>
        <v>0</v>
      </c>
      <c r="S45" s="98">
        <f t="shared" si="0"/>
        <v>0</v>
      </c>
    </row>
    <row r="46" spans="1:19" x14ac:dyDescent="0.25">
      <c r="A46" s="126" t="s">
        <v>33</v>
      </c>
      <c r="B46" s="139">
        <f>-B9*1.22%</f>
        <v>0</v>
      </c>
      <c r="C46" s="139">
        <f t="shared" ref="C46" si="10">-C11*13.15%</f>
        <v>0</v>
      </c>
      <c r="D46" s="139">
        <f t="shared" ref="D46:N46" si="11">-D9*1.22%</f>
        <v>0</v>
      </c>
      <c r="E46" s="139">
        <f t="shared" si="11"/>
        <v>0</v>
      </c>
      <c r="F46" s="139">
        <f t="shared" si="11"/>
        <v>0</v>
      </c>
      <c r="G46" s="139">
        <f t="shared" si="11"/>
        <v>0</v>
      </c>
      <c r="H46" s="139">
        <f t="shared" si="11"/>
        <v>0</v>
      </c>
      <c r="I46" s="139">
        <f t="shared" si="11"/>
        <v>0</v>
      </c>
      <c r="J46" s="139">
        <f t="shared" si="11"/>
        <v>0</v>
      </c>
      <c r="K46" s="139">
        <f t="shared" si="11"/>
        <v>0</v>
      </c>
      <c r="L46" s="139">
        <f t="shared" si="11"/>
        <v>0</v>
      </c>
      <c r="M46" s="139">
        <f t="shared" si="11"/>
        <v>0</v>
      </c>
      <c r="N46" s="139">
        <f t="shared" si="11"/>
        <v>0</v>
      </c>
      <c r="O46" s="119">
        <f t="shared" ref="O46" si="12">B46+C46+D46+E46+F46+G46+H46+I46+J46+K46+L46+M46+N46</f>
        <v>0</v>
      </c>
      <c r="P46" s="21"/>
      <c r="R46" s="98">
        <f t="shared" si="1"/>
        <v>0</v>
      </c>
      <c r="S46" s="98">
        <f t="shared" si="0"/>
        <v>0</v>
      </c>
    </row>
    <row r="47" spans="1:19" x14ac:dyDescent="0.2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62"/>
      <c r="R47" s="98">
        <f t="shared" si="1"/>
        <v>0</v>
      </c>
      <c r="S47" s="98">
        <f t="shared" si="0"/>
        <v>0</v>
      </c>
    </row>
    <row r="48" spans="1:19" x14ac:dyDescent="0.25">
      <c r="A48" s="113" t="s">
        <v>57</v>
      </c>
      <c r="B48" s="142">
        <f>B40*5.56%</f>
        <v>-1457.4327919999998</v>
      </c>
      <c r="C48" s="142">
        <f t="shared" ref="C48:E48" si="13">C40*5.56%</f>
        <v>-166.7722</v>
      </c>
      <c r="D48" s="142">
        <f t="shared" si="13"/>
        <v>0</v>
      </c>
      <c r="E48" s="142">
        <f t="shared" si="13"/>
        <v>0</v>
      </c>
      <c r="F48" s="142">
        <f>F40*5.56%</f>
        <v>0</v>
      </c>
      <c r="G48" s="142">
        <f t="shared" ref="G48:N48" si="14">G40*5.56%</f>
        <v>0</v>
      </c>
      <c r="H48" s="142">
        <f t="shared" si="14"/>
        <v>0</v>
      </c>
      <c r="I48" s="142">
        <f t="shared" si="14"/>
        <v>0</v>
      </c>
      <c r="J48" s="142">
        <f t="shared" si="14"/>
        <v>0</v>
      </c>
      <c r="K48" s="142">
        <f t="shared" si="14"/>
        <v>0</v>
      </c>
      <c r="L48" s="142">
        <f>L40*5.56%</f>
        <v>0</v>
      </c>
      <c r="M48" s="142">
        <f>M40*5.56%</f>
        <v>0</v>
      </c>
      <c r="N48" s="142">
        <f t="shared" si="14"/>
        <v>0</v>
      </c>
      <c r="O48" s="119">
        <f>B48+C48+D48+E48+F48+G48+H48+I48+J48+K48+L48+M48+N48</f>
        <v>-1624.2049919999999</v>
      </c>
      <c r="P48" s="21"/>
      <c r="R48" s="98">
        <f t="shared" si="1"/>
        <v>-1624.2049919999999</v>
      </c>
      <c r="S48" s="98">
        <f t="shared" si="0"/>
        <v>0</v>
      </c>
    </row>
    <row r="49" spans="1:19" x14ac:dyDescent="0.2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62"/>
      <c r="R49" s="98">
        <f t="shared" si="1"/>
        <v>0</v>
      </c>
      <c r="S49" s="98">
        <f t="shared" si="0"/>
        <v>0</v>
      </c>
    </row>
    <row r="50" spans="1:19" x14ac:dyDescent="0.25">
      <c r="A50" s="113" t="s">
        <v>58</v>
      </c>
      <c r="B50" s="142">
        <f>B40*0.01%</f>
        <v>-2.6212819999999999</v>
      </c>
      <c r="C50" s="142">
        <f t="shared" ref="C50" si="15">C40*0.01%</f>
        <v>-0.29994999999999999</v>
      </c>
      <c r="D50" s="142">
        <f>D40*0.01%</f>
        <v>0</v>
      </c>
      <c r="E50" s="142">
        <f t="shared" ref="E50" si="16">E40*0.01%</f>
        <v>0</v>
      </c>
      <c r="F50" s="142">
        <f>F40*0.01%</f>
        <v>0</v>
      </c>
      <c r="G50" s="142">
        <f t="shared" ref="G50:N50" si="17">G40*0.01%</f>
        <v>0</v>
      </c>
      <c r="H50" s="142">
        <f t="shared" si="17"/>
        <v>0</v>
      </c>
      <c r="I50" s="142">
        <f t="shared" si="17"/>
        <v>0</v>
      </c>
      <c r="J50" s="142">
        <f t="shared" si="17"/>
        <v>0</v>
      </c>
      <c r="K50" s="142">
        <f t="shared" si="17"/>
        <v>0</v>
      </c>
      <c r="L50" s="142">
        <f>L40*0.01%</f>
        <v>0</v>
      </c>
      <c r="M50" s="142">
        <f>M40*0.01%</f>
        <v>0</v>
      </c>
      <c r="N50" s="142">
        <f t="shared" si="17"/>
        <v>0</v>
      </c>
      <c r="O50" s="119">
        <f t="shared" ref="O50" si="18">B50+C50+D50+E50+F50+G50+H50+I50+J50+K50+L50+M50+N50</f>
        <v>-2.9212319999999998</v>
      </c>
      <c r="P50" s="21"/>
      <c r="R50" s="98">
        <f t="shared" si="1"/>
        <v>-2.9212319999999998</v>
      </c>
      <c r="S50" s="98">
        <f t="shared" si="0"/>
        <v>0</v>
      </c>
    </row>
    <row r="51" spans="1:19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62"/>
      <c r="R51" s="98">
        <f t="shared" si="1"/>
        <v>0</v>
      </c>
      <c r="S51" s="98">
        <f t="shared" si="0"/>
        <v>0</v>
      </c>
    </row>
    <row r="52" spans="1:19" x14ac:dyDescent="0.25">
      <c r="A52" s="135" t="s">
        <v>203</v>
      </c>
      <c r="B52" s="136">
        <f>B42+B48+B50+B44+B46</f>
        <v>-27672.874073999999</v>
      </c>
      <c r="C52" s="136">
        <f>C42+C48+C50+C44+C46</f>
        <v>-3166.57215</v>
      </c>
      <c r="D52" s="136">
        <f t="shared" ref="D52:E52" si="19">D42+D48+D50+D44+D46</f>
        <v>0</v>
      </c>
      <c r="E52" s="136">
        <f t="shared" si="19"/>
        <v>0</v>
      </c>
      <c r="F52" s="136">
        <f>F42+F48+F50+F44+F46</f>
        <v>0</v>
      </c>
      <c r="G52" s="136">
        <f t="shared" ref="G52:N52" si="20">G42+G48+G50+G44+G46</f>
        <v>0</v>
      </c>
      <c r="H52" s="136">
        <f t="shared" si="20"/>
        <v>0</v>
      </c>
      <c r="I52" s="136">
        <f t="shared" si="20"/>
        <v>0</v>
      </c>
      <c r="J52" s="136">
        <f t="shared" si="20"/>
        <v>0</v>
      </c>
      <c r="K52" s="136">
        <f t="shared" si="20"/>
        <v>0</v>
      </c>
      <c r="L52" s="136">
        <f>L42+L48+L50+L44+L46</f>
        <v>0</v>
      </c>
      <c r="M52" s="136">
        <f>M42+M48+M50+M44+M46</f>
        <v>0</v>
      </c>
      <c r="N52" s="136">
        <f t="shared" si="20"/>
        <v>0</v>
      </c>
      <c r="O52" s="157">
        <f>B52+C52+D52+E52+F52+G52+H52+I52+J52+K52+L52+M52+N52</f>
        <v>-30839.446223999999</v>
      </c>
      <c r="P52" s="21"/>
      <c r="R52" s="98">
        <f>SUM(B52:N52)</f>
        <v>-30839.446223999999</v>
      </c>
      <c r="S52" s="98">
        <f t="shared" si="0"/>
        <v>0</v>
      </c>
    </row>
    <row r="53" spans="1:19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63"/>
    </row>
    <row r="54" spans="1:19" x14ac:dyDescent="0.25">
      <c r="A54" s="144" t="s">
        <v>35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45"/>
      <c r="P54" s="163"/>
    </row>
    <row r="55" spans="1:19" x14ac:dyDescent="0.25">
      <c r="A55" s="80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</row>
    <row r="56" spans="1:19" x14ac:dyDescent="0.25">
      <c r="A56" s="146" t="s">
        <v>36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64">
        <v>45930</v>
      </c>
    </row>
    <row r="57" spans="1:19" x14ac:dyDescent="0.25">
      <c r="B57" s="98">
        <f>B11+B40+B44+B46+B48+B50</f>
        <v>-27672.874073999999</v>
      </c>
      <c r="C57" s="98">
        <f>C11+C40+C44+C46+C48+C50</f>
        <v>-3166.57215</v>
      </c>
      <c r="D57" s="98">
        <f t="shared" ref="D57:N57" si="21">D11+D40+D44+D46+D48+D50</f>
        <v>0</v>
      </c>
      <c r="E57" s="98">
        <f t="shared" si="21"/>
        <v>0</v>
      </c>
      <c r="F57" s="98">
        <f t="shared" si="21"/>
        <v>0</v>
      </c>
      <c r="G57" s="98">
        <f t="shared" si="21"/>
        <v>0</v>
      </c>
      <c r="H57" s="98">
        <f t="shared" si="21"/>
        <v>0</v>
      </c>
      <c r="I57" s="98">
        <f t="shared" si="21"/>
        <v>0</v>
      </c>
      <c r="J57" s="98">
        <f t="shared" si="21"/>
        <v>0</v>
      </c>
      <c r="K57" s="98">
        <f t="shared" si="21"/>
        <v>0</v>
      </c>
      <c r="L57" s="98">
        <f>L11+L40+L44+L46+L48+L50</f>
        <v>0</v>
      </c>
      <c r="M57" s="98">
        <f>M11+M40+M44+M46+M48+M50</f>
        <v>0</v>
      </c>
      <c r="N57" s="98">
        <f t="shared" si="21"/>
        <v>0</v>
      </c>
      <c r="O57" s="98">
        <f>O11+O40+O44+O46+O48+O50</f>
        <v>-30839.446223999999</v>
      </c>
    </row>
    <row r="59" spans="1:19" x14ac:dyDescent="0.25">
      <c r="B59" s="98">
        <f t="shared" ref="B59:O59" si="22">B57-B52</f>
        <v>0</v>
      </c>
      <c r="C59" s="98">
        <f t="shared" si="22"/>
        <v>0</v>
      </c>
      <c r="D59" s="98">
        <f t="shared" si="22"/>
        <v>0</v>
      </c>
      <c r="E59" s="98">
        <f t="shared" si="22"/>
        <v>0</v>
      </c>
      <c r="F59" s="98">
        <f t="shared" si="22"/>
        <v>0</v>
      </c>
      <c r="G59" s="98">
        <f t="shared" si="22"/>
        <v>0</v>
      </c>
      <c r="H59" s="98">
        <f t="shared" si="22"/>
        <v>0</v>
      </c>
      <c r="I59" s="98">
        <f t="shared" si="22"/>
        <v>0</v>
      </c>
      <c r="J59" s="98">
        <f t="shared" si="22"/>
        <v>0</v>
      </c>
      <c r="K59" s="98">
        <f t="shared" si="22"/>
        <v>0</v>
      </c>
      <c r="L59" s="98">
        <f>L57-L52</f>
        <v>0</v>
      </c>
      <c r="M59" s="98">
        <f>M57-M52</f>
        <v>0</v>
      </c>
      <c r="N59" s="98">
        <f t="shared" si="22"/>
        <v>0</v>
      </c>
      <c r="O59" s="98">
        <f t="shared" si="22"/>
        <v>0</v>
      </c>
    </row>
  </sheetData>
  <mergeCells count="4">
    <mergeCell ref="T9:X11"/>
    <mergeCell ref="B1:I1"/>
    <mergeCell ref="B3:I3"/>
    <mergeCell ref="B5:H5"/>
  </mergeCells>
  <conditionalFormatting sqref="B52:C52">
    <cfRule type="cellIs" dxfId="11" priority="1" operator="lessThan">
      <formula>0</formula>
    </cfRule>
    <cfRule type="cellIs" dxfId="10" priority="2" operator="greaterThan">
      <formula>0</formula>
    </cfRule>
  </conditionalFormatting>
  <printOptions horizontalCentered="1" verticalCentered="1"/>
  <pageMargins left="0.19685039370078741" right="0.11811023622047245" top="0.39370078740157483" bottom="0" header="0.51181102362204722" footer="0"/>
  <pageSetup paperSize="9" scale="64" orientation="landscape" r:id="rId1"/>
  <headerFooter>
    <oddHeader>&amp;C&amp;"-,Negrito"&amp;14BELA NOVA CONSTRUTORA LTDA</oddHeader>
  </headerFooter>
  <ignoredErrors>
    <ignoredError sqref="C46" formula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9"/>
  </sheetPr>
  <dimension ref="A1:AA59"/>
  <sheetViews>
    <sheetView zoomScale="85" zoomScaleNormal="85" workbookViewId="0">
      <pane xSplit="1" topLeftCell="B1" activePane="topRight" state="frozen"/>
      <selection activeCell="G42" sqref="G42"/>
      <selection pane="topRight" activeCell="I9" sqref="I9"/>
    </sheetView>
  </sheetViews>
  <sheetFormatPr defaultRowHeight="15" x14ac:dyDescent="0.25"/>
  <cols>
    <col min="1" max="1" width="45.7109375" customWidth="1"/>
    <col min="2" max="2" width="16.140625" customWidth="1"/>
    <col min="3" max="3" width="18" bestFit="1" customWidth="1"/>
    <col min="4" max="4" width="16.140625" customWidth="1"/>
    <col min="5" max="5" width="16.85546875" customWidth="1"/>
    <col min="6" max="6" width="16.7109375" customWidth="1"/>
    <col min="7" max="7" width="16.140625" customWidth="1"/>
    <col min="8" max="8" width="15.85546875" customWidth="1"/>
    <col min="9" max="9" width="16" customWidth="1"/>
    <col min="10" max="10" width="15.140625" hidden="1" customWidth="1"/>
    <col min="11" max="11" width="17.42578125" hidden="1" customWidth="1"/>
    <col min="12" max="12" width="16.140625" hidden="1" customWidth="1"/>
    <col min="13" max="13" width="16.42578125" hidden="1" customWidth="1"/>
    <col min="14" max="14" width="16.85546875" hidden="1" customWidth="1"/>
    <col min="15" max="15" width="16.7109375" hidden="1" customWidth="1"/>
    <col min="16" max="16" width="18" bestFit="1" customWidth="1"/>
    <col min="17" max="17" width="10.85546875" bestFit="1" customWidth="1"/>
    <col min="19" max="19" width="16" bestFit="1" customWidth="1"/>
    <col min="20" max="20" width="11.7109375" customWidth="1"/>
    <col min="21" max="21" width="14.42578125" bestFit="1" customWidth="1"/>
  </cols>
  <sheetData>
    <row r="1" spans="1:27" ht="15.75" x14ac:dyDescent="0.25">
      <c r="A1" s="214" t="s">
        <v>189</v>
      </c>
      <c r="B1" s="214"/>
      <c r="C1" s="214"/>
      <c r="D1" s="214"/>
      <c r="E1" s="214"/>
      <c r="F1" s="214"/>
      <c r="G1" s="214"/>
      <c r="H1" s="109"/>
    </row>
    <row r="2" spans="1:27" ht="11.25" customHeight="1" x14ac:dyDescent="0.25">
      <c r="A2" s="108"/>
      <c r="B2" s="109"/>
      <c r="C2" s="109"/>
      <c r="D2" s="109"/>
      <c r="E2" s="109"/>
      <c r="F2" s="109"/>
      <c r="G2" s="109"/>
      <c r="H2" s="109"/>
    </row>
    <row r="3" spans="1:27" ht="15.75" x14ac:dyDescent="0.25">
      <c r="A3" s="214" t="s">
        <v>329</v>
      </c>
      <c r="B3" s="214"/>
      <c r="C3" s="214"/>
      <c r="D3" s="214"/>
      <c r="E3" s="214"/>
      <c r="F3" s="214"/>
      <c r="G3" s="214"/>
      <c r="H3" s="109"/>
    </row>
    <row r="4" spans="1:27" ht="10.5" customHeight="1" x14ac:dyDescent="0.25">
      <c r="A4" s="108"/>
      <c r="B4" s="109"/>
      <c r="C4" s="109"/>
      <c r="D4" s="109"/>
      <c r="E4" s="109"/>
      <c r="F4" s="109"/>
      <c r="G4" s="109"/>
      <c r="H4" s="109"/>
    </row>
    <row r="5" spans="1:27" ht="14.25" customHeight="1" x14ac:dyDescent="0.25">
      <c r="A5" s="202" t="s">
        <v>328</v>
      </c>
      <c r="B5" s="202"/>
      <c r="C5" s="202"/>
      <c r="D5" s="202"/>
      <c r="E5" s="202"/>
      <c r="F5" s="202"/>
      <c r="G5" s="202"/>
      <c r="H5" s="109"/>
      <c r="R5" s="168"/>
      <c r="S5" s="168"/>
      <c r="T5" s="168"/>
      <c r="U5" s="168"/>
      <c r="V5" s="168"/>
    </row>
    <row r="6" spans="1:27" x14ac:dyDescent="0.25">
      <c r="A6" s="110"/>
      <c r="B6" s="109"/>
      <c r="C6" s="109"/>
      <c r="D6" s="109"/>
      <c r="E6" s="109"/>
      <c r="F6" s="109"/>
      <c r="G6" s="109"/>
      <c r="H6" s="109"/>
    </row>
    <row r="7" spans="1:27" x14ac:dyDescent="0.25">
      <c r="A7" s="111"/>
      <c r="B7" s="112" t="s">
        <v>223</v>
      </c>
      <c r="C7" s="60" t="s">
        <v>303</v>
      </c>
      <c r="D7" s="60" t="s">
        <v>304</v>
      </c>
      <c r="E7" s="60" t="s">
        <v>305</v>
      </c>
      <c r="F7" s="60" t="s">
        <v>306</v>
      </c>
      <c r="G7" s="60" t="s">
        <v>307</v>
      </c>
      <c r="H7" s="60" t="s">
        <v>308</v>
      </c>
      <c r="I7" s="60" t="s">
        <v>309</v>
      </c>
      <c r="J7" s="60" t="s">
        <v>310</v>
      </c>
      <c r="K7" s="60" t="s">
        <v>311</v>
      </c>
      <c r="L7" s="60" t="s">
        <v>312</v>
      </c>
      <c r="M7" s="60" t="s">
        <v>313</v>
      </c>
      <c r="N7" s="60" t="s">
        <v>314</v>
      </c>
      <c r="O7" s="60" t="s">
        <v>225</v>
      </c>
      <c r="P7" s="13" t="s">
        <v>1</v>
      </c>
      <c r="Q7" s="158" t="s">
        <v>2</v>
      </c>
    </row>
    <row r="8" spans="1:27" x14ac:dyDescent="0.25">
      <c r="A8" s="114" t="s">
        <v>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6"/>
      <c r="Q8" s="159"/>
    </row>
    <row r="9" spans="1:27" x14ac:dyDescent="0.25">
      <c r="A9" s="117" t="s">
        <v>4</v>
      </c>
      <c r="B9" s="118">
        <v>235169.26</v>
      </c>
      <c r="C9" s="118">
        <v>583691.31000000006</v>
      </c>
      <c r="D9" s="118">
        <v>0</v>
      </c>
      <c r="E9" s="118">
        <v>175024.68</v>
      </c>
      <c r="F9" s="118">
        <v>37634.720000000001</v>
      </c>
      <c r="G9" s="118">
        <v>0</v>
      </c>
      <c r="H9" s="118">
        <v>38424.730000000003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  <c r="O9" s="118">
        <v>0</v>
      </c>
      <c r="P9" s="119">
        <f>SUM(B9:O9)</f>
        <v>1069944.7</v>
      </c>
      <c r="Q9" s="21">
        <v>1</v>
      </c>
      <c r="S9" s="98">
        <f>SUM(B9:O9)</f>
        <v>1069944.7</v>
      </c>
      <c r="T9" s="98">
        <f t="shared" ref="T9:T52" si="0">S9-P9</f>
        <v>0</v>
      </c>
      <c r="U9" s="175">
        <v>2025</v>
      </c>
      <c r="W9" s="217" t="s">
        <v>241</v>
      </c>
      <c r="X9" s="217"/>
      <c r="Y9" s="217"/>
      <c r="Z9" s="217"/>
      <c r="AA9" s="217"/>
    </row>
    <row r="10" spans="1:27" x14ac:dyDescent="0.25">
      <c r="A10" s="114" t="s">
        <v>5</v>
      </c>
      <c r="B10" s="118">
        <v>80000</v>
      </c>
      <c r="C10" s="118">
        <v>463052.86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  <c r="O10" s="118">
        <v>0</v>
      </c>
      <c r="P10" s="119">
        <f>SUM(B10:O10)</f>
        <v>543052.86</v>
      </c>
      <c r="Q10" s="21">
        <v>1</v>
      </c>
      <c r="S10" s="98">
        <f t="shared" ref="S10:S51" si="1">SUM(B10:O10)</f>
        <v>543052.86</v>
      </c>
      <c r="T10" s="98">
        <f t="shared" si="0"/>
        <v>0</v>
      </c>
      <c r="U10" s="98">
        <f>P9-B9</f>
        <v>834775.44</v>
      </c>
      <c r="W10" s="217"/>
      <c r="X10" s="217"/>
      <c r="Y10" s="217"/>
      <c r="Z10" s="217"/>
      <c r="AA10" s="217"/>
    </row>
    <row r="11" spans="1:27" x14ac:dyDescent="0.25">
      <c r="A11" s="121" t="s">
        <v>6</v>
      </c>
      <c r="B11" s="122">
        <f>SUM(B9:B10)</f>
        <v>315169.26</v>
      </c>
      <c r="C11" s="122">
        <f>SUM(C9:C10)</f>
        <v>1046744.17</v>
      </c>
      <c r="D11" s="122">
        <f>SUM(D9:D10)</f>
        <v>0</v>
      </c>
      <c r="E11" s="122">
        <f t="shared" ref="E11:O11" si="2">SUM(E9:E10)</f>
        <v>175024.68</v>
      </c>
      <c r="F11" s="122">
        <f>SUM(F9:F10)</f>
        <v>37634.720000000001</v>
      </c>
      <c r="G11" s="122">
        <f>SUM(G9:G10)</f>
        <v>0</v>
      </c>
      <c r="H11" s="122">
        <f t="shared" si="2"/>
        <v>38424.730000000003</v>
      </c>
      <c r="I11" s="122">
        <f t="shared" si="2"/>
        <v>0</v>
      </c>
      <c r="J11" s="122">
        <f t="shared" si="2"/>
        <v>0</v>
      </c>
      <c r="K11" s="122">
        <f t="shared" si="2"/>
        <v>0</v>
      </c>
      <c r="L11" s="122">
        <f t="shared" si="2"/>
        <v>0</v>
      </c>
      <c r="M11" s="122">
        <f t="shared" si="2"/>
        <v>0</v>
      </c>
      <c r="N11" s="122">
        <f t="shared" si="2"/>
        <v>0</v>
      </c>
      <c r="O11" s="122">
        <f t="shared" si="2"/>
        <v>0</v>
      </c>
      <c r="P11" s="122">
        <f>SUM(P9:P10)</f>
        <v>1612997.56</v>
      </c>
      <c r="Q11" s="21">
        <v>1</v>
      </c>
      <c r="S11" s="98">
        <f t="shared" si="1"/>
        <v>1612997.56</v>
      </c>
      <c r="T11" s="98">
        <f t="shared" si="0"/>
        <v>0</v>
      </c>
      <c r="U11" s="98">
        <f t="shared" ref="U11:U52" si="3">P10-B10</f>
        <v>463052.86</v>
      </c>
      <c r="W11" s="217"/>
      <c r="X11" s="217"/>
      <c r="Y11" s="217"/>
      <c r="Z11" s="217"/>
      <c r="AA11" s="217"/>
    </row>
    <row r="12" spans="1:27" x14ac:dyDescent="0.25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5"/>
      <c r="Q12" s="160"/>
      <c r="S12" s="98">
        <f t="shared" si="1"/>
        <v>0</v>
      </c>
      <c r="T12" s="98">
        <f t="shared" si="0"/>
        <v>0</v>
      </c>
      <c r="U12" s="98">
        <f t="shared" si="3"/>
        <v>1297828.3</v>
      </c>
      <c r="W12" s="170" t="s">
        <v>237</v>
      </c>
      <c r="X12" s="170"/>
      <c r="Y12" s="170"/>
    </row>
    <row r="13" spans="1:27" x14ac:dyDescent="0.25">
      <c r="A13" s="126" t="s">
        <v>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7"/>
      <c r="Q13" s="161"/>
      <c r="S13" s="98">
        <f t="shared" si="1"/>
        <v>0</v>
      </c>
      <c r="T13" s="98">
        <f t="shared" si="0"/>
        <v>0</v>
      </c>
      <c r="U13" s="98">
        <f t="shared" si="3"/>
        <v>0</v>
      </c>
      <c r="W13" s="170" t="s">
        <v>238</v>
      </c>
      <c r="X13" s="170"/>
      <c r="Y13" s="170"/>
      <c r="Z13" s="169"/>
      <c r="AA13" s="169"/>
    </row>
    <row r="14" spans="1:27" x14ac:dyDescent="0.25">
      <c r="A14" s="114" t="s">
        <v>8</v>
      </c>
      <c r="B14" s="128">
        <v>-19068.009999999998</v>
      </c>
      <c r="C14" s="128">
        <v>0</v>
      </c>
      <c r="D14" s="128">
        <v>-4362.09</v>
      </c>
      <c r="E14" s="128">
        <v>-3260.7</v>
      </c>
      <c r="F14" s="128">
        <v>-3201.98</v>
      </c>
      <c r="G14" s="128">
        <v>-3277.96</v>
      </c>
      <c r="H14" s="128">
        <v>-1455</v>
      </c>
      <c r="I14" s="128">
        <v>0</v>
      </c>
      <c r="J14" s="128">
        <v>0</v>
      </c>
      <c r="K14" s="128">
        <v>0</v>
      </c>
      <c r="L14" s="128">
        <v>0</v>
      </c>
      <c r="M14" s="128">
        <v>0</v>
      </c>
      <c r="N14" s="128">
        <v>0</v>
      </c>
      <c r="O14" s="128">
        <v>0</v>
      </c>
      <c r="P14" s="119">
        <f>SUM(B14:O14)</f>
        <v>-34625.74</v>
      </c>
      <c r="Q14" s="21">
        <f>-P14/$P$11</f>
        <v>2.1466703272632351E-2</v>
      </c>
      <c r="S14" s="98">
        <f t="shared" si="1"/>
        <v>-34625.74</v>
      </c>
      <c r="T14" s="98">
        <f t="shared" si="0"/>
        <v>0</v>
      </c>
      <c r="U14" s="98">
        <f t="shared" si="3"/>
        <v>0</v>
      </c>
      <c r="W14" s="170" t="s">
        <v>239</v>
      </c>
      <c r="X14" s="170"/>
      <c r="Y14" s="170"/>
      <c r="Z14" s="169"/>
      <c r="AA14" s="169"/>
    </row>
    <row r="15" spans="1:27" x14ac:dyDescent="0.25">
      <c r="A15" s="129" t="s">
        <v>9</v>
      </c>
      <c r="B15" s="128">
        <v>0</v>
      </c>
      <c r="C15" s="128">
        <v>-79748.990000000005</v>
      </c>
      <c r="D15" s="128">
        <v>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0</v>
      </c>
      <c r="L15" s="128">
        <v>0</v>
      </c>
      <c r="M15" s="128">
        <v>0</v>
      </c>
      <c r="N15" s="128">
        <v>0</v>
      </c>
      <c r="O15" s="128">
        <v>0</v>
      </c>
      <c r="P15" s="119">
        <f t="shared" ref="P15:P39" si="4">SUM(B15:O15)</f>
        <v>-79748.990000000005</v>
      </c>
      <c r="Q15" s="21">
        <f t="shared" ref="Q15:Q50" si="5">-P15/$P$11</f>
        <v>4.9441482106147766E-2</v>
      </c>
      <c r="S15" s="98">
        <f t="shared" si="1"/>
        <v>-79748.990000000005</v>
      </c>
      <c r="T15" s="98">
        <f t="shared" si="0"/>
        <v>0</v>
      </c>
      <c r="U15" s="98">
        <f t="shared" si="3"/>
        <v>-15557.73</v>
      </c>
      <c r="W15" s="170" t="s">
        <v>240</v>
      </c>
      <c r="X15" s="170"/>
      <c r="Y15" s="170"/>
      <c r="Z15" s="169"/>
      <c r="AA15" s="169"/>
    </row>
    <row r="16" spans="1:27" x14ac:dyDescent="0.25">
      <c r="A16" s="114" t="s">
        <v>10</v>
      </c>
      <c r="B16" s="128">
        <v>-144</v>
      </c>
      <c r="C16" s="128">
        <v>0</v>
      </c>
      <c r="D16" s="128">
        <v>-72</v>
      </c>
      <c r="E16" s="128">
        <v>-36</v>
      </c>
      <c r="F16" s="128">
        <v>0</v>
      </c>
      <c r="G16" s="128">
        <v>0</v>
      </c>
      <c r="H16" s="128">
        <v>0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28">
        <v>0</v>
      </c>
      <c r="O16" s="128">
        <v>0</v>
      </c>
      <c r="P16" s="119">
        <f t="shared" si="4"/>
        <v>-252</v>
      </c>
      <c r="Q16" s="21">
        <f t="shared" si="5"/>
        <v>1.5623086249429911E-4</v>
      </c>
      <c r="S16" s="98">
        <f t="shared" si="1"/>
        <v>-252</v>
      </c>
      <c r="T16" s="98">
        <f t="shared" si="0"/>
        <v>0</v>
      </c>
      <c r="U16" s="98">
        <f t="shared" si="3"/>
        <v>-79748.990000000005</v>
      </c>
    </row>
    <row r="17" spans="1:21" x14ac:dyDescent="0.25">
      <c r="A17" s="129" t="s">
        <v>11</v>
      </c>
      <c r="B17" s="128">
        <v>-1125.29</v>
      </c>
      <c r="C17" s="128">
        <v>-1584</v>
      </c>
      <c r="D17" s="128">
        <v>-209.92</v>
      </c>
      <c r="E17" s="128">
        <v>0</v>
      </c>
      <c r="F17" s="128">
        <f>-5.58</f>
        <v>-5.58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28">
        <v>0</v>
      </c>
      <c r="O17" s="128">
        <v>0</v>
      </c>
      <c r="P17" s="119">
        <f t="shared" si="4"/>
        <v>-2924.79</v>
      </c>
      <c r="Q17" s="21">
        <f t="shared" si="5"/>
        <v>1.81326374728056E-3</v>
      </c>
      <c r="S17" s="98">
        <f t="shared" si="1"/>
        <v>-2924.79</v>
      </c>
      <c r="T17" s="98">
        <f t="shared" si="0"/>
        <v>0</v>
      </c>
      <c r="U17" s="98">
        <f t="shared" si="3"/>
        <v>-108</v>
      </c>
    </row>
    <row r="18" spans="1:21" x14ac:dyDescent="0.25">
      <c r="A18" s="114" t="s">
        <v>12</v>
      </c>
      <c r="B18" s="128">
        <v>-18749.5</v>
      </c>
      <c r="C18" s="128">
        <v>-814.46</v>
      </c>
      <c r="D18" s="128">
        <v>-1404.44</v>
      </c>
      <c r="E18" s="128">
        <v>-1719.93</v>
      </c>
      <c r="F18" s="128">
        <v>-1719.93</v>
      </c>
      <c r="G18" s="128">
        <v>-1088.96</v>
      </c>
      <c r="H18" s="128">
        <v>0</v>
      </c>
      <c r="I18" s="128">
        <v>0</v>
      </c>
      <c r="J18" s="128">
        <v>0</v>
      </c>
      <c r="K18" s="128">
        <v>0</v>
      </c>
      <c r="L18" s="128">
        <v>0</v>
      </c>
      <c r="M18" s="128">
        <v>0</v>
      </c>
      <c r="N18" s="128">
        <v>0</v>
      </c>
      <c r="O18" s="128">
        <v>0</v>
      </c>
      <c r="P18" s="119">
        <f t="shared" si="4"/>
        <v>-25497.219999999998</v>
      </c>
      <c r="Q18" s="21">
        <f t="shared" si="5"/>
        <v>1.5807351872249575E-2</v>
      </c>
      <c r="S18" s="98">
        <f t="shared" si="1"/>
        <v>-25497.219999999998</v>
      </c>
      <c r="T18" s="98">
        <f t="shared" si="0"/>
        <v>0</v>
      </c>
      <c r="U18" s="98">
        <f t="shared" si="3"/>
        <v>-1799.5</v>
      </c>
    </row>
    <row r="19" spans="1:21" x14ac:dyDescent="0.25">
      <c r="A19" s="114" t="s">
        <v>13</v>
      </c>
      <c r="B19" s="128">
        <v>-12481.94</v>
      </c>
      <c r="C19" s="128">
        <v>-30971.64</v>
      </c>
      <c r="D19" s="128">
        <v>-1152.02</v>
      </c>
      <c r="E19" s="128">
        <v>-1538.35</v>
      </c>
      <c r="F19" s="128">
        <v>-1565.22</v>
      </c>
      <c r="G19" s="128">
        <v>-731.04</v>
      </c>
      <c r="H19" s="128">
        <v>0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  <c r="N19" s="128">
        <v>0</v>
      </c>
      <c r="O19" s="128">
        <v>0</v>
      </c>
      <c r="P19" s="119">
        <f t="shared" si="4"/>
        <v>-48440.21</v>
      </c>
      <c r="Q19" s="21">
        <f t="shared" si="5"/>
        <v>3.0031173760734019E-2</v>
      </c>
      <c r="S19" s="98">
        <f t="shared" si="1"/>
        <v>-48440.21</v>
      </c>
      <c r="T19" s="98">
        <f t="shared" si="0"/>
        <v>0</v>
      </c>
      <c r="U19" s="98">
        <f t="shared" si="3"/>
        <v>-6747.7199999999975</v>
      </c>
    </row>
    <row r="20" spans="1:21" x14ac:dyDescent="0.25">
      <c r="A20" s="114" t="s">
        <v>14</v>
      </c>
      <c r="B20" s="128">
        <v>-17164.490000000002</v>
      </c>
      <c r="C20" s="128">
        <v>-25608.75</v>
      </c>
      <c r="D20" s="128">
        <v>-100.77</v>
      </c>
      <c r="E20" s="128">
        <v>-1433.63</v>
      </c>
      <c r="F20" s="128">
        <v>-1801.2</v>
      </c>
      <c r="G20" s="128">
        <v>-759.63</v>
      </c>
      <c r="H20" s="128">
        <v>0</v>
      </c>
      <c r="I20" s="128">
        <v>0</v>
      </c>
      <c r="J20" s="128">
        <v>0</v>
      </c>
      <c r="K20" s="128">
        <v>0</v>
      </c>
      <c r="L20" s="128">
        <v>0</v>
      </c>
      <c r="M20" s="128">
        <v>0</v>
      </c>
      <c r="N20" s="128">
        <v>0</v>
      </c>
      <c r="O20" s="128">
        <v>0</v>
      </c>
      <c r="P20" s="119">
        <f t="shared" si="4"/>
        <v>-46868.469999999994</v>
      </c>
      <c r="Q20" s="21">
        <f t="shared" si="5"/>
        <v>2.9056751951937233E-2</v>
      </c>
      <c r="S20" s="98">
        <f t="shared" si="1"/>
        <v>-46868.469999999994</v>
      </c>
      <c r="T20" s="98">
        <f t="shared" si="0"/>
        <v>0</v>
      </c>
      <c r="U20" s="98">
        <f t="shared" si="3"/>
        <v>-35958.269999999997</v>
      </c>
    </row>
    <row r="21" spans="1:21" x14ac:dyDescent="0.25">
      <c r="A21" s="114" t="s">
        <v>15</v>
      </c>
      <c r="B21" s="128">
        <v>0</v>
      </c>
      <c r="C21" s="128">
        <v>-18841.14</v>
      </c>
      <c r="D21" s="128">
        <v>0</v>
      </c>
      <c r="E21" s="128">
        <v>0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28">
        <v>0</v>
      </c>
      <c r="N21" s="128">
        <v>0</v>
      </c>
      <c r="O21" s="128">
        <v>0</v>
      </c>
      <c r="P21" s="119">
        <f t="shared" si="4"/>
        <v>-18841.14</v>
      </c>
      <c r="Q21" s="21">
        <f t="shared" si="5"/>
        <v>1.1680823621332694E-2</v>
      </c>
      <c r="S21" s="98">
        <f t="shared" si="1"/>
        <v>-18841.14</v>
      </c>
      <c r="T21" s="98">
        <f t="shared" si="0"/>
        <v>0</v>
      </c>
      <c r="U21" s="98">
        <f t="shared" si="3"/>
        <v>-29703.979999999992</v>
      </c>
    </row>
    <row r="22" spans="1:21" x14ac:dyDescent="0.25">
      <c r="A22" s="114" t="s">
        <v>16</v>
      </c>
      <c r="B22" s="128">
        <v>0</v>
      </c>
      <c r="C22" s="128">
        <v>-266.47000000000003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28">
        <v>0</v>
      </c>
      <c r="P22" s="119">
        <f t="shared" si="4"/>
        <v>-266.47000000000003</v>
      </c>
      <c r="Q22" s="21">
        <f t="shared" si="5"/>
        <v>1.6520173781292021E-4</v>
      </c>
      <c r="S22" s="98">
        <f t="shared" si="1"/>
        <v>-266.47000000000003</v>
      </c>
      <c r="T22" s="98">
        <f t="shared" si="0"/>
        <v>0</v>
      </c>
      <c r="U22" s="98">
        <f t="shared" si="3"/>
        <v>-18841.14</v>
      </c>
    </row>
    <row r="23" spans="1:21" x14ac:dyDescent="0.25">
      <c r="A23" s="114" t="s">
        <v>17</v>
      </c>
      <c r="B23" s="128">
        <v>-14411.05</v>
      </c>
      <c r="C23" s="128">
        <v>0</v>
      </c>
      <c r="D23" s="128">
        <v>-2789.84</v>
      </c>
      <c r="E23" s="128">
        <v>-3545.67</v>
      </c>
      <c r="F23" s="128">
        <v>-3579.01</v>
      </c>
      <c r="G23" s="128">
        <v>-1575.45</v>
      </c>
      <c r="H23" s="128">
        <v>0</v>
      </c>
      <c r="I23" s="128">
        <v>0</v>
      </c>
      <c r="J23" s="128">
        <v>0</v>
      </c>
      <c r="K23" s="128">
        <v>0</v>
      </c>
      <c r="L23" s="128">
        <v>0</v>
      </c>
      <c r="M23" s="128">
        <v>0</v>
      </c>
      <c r="N23" s="128">
        <v>0</v>
      </c>
      <c r="O23" s="128">
        <v>0</v>
      </c>
      <c r="P23" s="119">
        <f t="shared" si="4"/>
        <v>-25901.02</v>
      </c>
      <c r="Q23" s="21">
        <f t="shared" si="5"/>
        <v>1.605769323048449E-2</v>
      </c>
      <c r="S23" s="98">
        <f t="shared" si="1"/>
        <v>-25901.02</v>
      </c>
      <c r="T23" s="98">
        <f t="shared" si="0"/>
        <v>0</v>
      </c>
      <c r="U23" s="98">
        <f t="shared" si="3"/>
        <v>-266.47000000000003</v>
      </c>
    </row>
    <row r="24" spans="1:21" x14ac:dyDescent="0.25">
      <c r="A24" s="114" t="s">
        <v>18</v>
      </c>
      <c r="B24" s="128">
        <v>0</v>
      </c>
      <c r="C24" s="128">
        <v>-38173.06</v>
      </c>
      <c r="D24" s="128">
        <v>-658.93</v>
      </c>
      <c r="E24" s="128">
        <v>-658.93</v>
      </c>
      <c r="F24" s="128">
        <v>-958.93</v>
      </c>
      <c r="G24" s="128">
        <v>0</v>
      </c>
      <c r="H24" s="128">
        <v>0</v>
      </c>
      <c r="I24" s="128">
        <v>0</v>
      </c>
      <c r="J24" s="128">
        <v>0</v>
      </c>
      <c r="K24" s="128">
        <v>0</v>
      </c>
      <c r="L24" s="128">
        <v>0</v>
      </c>
      <c r="M24" s="128">
        <v>0</v>
      </c>
      <c r="N24" s="128">
        <v>0</v>
      </c>
      <c r="O24" s="128">
        <v>0</v>
      </c>
      <c r="P24" s="119">
        <f t="shared" si="4"/>
        <v>-40449.85</v>
      </c>
      <c r="Q24" s="21">
        <f t="shared" si="5"/>
        <v>2.5077440290734224E-2</v>
      </c>
      <c r="S24" s="98">
        <f t="shared" si="1"/>
        <v>-40449.85</v>
      </c>
      <c r="T24" s="98">
        <f t="shared" si="0"/>
        <v>0</v>
      </c>
      <c r="U24" s="98">
        <f t="shared" si="3"/>
        <v>-11489.970000000001</v>
      </c>
    </row>
    <row r="25" spans="1:21" x14ac:dyDescent="0.25">
      <c r="A25" s="114" t="s">
        <v>19</v>
      </c>
      <c r="B25" s="128">
        <v>-8748.6299999999992</v>
      </c>
      <c r="C25" s="128">
        <v>-6420.05</v>
      </c>
      <c r="D25" s="128">
        <v>-1735.76</v>
      </c>
      <c r="E25" s="128">
        <v>-1168.3499999999999</v>
      </c>
      <c r="F25" s="128">
        <v>-1290</v>
      </c>
      <c r="G25" s="128">
        <v>-1570</v>
      </c>
      <c r="H25" s="128">
        <v>-940</v>
      </c>
      <c r="I25" s="128">
        <v>0</v>
      </c>
      <c r="J25" s="128">
        <v>0</v>
      </c>
      <c r="K25" s="128">
        <v>0</v>
      </c>
      <c r="L25" s="128">
        <v>0</v>
      </c>
      <c r="M25" s="128">
        <v>0</v>
      </c>
      <c r="N25" s="128">
        <v>0</v>
      </c>
      <c r="O25" s="128">
        <v>0</v>
      </c>
      <c r="P25" s="119">
        <f t="shared" si="4"/>
        <v>-21872.789999999997</v>
      </c>
      <c r="Q25" s="21">
        <f t="shared" si="5"/>
        <v>1.3560336693875717E-2</v>
      </c>
      <c r="S25" s="98">
        <f t="shared" si="1"/>
        <v>-21872.789999999997</v>
      </c>
      <c r="T25" s="98">
        <f t="shared" si="0"/>
        <v>0</v>
      </c>
      <c r="U25" s="98">
        <f t="shared" si="3"/>
        <v>-40449.85</v>
      </c>
    </row>
    <row r="26" spans="1:21" x14ac:dyDescent="0.25">
      <c r="A26" s="114" t="s">
        <v>20</v>
      </c>
      <c r="B26" s="128">
        <v>0</v>
      </c>
      <c r="C26" s="128">
        <v>-45492.66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28">
        <v>0</v>
      </c>
      <c r="L26" s="128">
        <v>0</v>
      </c>
      <c r="M26" s="128">
        <v>0</v>
      </c>
      <c r="N26" s="128">
        <v>0</v>
      </c>
      <c r="O26" s="128">
        <v>0</v>
      </c>
      <c r="P26" s="119">
        <f t="shared" si="4"/>
        <v>-45492.66</v>
      </c>
      <c r="Q26" s="21">
        <f t="shared" si="5"/>
        <v>2.8203799638729772E-2</v>
      </c>
      <c r="S26" s="98">
        <f t="shared" si="1"/>
        <v>-45492.66</v>
      </c>
      <c r="T26" s="98">
        <f t="shared" si="0"/>
        <v>0</v>
      </c>
      <c r="U26" s="98">
        <f t="shared" si="3"/>
        <v>-13124.159999999998</v>
      </c>
    </row>
    <row r="27" spans="1:21" x14ac:dyDescent="0.25">
      <c r="A27" s="114" t="s">
        <v>59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28">
        <v>0</v>
      </c>
      <c r="L27" s="128">
        <v>0</v>
      </c>
      <c r="M27" s="128">
        <v>0</v>
      </c>
      <c r="N27" s="128">
        <v>0</v>
      </c>
      <c r="O27" s="128">
        <v>0</v>
      </c>
      <c r="P27" s="119">
        <f t="shared" si="4"/>
        <v>0</v>
      </c>
      <c r="Q27" s="21">
        <f t="shared" si="5"/>
        <v>0</v>
      </c>
      <c r="S27" s="98">
        <f t="shared" si="1"/>
        <v>0</v>
      </c>
      <c r="T27" s="98">
        <f t="shared" si="0"/>
        <v>0</v>
      </c>
      <c r="U27" s="98">
        <f t="shared" si="3"/>
        <v>-45492.66</v>
      </c>
    </row>
    <row r="28" spans="1:21" x14ac:dyDescent="0.25">
      <c r="A28" s="114" t="s">
        <v>21</v>
      </c>
      <c r="B28" s="128">
        <v>-450</v>
      </c>
      <c r="C28" s="128">
        <v>0</v>
      </c>
      <c r="D28" s="128">
        <v>0</v>
      </c>
      <c r="E28" s="128">
        <v>-270</v>
      </c>
      <c r="F28" s="128">
        <v>0</v>
      </c>
      <c r="G28" s="128">
        <v>-270</v>
      </c>
      <c r="H28" s="128">
        <v>0</v>
      </c>
      <c r="I28" s="128">
        <v>0</v>
      </c>
      <c r="J28" s="128">
        <v>0</v>
      </c>
      <c r="K28" s="128">
        <v>0</v>
      </c>
      <c r="L28" s="128">
        <v>0</v>
      </c>
      <c r="M28" s="128">
        <v>0</v>
      </c>
      <c r="N28" s="128">
        <v>0</v>
      </c>
      <c r="O28" s="128">
        <v>0</v>
      </c>
      <c r="P28" s="119">
        <f t="shared" si="4"/>
        <v>-990</v>
      </c>
      <c r="Q28" s="21">
        <f t="shared" si="5"/>
        <v>6.1376410265617516E-4</v>
      </c>
      <c r="S28" s="98">
        <f t="shared" si="1"/>
        <v>-990</v>
      </c>
      <c r="T28" s="98">
        <f t="shared" si="0"/>
        <v>0</v>
      </c>
      <c r="U28" s="98">
        <f t="shared" si="3"/>
        <v>0</v>
      </c>
    </row>
    <row r="29" spans="1:21" x14ac:dyDescent="0.25">
      <c r="A29" s="114" t="s">
        <v>22</v>
      </c>
      <c r="B29" s="128">
        <v>0</v>
      </c>
      <c r="C29" s="128">
        <v>-1890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28">
        <v>0</v>
      </c>
      <c r="O29" s="128">
        <v>0</v>
      </c>
      <c r="P29" s="119">
        <f t="shared" si="4"/>
        <v>-1890</v>
      </c>
      <c r="Q29" s="21">
        <f t="shared" si="5"/>
        <v>1.1717314687072434E-3</v>
      </c>
      <c r="S29" s="98">
        <f t="shared" si="1"/>
        <v>-1890</v>
      </c>
      <c r="T29" s="98">
        <f t="shared" si="0"/>
        <v>0</v>
      </c>
      <c r="U29" s="98">
        <f t="shared" si="3"/>
        <v>-540</v>
      </c>
    </row>
    <row r="30" spans="1:21" x14ac:dyDescent="0.25">
      <c r="A30" s="129" t="s">
        <v>23</v>
      </c>
      <c r="B30" s="128">
        <v>-1850.94</v>
      </c>
      <c r="C30" s="128">
        <v>0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8">
        <v>0</v>
      </c>
      <c r="K30" s="128">
        <v>0</v>
      </c>
      <c r="L30" s="128">
        <v>0</v>
      </c>
      <c r="M30" s="128">
        <v>0</v>
      </c>
      <c r="N30" s="128">
        <v>0</v>
      </c>
      <c r="O30" s="128">
        <v>0</v>
      </c>
      <c r="P30" s="119">
        <f t="shared" si="4"/>
        <v>-1850.94</v>
      </c>
      <c r="Q30" s="21">
        <f t="shared" si="5"/>
        <v>1.147515685020627E-3</v>
      </c>
      <c r="S30" s="98">
        <f t="shared" si="1"/>
        <v>-1850.94</v>
      </c>
      <c r="T30" s="98">
        <f t="shared" si="0"/>
        <v>0</v>
      </c>
      <c r="U30" s="98">
        <f t="shared" si="3"/>
        <v>-1890</v>
      </c>
    </row>
    <row r="31" spans="1:21" x14ac:dyDescent="0.25">
      <c r="A31" s="114" t="s">
        <v>24</v>
      </c>
      <c r="B31" s="128">
        <v>-75715.460000000006</v>
      </c>
      <c r="C31" s="128">
        <v>-4796.96</v>
      </c>
      <c r="D31" s="128">
        <v>-6659</v>
      </c>
      <c r="E31" s="128">
        <v>-4839</v>
      </c>
      <c r="F31" s="128">
        <v>-13169</v>
      </c>
      <c r="G31" s="128">
        <v>-4590</v>
      </c>
      <c r="H31" s="128">
        <v>0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28">
        <v>0</v>
      </c>
      <c r="O31" s="128">
        <v>0</v>
      </c>
      <c r="P31" s="119">
        <f t="shared" si="4"/>
        <v>-109769.42000000001</v>
      </c>
      <c r="Q31" s="21">
        <f t="shared" si="5"/>
        <v>6.8053060167059407E-2</v>
      </c>
      <c r="S31" s="98">
        <f t="shared" si="1"/>
        <v>-109769.42000000001</v>
      </c>
      <c r="T31" s="98">
        <f t="shared" si="0"/>
        <v>0</v>
      </c>
      <c r="U31" s="98">
        <f t="shared" si="3"/>
        <v>0</v>
      </c>
    </row>
    <row r="32" spans="1:21" x14ac:dyDescent="0.25">
      <c r="A32" s="130" t="s">
        <v>25</v>
      </c>
      <c r="B32" s="128">
        <v>-139565.9</v>
      </c>
      <c r="C32" s="128">
        <v>-212750.37</v>
      </c>
      <c r="D32" s="128">
        <v>-13590.41</v>
      </c>
      <c r="E32" s="128">
        <v>-17530.07</v>
      </c>
      <c r="F32" s="128">
        <v>-17763.2</v>
      </c>
      <c r="G32" s="128">
        <v>-8377.59</v>
      </c>
      <c r="H32" s="128">
        <v>0</v>
      </c>
      <c r="I32" s="128">
        <v>0</v>
      </c>
      <c r="J32" s="128">
        <v>0</v>
      </c>
      <c r="K32" s="128">
        <v>0</v>
      </c>
      <c r="L32" s="128">
        <v>0</v>
      </c>
      <c r="M32" s="128">
        <v>0</v>
      </c>
      <c r="N32" s="128">
        <v>0</v>
      </c>
      <c r="O32" s="128">
        <v>0</v>
      </c>
      <c r="P32" s="119">
        <f t="shared" si="4"/>
        <v>-409577.54000000004</v>
      </c>
      <c r="Q32" s="21">
        <f t="shared" si="5"/>
        <v>0.2539232235416401</v>
      </c>
      <c r="S32" s="98">
        <f t="shared" si="1"/>
        <v>-409577.54000000004</v>
      </c>
      <c r="T32" s="98">
        <f t="shared" si="0"/>
        <v>0</v>
      </c>
      <c r="U32" s="98">
        <f t="shared" si="3"/>
        <v>-34053.960000000006</v>
      </c>
    </row>
    <row r="33" spans="1:21" x14ac:dyDescent="0.25">
      <c r="A33" s="114" t="s">
        <v>26</v>
      </c>
      <c r="B33" s="128">
        <v>-990</v>
      </c>
      <c r="C33" s="128">
        <v>-211006.75</v>
      </c>
      <c r="D33" s="128">
        <v>-347.07</v>
      </c>
      <c r="E33" s="128">
        <v>-347.23</v>
      </c>
      <c r="F33" s="128">
        <v>0</v>
      </c>
      <c r="G33" s="128">
        <v>-347.07</v>
      </c>
      <c r="H33" s="128">
        <v>-347.07</v>
      </c>
      <c r="I33" s="128">
        <v>0</v>
      </c>
      <c r="J33" s="128">
        <v>0</v>
      </c>
      <c r="K33" s="128">
        <v>0</v>
      </c>
      <c r="L33" s="128">
        <v>0</v>
      </c>
      <c r="M33" s="128">
        <v>0</v>
      </c>
      <c r="N33" s="128">
        <v>0</v>
      </c>
      <c r="O33" s="128">
        <v>0</v>
      </c>
      <c r="P33" s="119">
        <f t="shared" si="4"/>
        <v>-213385.19000000003</v>
      </c>
      <c r="Q33" s="21">
        <f t="shared" si="5"/>
        <v>0.13229108046511864</v>
      </c>
      <c r="S33" s="98">
        <f t="shared" si="1"/>
        <v>-213385.19000000003</v>
      </c>
      <c r="T33" s="98">
        <f t="shared" si="0"/>
        <v>0</v>
      </c>
      <c r="U33" s="98">
        <f t="shared" si="3"/>
        <v>-270011.64</v>
      </c>
    </row>
    <row r="34" spans="1:21" x14ac:dyDescent="0.25">
      <c r="A34" s="114" t="s">
        <v>27</v>
      </c>
      <c r="B34" s="128">
        <v>0</v>
      </c>
      <c r="C34" s="128">
        <v>-4129.1400000000003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28">
        <v>0</v>
      </c>
      <c r="P34" s="119">
        <f t="shared" si="4"/>
        <v>-4129.1400000000003</v>
      </c>
      <c r="Q34" s="21">
        <f t="shared" si="5"/>
        <v>2.5599170776178979E-3</v>
      </c>
      <c r="S34" s="98">
        <f t="shared" si="1"/>
        <v>-4129.1400000000003</v>
      </c>
      <c r="T34" s="98">
        <f t="shared" si="0"/>
        <v>0</v>
      </c>
      <c r="U34" s="98">
        <f t="shared" si="3"/>
        <v>-212395.19000000003</v>
      </c>
    </row>
    <row r="35" spans="1:21" x14ac:dyDescent="0.25">
      <c r="A35" s="129" t="s">
        <v>28</v>
      </c>
      <c r="B35" s="128">
        <v>-704.5</v>
      </c>
      <c r="C35" s="128">
        <v>0</v>
      </c>
      <c r="D35" s="128">
        <v>0</v>
      </c>
      <c r="E35" s="128">
        <v>0</v>
      </c>
      <c r="F35" s="128">
        <v>0</v>
      </c>
      <c r="G35" s="128">
        <v>0</v>
      </c>
      <c r="H35" s="128">
        <v>0</v>
      </c>
      <c r="I35" s="128">
        <v>0</v>
      </c>
      <c r="J35" s="128">
        <v>0</v>
      </c>
      <c r="K35" s="128">
        <v>0</v>
      </c>
      <c r="L35" s="128">
        <v>0</v>
      </c>
      <c r="M35" s="128">
        <v>0</v>
      </c>
      <c r="N35" s="128">
        <v>0</v>
      </c>
      <c r="O35" s="128">
        <v>0</v>
      </c>
      <c r="P35" s="119">
        <f t="shared" si="4"/>
        <v>-704.5</v>
      </c>
      <c r="Q35" s="21">
        <f t="shared" si="5"/>
        <v>4.367644548699751E-4</v>
      </c>
      <c r="S35" s="98">
        <f t="shared" si="1"/>
        <v>-704.5</v>
      </c>
      <c r="T35" s="98">
        <f t="shared" si="0"/>
        <v>0</v>
      </c>
      <c r="U35" s="98">
        <f t="shared" si="3"/>
        <v>-4129.1400000000003</v>
      </c>
    </row>
    <row r="36" spans="1:21" x14ac:dyDescent="0.25">
      <c r="A36" s="114" t="s">
        <v>29</v>
      </c>
      <c r="B36" s="128">
        <v>-5685.38</v>
      </c>
      <c r="C36" s="128">
        <v>-1278.9000000000001</v>
      </c>
      <c r="D36" s="128">
        <v>-1308.8399999999999</v>
      </c>
      <c r="E36" s="128">
        <v>-1728.7</v>
      </c>
      <c r="F36" s="128">
        <v>-1860.02</v>
      </c>
      <c r="G36" s="128">
        <v>-2405.08</v>
      </c>
      <c r="H36" s="128">
        <v>-1125.5999999999999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28">
        <v>0</v>
      </c>
      <c r="O36" s="128">
        <v>0</v>
      </c>
      <c r="P36" s="119">
        <f t="shared" si="4"/>
        <v>-15392.520000000002</v>
      </c>
      <c r="Q36" s="21">
        <f t="shared" si="5"/>
        <v>9.5428042680982123E-3</v>
      </c>
      <c r="S36" s="98">
        <f t="shared" si="1"/>
        <v>-15392.520000000002</v>
      </c>
      <c r="T36" s="98">
        <f t="shared" si="0"/>
        <v>0</v>
      </c>
      <c r="U36" s="98">
        <f t="shared" si="3"/>
        <v>0</v>
      </c>
    </row>
    <row r="37" spans="1:21" x14ac:dyDescent="0.25">
      <c r="A37" s="15" t="s">
        <v>276</v>
      </c>
      <c r="B37" s="128">
        <v>-3146.3</v>
      </c>
      <c r="C37" s="128">
        <v>-26505.11</v>
      </c>
      <c r="D37" s="128">
        <v>-1526.56</v>
      </c>
      <c r="E37" s="128">
        <v>-1763.17</v>
      </c>
      <c r="F37" s="128">
        <v>-1763.17</v>
      </c>
      <c r="G37" s="128">
        <v>-816.72</v>
      </c>
      <c r="H37" s="128">
        <v>0</v>
      </c>
      <c r="I37" s="128">
        <v>0</v>
      </c>
      <c r="J37" s="128">
        <v>0</v>
      </c>
      <c r="K37" s="128">
        <v>0</v>
      </c>
      <c r="L37" s="128">
        <v>0</v>
      </c>
      <c r="M37" s="128">
        <v>0</v>
      </c>
      <c r="N37" s="128">
        <v>0</v>
      </c>
      <c r="O37" s="128">
        <v>0</v>
      </c>
      <c r="P37" s="119">
        <f t="shared" si="4"/>
        <v>-35521.03</v>
      </c>
      <c r="Q37" s="21">
        <f t="shared" si="5"/>
        <v>2.2021750609467754E-2</v>
      </c>
      <c r="S37" s="98">
        <f t="shared" si="1"/>
        <v>-35521.03</v>
      </c>
      <c r="T37" s="98">
        <f t="shared" si="0"/>
        <v>0</v>
      </c>
      <c r="U37" s="98">
        <f t="shared" si="3"/>
        <v>-9707.1400000000031</v>
      </c>
    </row>
    <row r="38" spans="1:21" x14ac:dyDescent="0.25">
      <c r="A38" s="114" t="s">
        <v>97</v>
      </c>
      <c r="B38" s="128">
        <v>0</v>
      </c>
      <c r="C38" s="128">
        <v>-23081.64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28">
        <v>0</v>
      </c>
      <c r="N38" s="128">
        <v>0</v>
      </c>
      <c r="O38" s="128">
        <v>0</v>
      </c>
      <c r="P38" s="119">
        <f t="shared" si="4"/>
        <v>-23081.64</v>
      </c>
      <c r="Q38" s="21">
        <f t="shared" si="5"/>
        <v>1.4309779861043309E-2</v>
      </c>
      <c r="S38" s="98">
        <f t="shared" si="1"/>
        <v>-23081.64</v>
      </c>
      <c r="T38" s="98">
        <f t="shared" si="0"/>
        <v>0</v>
      </c>
      <c r="U38" s="98">
        <f t="shared" si="3"/>
        <v>-32374.73</v>
      </c>
    </row>
    <row r="39" spans="1:21" x14ac:dyDescent="0.25">
      <c r="A39" s="114" t="s">
        <v>114</v>
      </c>
      <c r="B39" s="128">
        <v>0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28">
        <v>0</v>
      </c>
      <c r="O39" s="128">
        <v>0</v>
      </c>
      <c r="P39" s="119">
        <f t="shared" si="4"/>
        <v>0</v>
      </c>
      <c r="Q39" s="21">
        <f t="shared" si="5"/>
        <v>0</v>
      </c>
      <c r="S39" s="98">
        <f t="shared" si="1"/>
        <v>0</v>
      </c>
      <c r="T39" s="98">
        <f t="shared" si="0"/>
        <v>0</v>
      </c>
      <c r="U39" s="98">
        <f t="shared" si="3"/>
        <v>-23081.64</v>
      </c>
    </row>
    <row r="40" spans="1:21" x14ac:dyDescent="0.25">
      <c r="A40" s="131" t="s">
        <v>31</v>
      </c>
      <c r="B40" s="132">
        <f>SUM(B14:B39)</f>
        <v>-320001.39</v>
      </c>
      <c r="C40" s="132">
        <f>SUM(C14:C39)</f>
        <v>-733360.09000000008</v>
      </c>
      <c r="D40" s="132">
        <f>SUM(D14:D39)</f>
        <v>-35917.65</v>
      </c>
      <c r="E40" s="132">
        <f t="shared" ref="E40:O40" si="6">SUM(E14:E39)</f>
        <v>-39839.729999999996</v>
      </c>
      <c r="F40" s="132">
        <f t="shared" si="6"/>
        <v>-48677.24</v>
      </c>
      <c r="G40" s="132">
        <f t="shared" si="6"/>
        <v>-25809.5</v>
      </c>
      <c r="H40" s="132">
        <f t="shared" si="6"/>
        <v>-3867.67</v>
      </c>
      <c r="I40" s="132">
        <f t="shared" si="6"/>
        <v>0</v>
      </c>
      <c r="J40" s="132">
        <f t="shared" si="6"/>
        <v>0</v>
      </c>
      <c r="K40" s="132">
        <f t="shared" si="6"/>
        <v>0</v>
      </c>
      <c r="L40" s="132">
        <f t="shared" si="6"/>
        <v>0</v>
      </c>
      <c r="M40" s="132">
        <f t="shared" si="6"/>
        <v>0</v>
      </c>
      <c r="N40" s="132">
        <f t="shared" si="6"/>
        <v>0</v>
      </c>
      <c r="O40" s="132">
        <f t="shared" si="6"/>
        <v>0</v>
      </c>
      <c r="P40" s="132">
        <f>SUM(P14:P39)</f>
        <v>-1207473.2699999998</v>
      </c>
      <c r="Q40" s="21">
        <f t="shared" si="5"/>
        <v>0.74858964448774479</v>
      </c>
      <c r="S40" s="98">
        <f t="shared" si="1"/>
        <v>-1207473.2699999998</v>
      </c>
      <c r="T40" s="98">
        <f t="shared" si="0"/>
        <v>0</v>
      </c>
      <c r="U40" s="98">
        <f t="shared" si="3"/>
        <v>0</v>
      </c>
    </row>
    <row r="41" spans="1:21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25"/>
      <c r="Q41" s="159"/>
      <c r="S41" s="98">
        <f t="shared" si="1"/>
        <v>0</v>
      </c>
      <c r="T41" s="98">
        <f t="shared" si="0"/>
        <v>0</v>
      </c>
      <c r="U41" s="98">
        <f t="shared" si="3"/>
        <v>-887471.87999999977</v>
      </c>
    </row>
    <row r="42" spans="1:21" x14ac:dyDescent="0.25">
      <c r="A42" s="135" t="s">
        <v>32</v>
      </c>
      <c r="B42" s="136">
        <f>B11+B40</f>
        <v>-4832.1300000000047</v>
      </c>
      <c r="C42" s="165">
        <f>C11+C40</f>
        <v>313384.07999999996</v>
      </c>
      <c r="D42" s="136">
        <f>D11+D40</f>
        <v>-35917.65</v>
      </c>
      <c r="E42" s="165">
        <f t="shared" ref="E42:F42" si="7">E11+E40</f>
        <v>135184.95000000001</v>
      </c>
      <c r="F42" s="136">
        <f t="shared" si="7"/>
        <v>-11042.519999999997</v>
      </c>
      <c r="G42" s="136">
        <f>G11+G40</f>
        <v>-25809.5</v>
      </c>
      <c r="H42" s="165">
        <f t="shared" ref="H42:O42" si="8">H11+H40</f>
        <v>34557.060000000005</v>
      </c>
      <c r="I42" s="136">
        <f t="shared" si="8"/>
        <v>0</v>
      </c>
      <c r="J42" s="165">
        <f t="shared" si="8"/>
        <v>0</v>
      </c>
      <c r="K42" s="165">
        <f t="shared" si="8"/>
        <v>0</v>
      </c>
      <c r="L42" s="165">
        <f t="shared" si="8"/>
        <v>0</v>
      </c>
      <c r="M42" s="165">
        <f>M11+M40</f>
        <v>0</v>
      </c>
      <c r="N42" s="136">
        <f>N11+N40</f>
        <v>0</v>
      </c>
      <c r="O42" s="136">
        <f t="shared" si="8"/>
        <v>0</v>
      </c>
      <c r="P42" s="166">
        <f>SUM(B42:O42)</f>
        <v>405524.28999999992</v>
      </c>
      <c r="Q42" s="21">
        <f>P42/$P$11</f>
        <v>0.25141035551225505</v>
      </c>
      <c r="S42" s="98">
        <f t="shared" si="1"/>
        <v>405524.28999999992</v>
      </c>
      <c r="T42" s="98">
        <f t="shared" si="0"/>
        <v>0</v>
      </c>
      <c r="U42" s="98">
        <f t="shared" si="3"/>
        <v>0</v>
      </c>
    </row>
    <row r="43" spans="1:21" x14ac:dyDescent="0.25">
      <c r="A43" s="13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62"/>
      <c r="S43" s="98">
        <f t="shared" si="1"/>
        <v>0</v>
      </c>
      <c r="T43" s="98">
        <f t="shared" si="0"/>
        <v>0</v>
      </c>
      <c r="U43" s="98">
        <f t="shared" si="3"/>
        <v>410356.41999999993</v>
      </c>
    </row>
    <row r="44" spans="1:21" x14ac:dyDescent="0.25">
      <c r="A44" s="126" t="s">
        <v>56</v>
      </c>
      <c r="B44" s="139">
        <f>-B9*13.15%</f>
        <v>-30924.757690000002</v>
      </c>
      <c r="C44" s="139">
        <f>-C9*13.15%</f>
        <v>-76755.407265000016</v>
      </c>
      <c r="D44" s="139">
        <f>-D9*13.15%</f>
        <v>0</v>
      </c>
      <c r="E44" s="139">
        <f t="shared" ref="E44:O44" si="9">-E9*13.15%</f>
        <v>-23015.745419999999</v>
      </c>
      <c r="F44" s="139">
        <f>-F9*13.15%</f>
        <v>-4948.9656800000002</v>
      </c>
      <c r="G44" s="139">
        <f>-G9*13.15%</f>
        <v>0</v>
      </c>
      <c r="H44" s="139">
        <f t="shared" si="9"/>
        <v>-5052.8519950000009</v>
      </c>
      <c r="I44" s="139">
        <f t="shared" si="9"/>
        <v>0</v>
      </c>
      <c r="J44" s="139">
        <f>-J9*13.15%</f>
        <v>0</v>
      </c>
      <c r="K44" s="139">
        <f>-K9*13.15%</f>
        <v>0</v>
      </c>
      <c r="L44" s="139">
        <f>-L9*13.15%</f>
        <v>0</v>
      </c>
      <c r="M44" s="139">
        <f t="shared" si="9"/>
        <v>0</v>
      </c>
      <c r="N44" s="139">
        <f t="shared" si="9"/>
        <v>0</v>
      </c>
      <c r="O44" s="139">
        <f t="shared" si="9"/>
        <v>0</v>
      </c>
      <c r="P44" s="119">
        <f t="shared" ref="P44" si="10">SUM(B44:O44)</f>
        <v>-140697.72805000001</v>
      </c>
      <c r="Q44" s="21">
        <f t="shared" si="5"/>
        <v>8.7227489699364461E-2</v>
      </c>
      <c r="S44" s="98">
        <f t="shared" si="1"/>
        <v>-140697.72805000001</v>
      </c>
      <c r="T44" s="98">
        <f t="shared" si="0"/>
        <v>0</v>
      </c>
      <c r="U44" s="98">
        <f t="shared" si="3"/>
        <v>0</v>
      </c>
    </row>
    <row r="45" spans="1:21" x14ac:dyDescent="0.25">
      <c r="A45" s="137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62"/>
      <c r="S45" s="98">
        <f t="shared" si="1"/>
        <v>0</v>
      </c>
      <c r="T45" s="98">
        <f t="shared" si="0"/>
        <v>0</v>
      </c>
      <c r="U45" s="98">
        <f t="shared" si="3"/>
        <v>-109772.97036000001</v>
      </c>
    </row>
    <row r="46" spans="1:21" x14ac:dyDescent="0.25">
      <c r="A46" s="126" t="s">
        <v>33</v>
      </c>
      <c r="B46" s="139">
        <f t="shared" ref="B46:O46" si="11">-B9*1.22%</f>
        <v>-2869.0649719999997</v>
      </c>
      <c r="C46" s="139">
        <f t="shared" ref="C46" si="12">-C9*1.22%</f>
        <v>-7121.0339819999999</v>
      </c>
      <c r="D46" s="139">
        <f t="shared" si="11"/>
        <v>0</v>
      </c>
      <c r="E46" s="139">
        <f t="shared" si="11"/>
        <v>-2135.3010959999997</v>
      </c>
      <c r="F46" s="139">
        <f>-F9*1.22%</f>
        <v>-459.14358399999998</v>
      </c>
      <c r="G46" s="139">
        <f>-G9*1.22%</f>
        <v>0</v>
      </c>
      <c r="H46" s="139">
        <f t="shared" si="11"/>
        <v>-468.78170599999999</v>
      </c>
      <c r="I46" s="139">
        <f t="shared" si="11"/>
        <v>0</v>
      </c>
      <c r="J46" s="139">
        <f t="shared" si="11"/>
        <v>0</v>
      </c>
      <c r="K46" s="139">
        <f t="shared" si="11"/>
        <v>0</v>
      </c>
      <c r="L46" s="139">
        <f t="shared" si="11"/>
        <v>0</v>
      </c>
      <c r="M46" s="139">
        <f t="shared" si="11"/>
        <v>0</v>
      </c>
      <c r="N46" s="139">
        <f t="shared" si="11"/>
        <v>0</v>
      </c>
      <c r="O46" s="139">
        <f t="shared" si="11"/>
        <v>0</v>
      </c>
      <c r="P46" s="119">
        <f t="shared" ref="P46" si="13">SUM(B46:O46)</f>
        <v>-13053.325339999998</v>
      </c>
      <c r="Q46" s="21">
        <f t="shared" si="5"/>
        <v>8.0925883979638489E-3</v>
      </c>
      <c r="S46" s="98">
        <f t="shared" si="1"/>
        <v>-13053.325339999998</v>
      </c>
      <c r="T46" s="98">
        <f t="shared" si="0"/>
        <v>0</v>
      </c>
      <c r="U46" s="98">
        <f t="shared" si="3"/>
        <v>0</v>
      </c>
    </row>
    <row r="47" spans="1:21" x14ac:dyDescent="0.2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62"/>
      <c r="S47" s="98">
        <f t="shared" si="1"/>
        <v>0</v>
      </c>
      <c r="T47" s="98">
        <f t="shared" si="0"/>
        <v>0</v>
      </c>
      <c r="U47" s="98">
        <f t="shared" si="3"/>
        <v>-10184.260367999997</v>
      </c>
    </row>
    <row r="48" spans="1:21" x14ac:dyDescent="0.25">
      <c r="A48" s="113" t="s">
        <v>57</v>
      </c>
      <c r="B48" s="142">
        <f>B40*5.56%</f>
        <v>-17792.077283999999</v>
      </c>
      <c r="C48" s="142">
        <f>C40*5.56%</f>
        <v>-40774.821004000005</v>
      </c>
      <c r="D48" s="142">
        <f>D40*5.56%</f>
        <v>-1997.02134</v>
      </c>
      <c r="E48" s="142">
        <f t="shared" ref="E48:F48" si="14">E40*5.56%</f>
        <v>-2215.0889879999995</v>
      </c>
      <c r="F48" s="142">
        <f t="shared" si="14"/>
        <v>-2706.4545439999997</v>
      </c>
      <c r="G48" s="142">
        <f>G40*5.56%</f>
        <v>-1435.0082</v>
      </c>
      <c r="H48" s="142">
        <f t="shared" ref="H48:O48" si="15">H40*5.56%</f>
        <v>-215.042452</v>
      </c>
      <c r="I48" s="142">
        <f t="shared" si="15"/>
        <v>0</v>
      </c>
      <c r="J48" s="142">
        <f t="shared" si="15"/>
        <v>0</v>
      </c>
      <c r="K48" s="142">
        <f t="shared" si="15"/>
        <v>0</v>
      </c>
      <c r="L48" s="142">
        <f t="shared" si="15"/>
        <v>0</v>
      </c>
      <c r="M48" s="142">
        <f>M40*5.56%</f>
        <v>0</v>
      </c>
      <c r="N48" s="142">
        <f>N40*5.56%</f>
        <v>0</v>
      </c>
      <c r="O48" s="142">
        <f t="shared" si="15"/>
        <v>0</v>
      </c>
      <c r="P48" s="119">
        <f t="shared" ref="P48" si="16">SUM(B48:O48)</f>
        <v>-67135.513812000005</v>
      </c>
      <c r="Q48" s="21">
        <f t="shared" si="5"/>
        <v>4.1621584233518617E-2</v>
      </c>
      <c r="S48" s="98">
        <f t="shared" si="1"/>
        <v>-67135.513812000005</v>
      </c>
      <c r="T48" s="98">
        <f t="shared" si="0"/>
        <v>0</v>
      </c>
      <c r="U48" s="98">
        <f t="shared" si="3"/>
        <v>0</v>
      </c>
    </row>
    <row r="49" spans="1:21" x14ac:dyDescent="0.2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62"/>
      <c r="S49" s="98">
        <f t="shared" si="1"/>
        <v>0</v>
      </c>
      <c r="T49" s="98">
        <f t="shared" si="0"/>
        <v>0</v>
      </c>
      <c r="U49" s="98">
        <f t="shared" si="3"/>
        <v>-49343.436528000006</v>
      </c>
    </row>
    <row r="50" spans="1:21" x14ac:dyDescent="0.25">
      <c r="A50" s="113" t="s">
        <v>58</v>
      </c>
      <c r="B50" s="142">
        <f>B40*0.01%</f>
        <v>-32.000139000000004</v>
      </c>
      <c r="C50" s="142">
        <f>C40*0.01%</f>
        <v>-73.336009000000018</v>
      </c>
      <c r="D50" s="142">
        <f>D40*0.01%</f>
        <v>-3.5917650000000001</v>
      </c>
      <c r="E50" s="142">
        <f>E40*0.01%</f>
        <v>-3.9839729999999998</v>
      </c>
      <c r="F50" s="142">
        <f t="shared" ref="F50" si="17">F40*0.01%</f>
        <v>-4.8677239999999999</v>
      </c>
      <c r="G50" s="142">
        <f>G40*0.01%</f>
        <v>-2.5809500000000001</v>
      </c>
      <c r="H50" s="142">
        <f t="shared" ref="H50:O50" si="18">H40*0.01%</f>
        <v>-0.38676700000000003</v>
      </c>
      <c r="I50" s="142">
        <f t="shared" si="18"/>
        <v>0</v>
      </c>
      <c r="J50" s="142">
        <f t="shared" si="18"/>
        <v>0</v>
      </c>
      <c r="K50" s="142">
        <f t="shared" si="18"/>
        <v>0</v>
      </c>
      <c r="L50" s="142">
        <f t="shared" si="18"/>
        <v>0</v>
      </c>
      <c r="M50" s="142">
        <f>M40*0.01%</f>
        <v>0</v>
      </c>
      <c r="N50" s="142">
        <f>N40*0.01%</f>
        <v>0</v>
      </c>
      <c r="O50" s="142">
        <f t="shared" si="18"/>
        <v>0</v>
      </c>
      <c r="P50" s="119">
        <f t="shared" ref="P50" si="19">SUM(B50:O50)</f>
        <v>-120.74732700000003</v>
      </c>
      <c r="Q50" s="21">
        <f t="shared" si="5"/>
        <v>7.4858964448774513E-5</v>
      </c>
      <c r="S50" s="98">
        <f t="shared" si="1"/>
        <v>-120.74732700000003</v>
      </c>
      <c r="T50" s="98">
        <f t="shared" si="0"/>
        <v>0</v>
      </c>
      <c r="U50" s="98">
        <f t="shared" si="3"/>
        <v>0</v>
      </c>
    </row>
    <row r="51" spans="1:21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62"/>
      <c r="S51" s="98">
        <f t="shared" si="1"/>
        <v>0</v>
      </c>
      <c r="T51" s="98">
        <f t="shared" si="0"/>
        <v>0</v>
      </c>
      <c r="U51" s="98">
        <f t="shared" si="3"/>
        <v>-88.747188000000023</v>
      </c>
    </row>
    <row r="52" spans="1:21" x14ac:dyDescent="0.25">
      <c r="A52" s="135" t="s">
        <v>204</v>
      </c>
      <c r="B52" s="136">
        <f>B42+B48+B50+B44+B46</f>
        <v>-56450.030085000006</v>
      </c>
      <c r="C52" s="136">
        <f>C42+C48+C50+C44+C46</f>
        <v>188659.4817399999</v>
      </c>
      <c r="D52" s="165">
        <f>D42+D48+D50+D44+D46</f>
        <v>-37918.263104999998</v>
      </c>
      <c r="E52" s="165">
        <f>E42+E48+E50+E44+E46</f>
        <v>107814.83052300003</v>
      </c>
      <c r="F52" s="136">
        <f t="shared" ref="F52" si="20">F42+F48+F50+F44+F46</f>
        <v>-19161.951531999999</v>
      </c>
      <c r="G52" s="136">
        <f>G42+G48+G50+G44+G46</f>
        <v>-27247.08915</v>
      </c>
      <c r="H52" s="165">
        <f t="shared" ref="H52:O52" si="21">H42+H48+H50+H44+H46</f>
        <v>28819.997079999997</v>
      </c>
      <c r="I52" s="136">
        <f t="shared" si="21"/>
        <v>0</v>
      </c>
      <c r="J52" s="165">
        <f t="shared" si="21"/>
        <v>0</v>
      </c>
      <c r="K52" s="165">
        <f t="shared" si="21"/>
        <v>0</v>
      </c>
      <c r="L52" s="165">
        <f t="shared" si="21"/>
        <v>0</v>
      </c>
      <c r="M52" s="165">
        <f>M42+M48+M50+M44+M46</f>
        <v>0</v>
      </c>
      <c r="N52" s="136">
        <f>N42+N48+N50+N44+N46</f>
        <v>0</v>
      </c>
      <c r="O52" s="136">
        <f t="shared" si="21"/>
        <v>0</v>
      </c>
      <c r="P52" s="166">
        <f>SUM(B52:O52)</f>
        <v>184516.97547099995</v>
      </c>
      <c r="Q52" s="21">
        <f>P52/$P$11</f>
        <v>0.11439383421695935</v>
      </c>
      <c r="S52" s="98">
        <f>SUM(B52:O52)</f>
        <v>184516.97547099995</v>
      </c>
      <c r="T52" s="98">
        <f t="shared" si="0"/>
        <v>0</v>
      </c>
      <c r="U52" s="98">
        <f t="shared" si="3"/>
        <v>0</v>
      </c>
    </row>
    <row r="53" spans="1:21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87"/>
      <c r="Q53" s="188"/>
    </row>
    <row r="54" spans="1:21" x14ac:dyDescent="0.25">
      <c r="A54" s="144" t="s">
        <v>35</v>
      </c>
      <c r="B54" s="13"/>
      <c r="C54" s="13"/>
      <c r="D54" s="13">
        <v>7</v>
      </c>
      <c r="E54" s="13">
        <v>7</v>
      </c>
      <c r="F54" s="13">
        <v>7</v>
      </c>
      <c r="G54" s="13">
        <v>3</v>
      </c>
      <c r="H54" s="13"/>
      <c r="I54" s="13"/>
      <c r="J54" s="13"/>
      <c r="K54" s="13"/>
      <c r="L54" s="13"/>
      <c r="M54" s="13"/>
      <c r="N54" s="13"/>
      <c r="O54" s="186"/>
      <c r="P54" s="189"/>
      <c r="Q54" s="188"/>
    </row>
    <row r="55" spans="1:21" x14ac:dyDescent="0.25">
      <c r="A55" s="80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53"/>
    </row>
    <row r="56" spans="1:21" x14ac:dyDescent="0.25">
      <c r="A56" s="146" t="s">
        <v>36</v>
      </c>
      <c r="B56" s="218"/>
      <c r="C56" s="218"/>
      <c r="D56" s="218"/>
      <c r="E56" s="218"/>
      <c r="F56" s="145"/>
      <c r="G56" s="173"/>
      <c r="H56" s="109"/>
      <c r="I56" s="109"/>
      <c r="J56" s="109"/>
      <c r="K56" s="109"/>
      <c r="L56" s="109"/>
      <c r="M56" s="109"/>
      <c r="N56" s="109"/>
      <c r="O56" s="109"/>
      <c r="P56" s="109"/>
      <c r="Q56" s="164">
        <v>46203</v>
      </c>
    </row>
    <row r="57" spans="1:21" x14ac:dyDescent="0.25">
      <c r="B57" s="98">
        <f>B11+B40+B44+B46+B48+B50</f>
        <v>-56450.030085000006</v>
      </c>
      <c r="C57" s="98">
        <f>C11+C40+C44+C46+C48+C50</f>
        <v>188659.48173999996</v>
      </c>
      <c r="D57" s="98">
        <f>D11+D40+D44+D46+D48+D50</f>
        <v>-37918.263104999998</v>
      </c>
      <c r="E57" s="98">
        <f t="shared" ref="E57:O57" si="22">E11+E40+E44+E46+E48+E50</f>
        <v>107814.83052300003</v>
      </c>
      <c r="F57" s="98">
        <f t="shared" si="22"/>
        <v>-19161.951531999999</v>
      </c>
      <c r="G57" s="98">
        <f t="shared" si="22"/>
        <v>-27247.08915</v>
      </c>
      <c r="H57" s="98">
        <f t="shared" si="22"/>
        <v>28819.997080000001</v>
      </c>
      <c r="I57" s="98">
        <f t="shared" si="22"/>
        <v>0</v>
      </c>
      <c r="J57" s="98">
        <f t="shared" si="22"/>
        <v>0</v>
      </c>
      <c r="K57" s="98">
        <f t="shared" si="22"/>
        <v>0</v>
      </c>
      <c r="L57" s="98">
        <f t="shared" si="22"/>
        <v>0</v>
      </c>
      <c r="M57" s="98">
        <f>M11+M40+M44+M46+M48+M50</f>
        <v>0</v>
      </c>
      <c r="N57" s="98">
        <f>N11+N40+N44+N46+N48+N50</f>
        <v>0</v>
      </c>
      <c r="O57" s="98">
        <f t="shared" si="22"/>
        <v>0</v>
      </c>
      <c r="P57" s="98">
        <f>P11+P40+P44+P46+P48+P50</f>
        <v>184516.97547100022</v>
      </c>
      <c r="Q57" s="153"/>
    </row>
    <row r="58" spans="1:21" x14ac:dyDescent="0.25">
      <c r="Q58" s="153"/>
    </row>
    <row r="59" spans="1:21" x14ac:dyDescent="0.25">
      <c r="B59" s="98">
        <f t="shared" ref="B59:P59" si="23">B57-B52</f>
        <v>0</v>
      </c>
      <c r="C59" s="98">
        <f t="shared" ref="C59" si="24">C57-C52</f>
        <v>0</v>
      </c>
      <c r="D59" s="98">
        <f t="shared" si="23"/>
        <v>0</v>
      </c>
      <c r="E59" s="98">
        <f t="shared" si="23"/>
        <v>0</v>
      </c>
      <c r="F59" s="98">
        <f t="shared" si="23"/>
        <v>0</v>
      </c>
      <c r="G59" s="98">
        <f t="shared" si="23"/>
        <v>0</v>
      </c>
      <c r="H59" s="98">
        <f t="shared" si="23"/>
        <v>0</v>
      </c>
      <c r="I59" s="98">
        <f t="shared" si="23"/>
        <v>0</v>
      </c>
      <c r="J59" s="98">
        <f t="shared" si="23"/>
        <v>0</v>
      </c>
      <c r="K59" s="98">
        <f t="shared" si="23"/>
        <v>0</v>
      </c>
      <c r="L59" s="98">
        <f t="shared" si="23"/>
        <v>0</v>
      </c>
      <c r="M59" s="98">
        <f>M57-M52</f>
        <v>0</v>
      </c>
      <c r="N59" s="98">
        <f>N57-N52</f>
        <v>0</v>
      </c>
      <c r="O59" s="98">
        <f t="shared" si="23"/>
        <v>0</v>
      </c>
      <c r="P59" s="98">
        <f t="shared" si="23"/>
        <v>2.6193447411060333E-10</v>
      </c>
      <c r="Q59" s="153"/>
    </row>
  </sheetData>
  <mergeCells count="5">
    <mergeCell ref="A1:G1"/>
    <mergeCell ref="A3:G3"/>
    <mergeCell ref="A5:G5"/>
    <mergeCell ref="W9:AA11"/>
    <mergeCell ref="B56:E56"/>
  </mergeCells>
  <conditionalFormatting sqref="B52:D52">
    <cfRule type="cellIs" dxfId="9" priority="1" operator="lessThan">
      <formula>0</formula>
    </cfRule>
    <cfRule type="cellIs" dxfId="8" priority="2" operator="greaterThan">
      <formula>0</formula>
    </cfRule>
  </conditionalFormatting>
  <printOptions horizontalCentered="1" verticalCentered="1"/>
  <pageMargins left="0" right="0" top="0.39370078740157483" bottom="0" header="0.19685039370078741" footer="0"/>
  <pageSetup paperSize="9" scale="71" orientation="landscape" r:id="rId1"/>
  <headerFooter>
    <oddHeader>&amp;L&amp;"-,Negrito"&amp;14                                                                                                     BELA NOVA CONSTRUTORA LTDA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9"/>
  </sheetPr>
  <dimension ref="A1:U59"/>
  <sheetViews>
    <sheetView zoomScale="85" zoomScaleNormal="85" workbookViewId="0">
      <pane xSplit="1" topLeftCell="B1" activePane="topRight" state="frozen"/>
      <selection activeCell="E21" sqref="E21"/>
      <selection pane="topRight" activeCell="A37" sqref="A37"/>
    </sheetView>
  </sheetViews>
  <sheetFormatPr defaultRowHeight="15" x14ac:dyDescent="0.25"/>
  <cols>
    <col min="1" max="1" width="44.140625" customWidth="1"/>
    <col min="2" max="2" width="16.28515625" bestFit="1" customWidth="1"/>
    <col min="3" max="3" width="18.140625" bestFit="1" customWidth="1"/>
    <col min="4" max="4" width="16.7109375" customWidth="1"/>
    <col min="5" max="5" width="16.28515625" customWidth="1"/>
    <col min="6" max="6" width="16.140625" customWidth="1"/>
    <col min="7" max="7" width="17.5703125" customWidth="1"/>
    <col min="8" max="8" width="18.5703125" customWidth="1"/>
    <col min="9" max="9" width="15.85546875" customWidth="1"/>
    <col min="10" max="10" width="14.7109375" hidden="1" customWidth="1"/>
    <col min="11" max="11" width="16.7109375" hidden="1" customWidth="1"/>
    <col min="12" max="12" width="17.42578125" hidden="1" customWidth="1"/>
    <col min="13" max="13" width="16" hidden="1" customWidth="1"/>
    <col min="14" max="14" width="16.85546875" hidden="1" customWidth="1"/>
    <col min="15" max="15" width="16.7109375" hidden="1" customWidth="1"/>
    <col min="16" max="16" width="18" bestFit="1" customWidth="1"/>
    <col min="17" max="17" width="11.85546875" style="153" bestFit="1" customWidth="1"/>
    <col min="18" max="18" width="6.5703125" customWidth="1"/>
    <col min="19" max="19" width="16" bestFit="1" customWidth="1"/>
    <col min="21" max="21" width="16" bestFit="1" customWidth="1"/>
  </cols>
  <sheetData>
    <row r="1" spans="1:21" ht="15.75" x14ac:dyDescent="0.25">
      <c r="A1" s="214" t="s">
        <v>330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21" ht="11.25" customHeight="1" x14ac:dyDescent="0.25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</row>
    <row r="3" spans="1:21" ht="15.75" x14ac:dyDescent="0.25">
      <c r="A3" s="214" t="s">
        <v>331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</row>
    <row r="4" spans="1:21" ht="10.5" customHeight="1" x14ac:dyDescent="0.25">
      <c r="A4" s="108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spans="1:21" ht="16.5" customHeight="1" x14ac:dyDescent="0.25">
      <c r="A5" s="202" t="s">
        <v>332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</row>
    <row r="6" spans="1:21" x14ac:dyDescent="0.25">
      <c r="A6" s="110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</row>
    <row r="7" spans="1:21" x14ac:dyDescent="0.25">
      <c r="A7" s="111"/>
      <c r="B7" s="112" t="s">
        <v>230</v>
      </c>
      <c r="C7" s="60" t="s">
        <v>303</v>
      </c>
      <c r="D7" s="60" t="s">
        <v>304</v>
      </c>
      <c r="E7" s="60" t="s">
        <v>305</v>
      </c>
      <c r="F7" s="60" t="s">
        <v>306</v>
      </c>
      <c r="G7" s="60" t="s">
        <v>307</v>
      </c>
      <c r="H7" s="60" t="s">
        <v>308</v>
      </c>
      <c r="I7" s="60" t="s">
        <v>309</v>
      </c>
      <c r="J7" s="60" t="s">
        <v>310</v>
      </c>
      <c r="K7" s="60" t="s">
        <v>311</v>
      </c>
      <c r="L7" s="60" t="s">
        <v>312</v>
      </c>
      <c r="M7" s="60" t="s">
        <v>313</v>
      </c>
      <c r="N7" s="60" t="s">
        <v>314</v>
      </c>
      <c r="O7" s="60" t="s">
        <v>225</v>
      </c>
      <c r="P7" s="13" t="s">
        <v>1</v>
      </c>
      <c r="Q7" s="158" t="s">
        <v>2</v>
      </c>
      <c r="U7" s="175">
        <v>2025</v>
      </c>
    </row>
    <row r="8" spans="1:21" x14ac:dyDescent="0.25">
      <c r="A8" s="114" t="s">
        <v>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6"/>
      <c r="Q8" s="159"/>
    </row>
    <row r="9" spans="1:21" x14ac:dyDescent="0.25">
      <c r="A9" s="117" t="s">
        <v>4</v>
      </c>
      <c r="B9" s="118">
        <v>119490.31</v>
      </c>
      <c r="C9" s="118">
        <v>2989365.22</v>
      </c>
      <c r="D9" s="118">
        <v>275560.93</v>
      </c>
      <c r="E9" s="118">
        <v>203353.51</v>
      </c>
      <c r="F9" s="118">
        <v>0</v>
      </c>
      <c r="G9" s="118">
        <v>200000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  <c r="O9" s="118">
        <v>0</v>
      </c>
      <c r="P9" s="119">
        <f>SUM(B9:O9)</f>
        <v>3787769.9700000007</v>
      </c>
      <c r="Q9" s="21">
        <v>1</v>
      </c>
      <c r="S9" s="98">
        <f>SUM(B9:O9)</f>
        <v>3787769.9700000007</v>
      </c>
      <c r="T9" s="98">
        <f>S9-P9</f>
        <v>0</v>
      </c>
      <c r="U9" s="98">
        <f>P9-B9</f>
        <v>3668279.6600000006</v>
      </c>
    </row>
    <row r="10" spans="1:21" x14ac:dyDescent="0.25">
      <c r="A10" s="114" t="s">
        <v>5</v>
      </c>
      <c r="B10" s="118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  <c r="O10" s="118">
        <v>0</v>
      </c>
      <c r="P10" s="119">
        <f>SUM(B10:O10)</f>
        <v>0</v>
      </c>
      <c r="Q10" s="21"/>
      <c r="S10" s="98">
        <f t="shared" ref="S10:S51" si="0">SUM(B10:O10)</f>
        <v>0</v>
      </c>
      <c r="T10" s="98">
        <f t="shared" ref="T10:T52" si="1">S10-P10</f>
        <v>0</v>
      </c>
      <c r="U10" s="98">
        <f t="shared" ref="U10:U52" si="2">P10-B10</f>
        <v>0</v>
      </c>
    </row>
    <row r="11" spans="1:21" x14ac:dyDescent="0.25">
      <c r="A11" s="121" t="s">
        <v>6</v>
      </c>
      <c r="B11" s="122">
        <f t="shared" ref="B11:N11" si="3">SUM(B9:B10)</f>
        <v>119490.31</v>
      </c>
      <c r="C11" s="122">
        <f t="shared" ref="C11" si="4">SUM(C9:C10)</f>
        <v>2989365.22</v>
      </c>
      <c r="D11" s="122">
        <f t="shared" si="3"/>
        <v>275560.93</v>
      </c>
      <c r="E11" s="122">
        <f t="shared" si="3"/>
        <v>203353.51</v>
      </c>
      <c r="F11" s="122">
        <f t="shared" si="3"/>
        <v>0</v>
      </c>
      <c r="G11" s="122">
        <f t="shared" si="3"/>
        <v>200000</v>
      </c>
      <c r="H11" s="122">
        <f t="shared" si="3"/>
        <v>0</v>
      </c>
      <c r="I11" s="122">
        <f t="shared" si="3"/>
        <v>0</v>
      </c>
      <c r="J11" s="122">
        <f t="shared" si="3"/>
        <v>0</v>
      </c>
      <c r="K11" s="122">
        <f t="shared" si="3"/>
        <v>0</v>
      </c>
      <c r="L11" s="122">
        <f t="shared" si="3"/>
        <v>0</v>
      </c>
      <c r="M11" s="122">
        <f t="shared" si="3"/>
        <v>0</v>
      </c>
      <c r="N11" s="122">
        <f t="shared" si="3"/>
        <v>0</v>
      </c>
      <c r="O11" s="122">
        <f>SUM(O9:O10)</f>
        <v>0</v>
      </c>
      <c r="P11" s="122">
        <f>SUM(P9:P10)</f>
        <v>3787769.9700000007</v>
      </c>
      <c r="Q11" s="21">
        <v>1</v>
      </c>
      <c r="S11" s="98">
        <f>SUM(B11:O11)</f>
        <v>3787769.9700000007</v>
      </c>
      <c r="T11" s="98">
        <f t="shared" si="1"/>
        <v>0</v>
      </c>
      <c r="U11" s="98">
        <f t="shared" si="2"/>
        <v>3668279.6600000006</v>
      </c>
    </row>
    <row r="12" spans="1:21" x14ac:dyDescent="0.25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5"/>
      <c r="Q12" s="160"/>
      <c r="S12" s="98">
        <f t="shared" si="0"/>
        <v>0</v>
      </c>
      <c r="T12" s="98">
        <f t="shared" si="1"/>
        <v>0</v>
      </c>
      <c r="U12" s="98">
        <f t="shared" si="2"/>
        <v>0</v>
      </c>
    </row>
    <row r="13" spans="1:21" x14ac:dyDescent="0.25">
      <c r="A13" s="126" t="s">
        <v>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7"/>
      <c r="Q13" s="161"/>
      <c r="S13" s="98">
        <f t="shared" si="0"/>
        <v>0</v>
      </c>
      <c r="T13" s="98">
        <f t="shared" si="1"/>
        <v>0</v>
      </c>
      <c r="U13" s="98">
        <f t="shared" si="2"/>
        <v>0</v>
      </c>
    </row>
    <row r="14" spans="1:21" x14ac:dyDescent="0.25">
      <c r="A14" s="114" t="s">
        <v>8</v>
      </c>
      <c r="B14" s="128">
        <v>-6620.45</v>
      </c>
      <c r="C14" s="128">
        <v>-112728.38</v>
      </c>
      <c r="D14" s="128">
        <v>-12082.01</v>
      </c>
      <c r="E14" s="128">
        <v>-7089.3</v>
      </c>
      <c r="F14" s="128">
        <v>-4462.5600000000004</v>
      </c>
      <c r="G14" s="128">
        <v>-901.6</v>
      </c>
      <c r="H14" s="128">
        <v>-485</v>
      </c>
      <c r="I14" s="128">
        <v>0</v>
      </c>
      <c r="J14" s="128">
        <v>0</v>
      </c>
      <c r="K14" s="128">
        <v>0</v>
      </c>
      <c r="L14" s="128">
        <v>0</v>
      </c>
      <c r="M14" s="128">
        <v>0</v>
      </c>
      <c r="N14" s="128">
        <v>0</v>
      </c>
      <c r="O14" s="128">
        <v>0</v>
      </c>
      <c r="P14" s="119">
        <f>SUM(B14:O14)</f>
        <v>-144369.29999999999</v>
      </c>
      <c r="Q14" s="21">
        <f>-P14/$P$11</f>
        <v>3.8114590152896734E-2</v>
      </c>
      <c r="S14" s="98">
        <f>SUM(B14:O14)</f>
        <v>-144369.29999999999</v>
      </c>
      <c r="T14" s="98">
        <f t="shared" si="1"/>
        <v>0</v>
      </c>
      <c r="U14" s="98">
        <f t="shared" si="2"/>
        <v>-137748.84999999998</v>
      </c>
    </row>
    <row r="15" spans="1:21" x14ac:dyDescent="0.25">
      <c r="A15" s="129" t="s">
        <v>9</v>
      </c>
      <c r="B15" s="128">
        <v>0</v>
      </c>
      <c r="C15" s="128">
        <v>0</v>
      </c>
      <c r="D15" s="128">
        <v>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0</v>
      </c>
      <c r="L15" s="128">
        <v>0</v>
      </c>
      <c r="M15" s="128">
        <v>0</v>
      </c>
      <c r="N15" s="128">
        <v>0</v>
      </c>
      <c r="O15" s="128">
        <v>0</v>
      </c>
      <c r="P15" s="119">
        <f t="shared" ref="P15:P39" si="5">SUM(B15:O15)</f>
        <v>0</v>
      </c>
      <c r="Q15" s="21">
        <f t="shared" ref="Q15:Q50" si="6">-P15/$P$11</f>
        <v>0</v>
      </c>
      <c r="S15" s="98">
        <f t="shared" si="0"/>
        <v>0</v>
      </c>
      <c r="T15" s="98">
        <f t="shared" si="1"/>
        <v>0</v>
      </c>
      <c r="U15" s="98">
        <f t="shared" si="2"/>
        <v>0</v>
      </c>
    </row>
    <row r="16" spans="1:21" x14ac:dyDescent="0.25">
      <c r="A16" s="114" t="s">
        <v>10</v>
      </c>
      <c r="B16" s="128">
        <v>-60</v>
      </c>
      <c r="C16" s="128">
        <v>-2539.1999999999998</v>
      </c>
      <c r="D16" s="128">
        <v>-144</v>
      </c>
      <c r="E16" s="128">
        <v>-144</v>
      </c>
      <c r="F16" s="128">
        <v>-144</v>
      </c>
      <c r="G16" s="128">
        <v>-115.2</v>
      </c>
      <c r="H16" s="128">
        <v>0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28">
        <v>0</v>
      </c>
      <c r="O16" s="128">
        <v>0</v>
      </c>
      <c r="P16" s="119">
        <f t="shared" si="5"/>
        <v>-3146.3999999999996</v>
      </c>
      <c r="Q16" s="21">
        <f t="shared" si="6"/>
        <v>8.3067346352080592E-4</v>
      </c>
      <c r="S16" s="98">
        <f t="shared" si="0"/>
        <v>-3146.3999999999996</v>
      </c>
      <c r="T16" s="98">
        <f t="shared" si="1"/>
        <v>0</v>
      </c>
      <c r="U16" s="98">
        <f t="shared" si="2"/>
        <v>-3086.3999999999996</v>
      </c>
    </row>
    <row r="17" spans="1:21" x14ac:dyDescent="0.25">
      <c r="A17" s="129" t="s">
        <v>11</v>
      </c>
      <c r="B17" s="128">
        <v>-647.29999999999995</v>
      </c>
      <c r="C17" s="128">
        <v>-2113.89</v>
      </c>
      <c r="D17" s="128">
        <v>-344.72</v>
      </c>
      <c r="E17" s="128">
        <v>0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28">
        <v>0</v>
      </c>
      <c r="O17" s="128">
        <v>0</v>
      </c>
      <c r="P17" s="119">
        <f t="shared" si="5"/>
        <v>-3105.91</v>
      </c>
      <c r="Q17" s="21">
        <f t="shared" si="6"/>
        <v>8.1998379642890496E-4</v>
      </c>
      <c r="S17" s="98">
        <f t="shared" si="0"/>
        <v>-3105.91</v>
      </c>
      <c r="T17" s="98">
        <f t="shared" si="1"/>
        <v>0</v>
      </c>
      <c r="U17" s="98">
        <f t="shared" si="2"/>
        <v>-2458.6099999999997</v>
      </c>
    </row>
    <row r="18" spans="1:21" x14ac:dyDescent="0.25">
      <c r="A18" s="114" t="s">
        <v>12</v>
      </c>
      <c r="B18" s="128">
        <v>-5045.8999999999996</v>
      </c>
      <c r="C18" s="128">
        <v>-52491.31</v>
      </c>
      <c r="D18" s="128">
        <v>-1716.21</v>
      </c>
      <c r="E18" s="128">
        <v>-1008.16</v>
      </c>
      <c r="F18" s="128">
        <v>-692.68</v>
      </c>
      <c r="G18" s="128">
        <v>-346.34</v>
      </c>
      <c r="H18" s="128">
        <v>0</v>
      </c>
      <c r="I18" s="128">
        <v>0</v>
      </c>
      <c r="J18" s="128">
        <v>0</v>
      </c>
      <c r="K18" s="128">
        <v>0</v>
      </c>
      <c r="L18" s="128">
        <v>0</v>
      </c>
      <c r="M18" s="128">
        <v>0</v>
      </c>
      <c r="N18" s="128">
        <v>0</v>
      </c>
      <c r="O18" s="128">
        <v>0</v>
      </c>
      <c r="P18" s="119">
        <f t="shared" si="5"/>
        <v>-61300.6</v>
      </c>
      <c r="Q18" s="21">
        <f t="shared" si="6"/>
        <v>1.6183823327581847E-2</v>
      </c>
      <c r="S18" s="98">
        <f t="shared" si="0"/>
        <v>-61300.6</v>
      </c>
      <c r="T18" s="98">
        <f t="shared" si="1"/>
        <v>0</v>
      </c>
      <c r="U18" s="98">
        <f t="shared" si="2"/>
        <v>-56254.7</v>
      </c>
    </row>
    <row r="19" spans="1:21" x14ac:dyDescent="0.25">
      <c r="A19" s="114" t="s">
        <v>13</v>
      </c>
      <c r="B19" s="128">
        <v>-3158.35</v>
      </c>
      <c r="C19" s="128">
        <v>-37874.19</v>
      </c>
      <c r="D19" s="128">
        <v>-1321.97</v>
      </c>
      <c r="E19" s="128">
        <v>-2244.35</v>
      </c>
      <c r="F19" s="128">
        <v>-406.89</v>
      </c>
      <c r="G19" s="128">
        <v>-229.22</v>
      </c>
      <c r="H19" s="128">
        <v>0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  <c r="N19" s="128">
        <v>0</v>
      </c>
      <c r="O19" s="128">
        <v>0</v>
      </c>
      <c r="P19" s="119">
        <f t="shared" si="5"/>
        <v>-45234.97</v>
      </c>
      <c r="Q19" s="21">
        <f t="shared" si="6"/>
        <v>1.1942375159598194E-2</v>
      </c>
      <c r="S19" s="98">
        <f t="shared" si="0"/>
        <v>-45234.97</v>
      </c>
      <c r="T19" s="98">
        <f t="shared" si="1"/>
        <v>0</v>
      </c>
      <c r="U19" s="98">
        <f t="shared" si="2"/>
        <v>-42076.62</v>
      </c>
    </row>
    <row r="20" spans="1:21" x14ac:dyDescent="0.25">
      <c r="A20" s="114" t="s">
        <v>14</v>
      </c>
      <c r="B20" s="128">
        <v>-2424.8000000000002</v>
      </c>
      <c r="C20" s="128">
        <v>-36685.9</v>
      </c>
      <c r="D20" s="128">
        <v>-331.7</v>
      </c>
      <c r="E20" s="128">
        <v>-77.790000000000006</v>
      </c>
      <c r="F20" s="128">
        <v>-112.04</v>
      </c>
      <c r="G20" s="128">
        <v>-200.54</v>
      </c>
      <c r="H20" s="128">
        <v>0</v>
      </c>
      <c r="I20" s="128">
        <v>0</v>
      </c>
      <c r="J20" s="128">
        <v>0</v>
      </c>
      <c r="K20" s="128">
        <v>0</v>
      </c>
      <c r="L20" s="128">
        <v>0</v>
      </c>
      <c r="M20" s="128">
        <v>0</v>
      </c>
      <c r="N20" s="128">
        <v>0</v>
      </c>
      <c r="O20" s="128">
        <v>0</v>
      </c>
      <c r="P20" s="119">
        <f t="shared" si="5"/>
        <v>-39832.770000000004</v>
      </c>
      <c r="Q20" s="21">
        <f t="shared" si="6"/>
        <v>1.0516153387213215E-2</v>
      </c>
      <c r="S20" s="98">
        <f t="shared" si="0"/>
        <v>-39832.770000000004</v>
      </c>
      <c r="T20" s="98">
        <f t="shared" si="1"/>
        <v>0</v>
      </c>
      <c r="U20" s="98">
        <f t="shared" si="2"/>
        <v>-37407.97</v>
      </c>
    </row>
    <row r="21" spans="1:21" x14ac:dyDescent="0.25">
      <c r="A21" s="114" t="s">
        <v>15</v>
      </c>
      <c r="B21" s="128">
        <v>0</v>
      </c>
      <c r="C21" s="128">
        <v>-1079.29</v>
      </c>
      <c r="D21" s="128">
        <v>0</v>
      </c>
      <c r="E21" s="128">
        <v>0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28">
        <v>0</v>
      </c>
      <c r="N21" s="128">
        <v>0</v>
      </c>
      <c r="O21" s="128">
        <v>0</v>
      </c>
      <c r="P21" s="119">
        <f t="shared" si="5"/>
        <v>-1079.29</v>
      </c>
      <c r="Q21" s="21">
        <f t="shared" si="6"/>
        <v>2.8494074575494875E-4</v>
      </c>
      <c r="S21" s="98">
        <f t="shared" si="0"/>
        <v>-1079.29</v>
      </c>
      <c r="T21" s="98">
        <f t="shared" si="1"/>
        <v>0</v>
      </c>
      <c r="U21" s="98">
        <f t="shared" si="2"/>
        <v>-1079.29</v>
      </c>
    </row>
    <row r="22" spans="1:21" x14ac:dyDescent="0.25">
      <c r="A22" s="114" t="s">
        <v>16</v>
      </c>
      <c r="B22" s="128">
        <v>0</v>
      </c>
      <c r="C22" s="128">
        <v>-5633.04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28">
        <v>0</v>
      </c>
      <c r="P22" s="119">
        <f t="shared" si="5"/>
        <v>-5633.04</v>
      </c>
      <c r="Q22" s="21">
        <f t="shared" si="6"/>
        <v>1.4871652831652813E-3</v>
      </c>
      <c r="S22" s="98">
        <f t="shared" si="0"/>
        <v>-5633.04</v>
      </c>
      <c r="T22" s="98">
        <f t="shared" si="1"/>
        <v>0</v>
      </c>
      <c r="U22" s="98">
        <f t="shared" si="2"/>
        <v>-5633.04</v>
      </c>
    </row>
    <row r="23" spans="1:21" x14ac:dyDescent="0.25">
      <c r="A23" s="114" t="s">
        <v>17</v>
      </c>
      <c r="B23" s="128">
        <v>-3742.01</v>
      </c>
      <c r="C23" s="128">
        <v>-61175.45</v>
      </c>
      <c r="D23" s="128">
        <v>-3408.38</v>
      </c>
      <c r="E23" s="128">
        <v>-1874.65</v>
      </c>
      <c r="F23" s="128">
        <v>-977.35</v>
      </c>
      <c r="G23" s="128">
        <v>-508.93</v>
      </c>
      <c r="H23" s="128">
        <v>0</v>
      </c>
      <c r="I23" s="128">
        <v>0</v>
      </c>
      <c r="J23" s="128">
        <v>0</v>
      </c>
      <c r="K23" s="128">
        <v>0</v>
      </c>
      <c r="L23" s="128">
        <v>0</v>
      </c>
      <c r="M23" s="128">
        <v>0</v>
      </c>
      <c r="N23" s="128">
        <v>0</v>
      </c>
      <c r="O23" s="128">
        <v>0</v>
      </c>
      <c r="P23" s="119">
        <f t="shared" si="5"/>
        <v>-71686.76999999999</v>
      </c>
      <c r="Q23" s="21">
        <f t="shared" si="6"/>
        <v>1.8925850980332889E-2</v>
      </c>
      <c r="S23" s="98">
        <f t="shared" si="0"/>
        <v>-71686.76999999999</v>
      </c>
      <c r="T23" s="98">
        <f t="shared" si="1"/>
        <v>0</v>
      </c>
      <c r="U23" s="98">
        <f t="shared" si="2"/>
        <v>-67944.759999999995</v>
      </c>
    </row>
    <row r="24" spans="1:21" x14ac:dyDescent="0.25">
      <c r="A24" s="114" t="s">
        <v>18</v>
      </c>
      <c r="B24" s="128">
        <v>-780.86</v>
      </c>
      <c r="C24" s="128">
        <v>-12047.5</v>
      </c>
      <c r="D24" s="128">
        <v>-1318.62</v>
      </c>
      <c r="E24" s="128">
        <v>0</v>
      </c>
      <c r="F24" s="128">
        <v>0</v>
      </c>
      <c r="G24" s="128">
        <v>0</v>
      </c>
      <c r="H24" s="128">
        <v>0</v>
      </c>
      <c r="I24" s="128">
        <v>0</v>
      </c>
      <c r="J24" s="128">
        <v>0</v>
      </c>
      <c r="K24" s="128">
        <v>0</v>
      </c>
      <c r="L24" s="128">
        <v>0</v>
      </c>
      <c r="M24" s="128">
        <v>0</v>
      </c>
      <c r="N24" s="128">
        <v>0</v>
      </c>
      <c r="O24" s="128">
        <v>0</v>
      </c>
      <c r="P24" s="119">
        <f t="shared" si="5"/>
        <v>-14146.98</v>
      </c>
      <c r="Q24" s="21">
        <f t="shared" si="6"/>
        <v>3.7349100161961518E-3</v>
      </c>
      <c r="S24" s="98">
        <f t="shared" si="0"/>
        <v>-14146.98</v>
      </c>
      <c r="T24" s="98">
        <f t="shared" si="1"/>
        <v>0</v>
      </c>
      <c r="U24" s="98">
        <f t="shared" si="2"/>
        <v>-13366.119999999999</v>
      </c>
    </row>
    <row r="25" spans="1:21" x14ac:dyDescent="0.25">
      <c r="A25" s="114" t="s">
        <v>19</v>
      </c>
      <c r="B25" s="128">
        <v>-3668.25</v>
      </c>
      <c r="C25" s="128">
        <v>-68572.23</v>
      </c>
      <c r="D25" s="128">
        <v>-4611.55</v>
      </c>
      <c r="E25" s="128">
        <v>-3024.42</v>
      </c>
      <c r="F25" s="128">
        <v>-1485.03</v>
      </c>
      <c r="G25" s="128">
        <v>-1601.85</v>
      </c>
      <c r="H25" s="128">
        <v>0</v>
      </c>
      <c r="I25" s="128">
        <v>0</v>
      </c>
      <c r="J25" s="128">
        <v>0</v>
      </c>
      <c r="K25" s="128">
        <v>0</v>
      </c>
      <c r="L25" s="128">
        <v>0</v>
      </c>
      <c r="M25" s="128">
        <v>0</v>
      </c>
      <c r="N25" s="128">
        <v>0</v>
      </c>
      <c r="O25" s="128">
        <v>0</v>
      </c>
      <c r="P25" s="119">
        <f t="shared" si="5"/>
        <v>-82963.33</v>
      </c>
      <c r="Q25" s="21">
        <f t="shared" si="6"/>
        <v>2.1902948346147848E-2</v>
      </c>
      <c r="S25" s="98">
        <f t="shared" si="0"/>
        <v>-82963.33</v>
      </c>
      <c r="T25" s="98">
        <f t="shared" si="1"/>
        <v>0</v>
      </c>
      <c r="U25" s="98">
        <f t="shared" si="2"/>
        <v>-79295.08</v>
      </c>
    </row>
    <row r="26" spans="1:21" x14ac:dyDescent="0.25">
      <c r="A26" s="114" t="s">
        <v>20</v>
      </c>
      <c r="B26" s="128">
        <v>0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28">
        <v>0</v>
      </c>
      <c r="L26" s="128">
        <v>0</v>
      </c>
      <c r="M26" s="128">
        <v>0</v>
      </c>
      <c r="N26" s="128">
        <v>0</v>
      </c>
      <c r="O26" s="128">
        <v>0</v>
      </c>
      <c r="P26" s="119">
        <f t="shared" si="5"/>
        <v>0</v>
      </c>
      <c r="Q26" s="21">
        <f t="shared" si="6"/>
        <v>0</v>
      </c>
      <c r="S26" s="98">
        <f t="shared" si="0"/>
        <v>0</v>
      </c>
      <c r="T26" s="98">
        <f t="shared" si="1"/>
        <v>0</v>
      </c>
      <c r="U26" s="98">
        <f t="shared" si="2"/>
        <v>0</v>
      </c>
    </row>
    <row r="27" spans="1:21" x14ac:dyDescent="0.25">
      <c r="A27" s="114" t="s">
        <v>59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28">
        <v>0</v>
      </c>
      <c r="L27" s="128">
        <v>0</v>
      </c>
      <c r="M27" s="128">
        <v>0</v>
      </c>
      <c r="N27" s="128">
        <v>0</v>
      </c>
      <c r="O27" s="128">
        <v>0</v>
      </c>
      <c r="P27" s="119">
        <f t="shared" si="5"/>
        <v>0</v>
      </c>
      <c r="Q27" s="21">
        <f t="shared" si="6"/>
        <v>0</v>
      </c>
      <c r="S27" s="98">
        <f t="shared" si="0"/>
        <v>0</v>
      </c>
      <c r="T27" s="98">
        <f t="shared" si="1"/>
        <v>0</v>
      </c>
      <c r="U27" s="98">
        <f t="shared" si="2"/>
        <v>0</v>
      </c>
    </row>
    <row r="28" spans="1:21" x14ac:dyDescent="0.25">
      <c r="A28" s="114" t="s">
        <v>21</v>
      </c>
      <c r="B28" s="128">
        <v>-135</v>
      </c>
      <c r="C28" s="128">
        <v>-7205</v>
      </c>
      <c r="D28" s="128">
        <v>0</v>
      </c>
      <c r="E28" s="128">
        <v>0</v>
      </c>
      <c r="F28" s="128">
        <v>0</v>
      </c>
      <c r="G28" s="128">
        <v>0</v>
      </c>
      <c r="H28" s="128">
        <v>0</v>
      </c>
      <c r="I28" s="128">
        <v>0</v>
      </c>
      <c r="J28" s="128">
        <v>0</v>
      </c>
      <c r="K28" s="128">
        <v>0</v>
      </c>
      <c r="L28" s="128">
        <v>0</v>
      </c>
      <c r="M28" s="128">
        <v>0</v>
      </c>
      <c r="N28" s="128">
        <v>0</v>
      </c>
      <c r="O28" s="128">
        <v>0</v>
      </c>
      <c r="P28" s="119">
        <f t="shared" si="5"/>
        <v>-7340</v>
      </c>
      <c r="Q28" s="21">
        <f t="shared" si="6"/>
        <v>1.9378156694135253E-3</v>
      </c>
      <c r="S28" s="98">
        <f t="shared" si="0"/>
        <v>-7340</v>
      </c>
      <c r="T28" s="98">
        <f t="shared" si="1"/>
        <v>0</v>
      </c>
      <c r="U28" s="98">
        <f t="shared" si="2"/>
        <v>-7205</v>
      </c>
    </row>
    <row r="29" spans="1:21" x14ac:dyDescent="0.25">
      <c r="A29" s="114" t="s">
        <v>22</v>
      </c>
      <c r="B29" s="128">
        <v>0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28">
        <v>0</v>
      </c>
      <c r="O29" s="128">
        <v>0</v>
      </c>
      <c r="P29" s="119">
        <f t="shared" si="5"/>
        <v>0</v>
      </c>
      <c r="Q29" s="21">
        <f t="shared" si="6"/>
        <v>0</v>
      </c>
      <c r="S29" s="98">
        <f t="shared" si="0"/>
        <v>0</v>
      </c>
      <c r="T29" s="98">
        <f t="shared" si="1"/>
        <v>0</v>
      </c>
      <c r="U29" s="98">
        <f t="shared" si="2"/>
        <v>0</v>
      </c>
    </row>
    <row r="30" spans="1:21" x14ac:dyDescent="0.25">
      <c r="A30" s="129" t="s">
        <v>23</v>
      </c>
      <c r="B30" s="128">
        <v>-2515.38</v>
      </c>
      <c r="C30" s="128">
        <v>-3674.02</v>
      </c>
      <c r="D30" s="128">
        <v>0</v>
      </c>
      <c r="E30" s="128">
        <v>0</v>
      </c>
      <c r="F30" s="128">
        <f>-5.67</f>
        <v>-5.67</v>
      </c>
      <c r="G30" s="128">
        <v>0</v>
      </c>
      <c r="H30" s="128">
        <v>0</v>
      </c>
      <c r="I30" s="128">
        <v>0</v>
      </c>
      <c r="J30" s="128">
        <v>0</v>
      </c>
      <c r="K30" s="128">
        <v>0</v>
      </c>
      <c r="L30" s="128">
        <v>0</v>
      </c>
      <c r="M30" s="128">
        <v>0</v>
      </c>
      <c r="N30" s="128">
        <v>0</v>
      </c>
      <c r="O30" s="128">
        <v>0</v>
      </c>
      <c r="P30" s="119">
        <f t="shared" si="5"/>
        <v>-6195.07</v>
      </c>
      <c r="Q30" s="21">
        <f t="shared" si="6"/>
        <v>1.635545465819298E-3</v>
      </c>
      <c r="S30" s="98">
        <f t="shared" si="0"/>
        <v>-6195.07</v>
      </c>
      <c r="T30" s="98">
        <f t="shared" si="1"/>
        <v>0</v>
      </c>
      <c r="U30" s="98">
        <f t="shared" si="2"/>
        <v>-3679.6899999999996</v>
      </c>
    </row>
    <row r="31" spans="1:21" x14ac:dyDescent="0.25">
      <c r="A31" s="114" t="s">
        <v>24</v>
      </c>
      <c r="B31" s="128">
        <v>-17997.939999999999</v>
      </c>
      <c r="C31" s="128">
        <v>-296527.65000000002</v>
      </c>
      <c r="D31" s="128">
        <v>-7022</v>
      </c>
      <c r="E31" s="128">
        <v>-5266</v>
      </c>
      <c r="F31" s="128">
        <v>-7160</v>
      </c>
      <c r="G31" s="128">
        <v>-3851</v>
      </c>
      <c r="H31" s="128">
        <v>0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28">
        <v>0</v>
      </c>
      <c r="O31" s="128">
        <v>0</v>
      </c>
      <c r="P31" s="119">
        <f t="shared" si="5"/>
        <v>-337824.59</v>
      </c>
      <c r="Q31" s="21">
        <f t="shared" si="6"/>
        <v>8.9188253953024488E-2</v>
      </c>
      <c r="S31" s="98">
        <f t="shared" si="0"/>
        <v>-337824.59</v>
      </c>
      <c r="T31" s="98">
        <f t="shared" si="1"/>
        <v>0</v>
      </c>
      <c r="U31" s="98">
        <f t="shared" si="2"/>
        <v>-319826.65000000002</v>
      </c>
    </row>
    <row r="32" spans="1:21" x14ac:dyDescent="0.25">
      <c r="A32" s="130" t="s">
        <v>25</v>
      </c>
      <c r="B32" s="128">
        <v>-37438.07</v>
      </c>
      <c r="C32" s="128">
        <v>-367613.19</v>
      </c>
      <c r="D32" s="128">
        <v>-15871.65</v>
      </c>
      <c r="E32" s="128">
        <v>-8950.74</v>
      </c>
      <c r="F32" s="128">
        <v>-4974.6000000000004</v>
      </c>
      <c r="G32" s="128">
        <v>-2664.77</v>
      </c>
      <c r="H32" s="128">
        <v>0</v>
      </c>
      <c r="I32" s="128">
        <v>0</v>
      </c>
      <c r="J32" s="128">
        <v>0</v>
      </c>
      <c r="K32" s="128">
        <v>0</v>
      </c>
      <c r="L32" s="128">
        <v>0</v>
      </c>
      <c r="M32" s="128">
        <v>0</v>
      </c>
      <c r="N32" s="128">
        <v>0</v>
      </c>
      <c r="O32" s="128">
        <v>0</v>
      </c>
      <c r="P32" s="119">
        <f t="shared" si="5"/>
        <v>-437513.02</v>
      </c>
      <c r="Q32" s="21">
        <f t="shared" si="6"/>
        <v>0.11550675554883286</v>
      </c>
      <c r="S32" s="98">
        <f t="shared" si="0"/>
        <v>-437513.02</v>
      </c>
      <c r="T32" s="98">
        <f t="shared" si="1"/>
        <v>0</v>
      </c>
      <c r="U32" s="98">
        <f t="shared" si="2"/>
        <v>-400074.95</v>
      </c>
    </row>
    <row r="33" spans="1:21" x14ac:dyDescent="0.25">
      <c r="A33" s="114" t="s">
        <v>26</v>
      </c>
      <c r="B33" s="128">
        <v>-330</v>
      </c>
      <c r="C33" s="128">
        <v>-3664.46</v>
      </c>
      <c r="D33" s="128">
        <v>-344.73</v>
      </c>
      <c r="E33" s="128">
        <v>-344.73</v>
      </c>
      <c r="F33" s="128">
        <v>-347.23</v>
      </c>
      <c r="G33" s="128">
        <v>-342.58</v>
      </c>
      <c r="H33" s="128">
        <v>0</v>
      </c>
      <c r="I33" s="128">
        <v>0</v>
      </c>
      <c r="J33" s="128">
        <v>0</v>
      </c>
      <c r="K33" s="128">
        <v>0</v>
      </c>
      <c r="L33" s="128">
        <v>0</v>
      </c>
      <c r="M33" s="128">
        <v>0</v>
      </c>
      <c r="N33" s="128">
        <v>0</v>
      </c>
      <c r="O33" s="128">
        <v>0</v>
      </c>
      <c r="P33" s="119">
        <f t="shared" si="5"/>
        <v>-5373.73</v>
      </c>
      <c r="Q33" s="21">
        <f t="shared" si="6"/>
        <v>1.4187054764574309E-3</v>
      </c>
      <c r="S33" s="98">
        <f t="shared" si="0"/>
        <v>-5373.73</v>
      </c>
      <c r="T33" s="98">
        <f t="shared" si="1"/>
        <v>0</v>
      </c>
      <c r="U33" s="98">
        <f t="shared" si="2"/>
        <v>-5043.7299999999996</v>
      </c>
    </row>
    <row r="34" spans="1:21" x14ac:dyDescent="0.25">
      <c r="A34" s="114" t="s">
        <v>27</v>
      </c>
      <c r="B34" s="128">
        <v>0</v>
      </c>
      <c r="C34" s="128">
        <v>0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28">
        <v>0</v>
      </c>
      <c r="P34" s="119">
        <f t="shared" si="5"/>
        <v>0</v>
      </c>
      <c r="Q34" s="21">
        <f t="shared" si="6"/>
        <v>0</v>
      </c>
      <c r="S34" s="98">
        <f t="shared" si="0"/>
        <v>0</v>
      </c>
      <c r="T34" s="98">
        <f t="shared" si="1"/>
        <v>0</v>
      </c>
      <c r="U34" s="98">
        <f t="shared" si="2"/>
        <v>0</v>
      </c>
    </row>
    <row r="35" spans="1:21" x14ac:dyDescent="0.25">
      <c r="A35" s="129" t="s">
        <v>28</v>
      </c>
      <c r="B35" s="128">
        <v>-69.19</v>
      </c>
      <c r="C35" s="128">
        <v>-4698.1400000000003</v>
      </c>
      <c r="D35" s="128">
        <v>0</v>
      </c>
      <c r="E35" s="128">
        <v>0</v>
      </c>
      <c r="F35" s="128">
        <v>0</v>
      </c>
      <c r="G35" s="128">
        <v>0</v>
      </c>
      <c r="H35" s="128">
        <v>0</v>
      </c>
      <c r="I35" s="128">
        <v>0</v>
      </c>
      <c r="J35" s="128">
        <v>0</v>
      </c>
      <c r="K35" s="128">
        <v>0</v>
      </c>
      <c r="L35" s="128">
        <v>0</v>
      </c>
      <c r="M35" s="128">
        <v>0</v>
      </c>
      <c r="N35" s="128">
        <v>0</v>
      </c>
      <c r="O35" s="128">
        <v>0</v>
      </c>
      <c r="P35" s="119">
        <f t="shared" si="5"/>
        <v>-4767.33</v>
      </c>
      <c r="Q35" s="21">
        <f t="shared" si="6"/>
        <v>1.2586112772840848E-3</v>
      </c>
      <c r="S35" s="98">
        <f t="shared" si="0"/>
        <v>-4767.33</v>
      </c>
      <c r="T35" s="98">
        <f t="shared" si="1"/>
        <v>0</v>
      </c>
      <c r="U35" s="98">
        <f t="shared" si="2"/>
        <v>-4698.1400000000003</v>
      </c>
    </row>
    <row r="36" spans="1:21" x14ac:dyDescent="0.25">
      <c r="A36" s="114" t="s">
        <v>29</v>
      </c>
      <c r="B36" s="128">
        <v>176.42</v>
      </c>
      <c r="C36" s="128">
        <v>-34735.47</v>
      </c>
      <c r="D36" s="128">
        <v>-2178.9299999999998</v>
      </c>
      <c r="E36" s="128">
        <v>-1021.42</v>
      </c>
      <c r="F36" s="128">
        <v>-923.66</v>
      </c>
      <c r="G36" s="128">
        <v>-552.99</v>
      </c>
      <c r="H36" s="128">
        <v>-375.2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28">
        <v>0</v>
      </c>
      <c r="O36" s="128">
        <v>0</v>
      </c>
      <c r="P36" s="119">
        <f t="shared" si="5"/>
        <v>-39611.25</v>
      </c>
      <c r="Q36" s="21">
        <f t="shared" si="6"/>
        <v>1.0457670427119415E-2</v>
      </c>
      <c r="S36" s="98">
        <f t="shared" si="0"/>
        <v>-39611.25</v>
      </c>
      <c r="T36" s="98">
        <f t="shared" si="1"/>
        <v>0</v>
      </c>
      <c r="U36" s="98">
        <f t="shared" si="2"/>
        <v>-39787.67</v>
      </c>
    </row>
    <row r="37" spans="1:21" x14ac:dyDescent="0.25">
      <c r="A37" s="15" t="s">
        <v>276</v>
      </c>
      <c r="B37" s="128">
        <v>-912.25</v>
      </c>
      <c r="C37" s="128">
        <v>-38363.339999999997</v>
      </c>
      <c r="D37" s="128">
        <v>-1546.91</v>
      </c>
      <c r="E37" s="128">
        <v>-756.12</v>
      </c>
      <c r="F37" s="128">
        <v>-519.51</v>
      </c>
      <c r="G37" s="128">
        <v>-259.75</v>
      </c>
      <c r="H37" s="128">
        <v>0</v>
      </c>
      <c r="I37" s="128">
        <v>0</v>
      </c>
      <c r="J37" s="128">
        <v>0</v>
      </c>
      <c r="K37" s="128">
        <v>0</v>
      </c>
      <c r="L37" s="128">
        <v>0</v>
      </c>
      <c r="M37" s="128">
        <v>0</v>
      </c>
      <c r="N37" s="128">
        <v>0</v>
      </c>
      <c r="O37" s="128">
        <v>0</v>
      </c>
      <c r="P37" s="119">
        <f t="shared" si="5"/>
        <v>-42357.880000000005</v>
      </c>
      <c r="Q37" s="21">
        <f t="shared" si="6"/>
        <v>1.1182801578629126E-2</v>
      </c>
      <c r="S37" s="98">
        <f t="shared" si="0"/>
        <v>-42357.880000000005</v>
      </c>
      <c r="T37" s="98">
        <f t="shared" si="1"/>
        <v>0</v>
      </c>
      <c r="U37" s="98">
        <f t="shared" si="2"/>
        <v>-41445.630000000005</v>
      </c>
    </row>
    <row r="38" spans="1:21" x14ac:dyDescent="0.25">
      <c r="A38" s="114" t="s">
        <v>97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28">
        <v>0</v>
      </c>
      <c r="N38" s="128">
        <v>0</v>
      </c>
      <c r="O38" s="128">
        <v>0</v>
      </c>
      <c r="P38" s="119">
        <f t="shared" si="5"/>
        <v>0</v>
      </c>
      <c r="Q38" s="21">
        <f t="shared" si="6"/>
        <v>0</v>
      </c>
      <c r="S38" s="98">
        <f t="shared" si="0"/>
        <v>0</v>
      </c>
      <c r="T38" s="98">
        <f t="shared" si="1"/>
        <v>0</v>
      </c>
      <c r="U38" s="98">
        <f t="shared" si="2"/>
        <v>0</v>
      </c>
    </row>
    <row r="39" spans="1:21" x14ac:dyDescent="0.25">
      <c r="A39" s="114" t="s">
        <v>114</v>
      </c>
      <c r="B39" s="128">
        <v>0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28">
        <v>0</v>
      </c>
      <c r="O39" s="128">
        <v>0</v>
      </c>
      <c r="P39" s="119">
        <f t="shared" si="5"/>
        <v>0</v>
      </c>
      <c r="Q39" s="21">
        <f t="shared" si="6"/>
        <v>0</v>
      </c>
      <c r="S39" s="98">
        <f t="shared" si="0"/>
        <v>0</v>
      </c>
      <c r="T39" s="98">
        <f t="shared" si="1"/>
        <v>0</v>
      </c>
      <c r="U39" s="98">
        <f t="shared" si="2"/>
        <v>0</v>
      </c>
    </row>
    <row r="40" spans="1:21" x14ac:dyDescent="0.25">
      <c r="A40" s="131" t="s">
        <v>31</v>
      </c>
      <c r="B40" s="132">
        <f>SUM(B14:B39)</f>
        <v>-85369.33</v>
      </c>
      <c r="C40" s="132">
        <f>SUM(C14:C39)</f>
        <v>-1149421.6499999999</v>
      </c>
      <c r="D40" s="132">
        <f t="shared" ref="D40:O40" si="7">SUM(D14:D39)</f>
        <v>-52243.380000000005</v>
      </c>
      <c r="E40" s="132">
        <f t="shared" si="7"/>
        <v>-31801.68</v>
      </c>
      <c r="F40" s="132">
        <f t="shared" si="7"/>
        <v>-22211.219999999998</v>
      </c>
      <c r="G40" s="132">
        <f t="shared" si="7"/>
        <v>-11574.77</v>
      </c>
      <c r="H40" s="132">
        <f t="shared" si="7"/>
        <v>-860.2</v>
      </c>
      <c r="I40" s="132">
        <f t="shared" si="7"/>
        <v>0</v>
      </c>
      <c r="J40" s="132">
        <f t="shared" si="7"/>
        <v>0</v>
      </c>
      <c r="K40" s="132">
        <f t="shared" si="7"/>
        <v>0</v>
      </c>
      <c r="L40" s="132">
        <f t="shared" si="7"/>
        <v>0</v>
      </c>
      <c r="M40" s="132">
        <f t="shared" si="7"/>
        <v>0</v>
      </c>
      <c r="N40" s="132">
        <f t="shared" si="7"/>
        <v>0</v>
      </c>
      <c r="O40" s="132">
        <f t="shared" si="7"/>
        <v>0</v>
      </c>
      <c r="P40" s="132">
        <f>SUM(P14:P39)</f>
        <v>-1353482.23</v>
      </c>
      <c r="Q40" s="21">
        <f t="shared" si="6"/>
        <v>0.35732957405541704</v>
      </c>
      <c r="S40" s="98">
        <f t="shared" si="0"/>
        <v>-1353482.2299999997</v>
      </c>
      <c r="T40" s="98">
        <f t="shared" si="1"/>
        <v>0</v>
      </c>
      <c r="U40" s="98">
        <f t="shared" si="2"/>
        <v>-1268112.8999999999</v>
      </c>
    </row>
    <row r="41" spans="1:21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25"/>
      <c r="Q41" s="159"/>
      <c r="S41" s="98">
        <f t="shared" si="0"/>
        <v>0</v>
      </c>
      <c r="T41" s="98">
        <f t="shared" si="1"/>
        <v>0</v>
      </c>
      <c r="U41" s="98">
        <f t="shared" si="2"/>
        <v>0</v>
      </c>
    </row>
    <row r="42" spans="1:21" x14ac:dyDescent="0.25">
      <c r="A42" s="135" t="s">
        <v>32</v>
      </c>
      <c r="B42" s="165">
        <f t="shared" ref="B42:N42" si="8">B11+B40</f>
        <v>34120.979999999996</v>
      </c>
      <c r="C42" s="165">
        <f t="shared" ref="C42" si="9">C11+C40</f>
        <v>1839943.5700000003</v>
      </c>
      <c r="D42" s="165">
        <f t="shared" ref="D42:M42" si="10">D11+D40</f>
        <v>223317.55</v>
      </c>
      <c r="E42" s="165">
        <f t="shared" si="10"/>
        <v>171551.83000000002</v>
      </c>
      <c r="F42" s="136">
        <f t="shared" si="10"/>
        <v>-22211.219999999998</v>
      </c>
      <c r="G42" s="165">
        <f t="shared" si="10"/>
        <v>188425.23</v>
      </c>
      <c r="H42" s="136">
        <f t="shared" si="10"/>
        <v>-860.2</v>
      </c>
      <c r="I42" s="165">
        <f t="shared" si="10"/>
        <v>0</v>
      </c>
      <c r="J42" s="136">
        <f t="shared" si="10"/>
        <v>0</v>
      </c>
      <c r="K42" s="165">
        <f t="shared" si="10"/>
        <v>0</v>
      </c>
      <c r="L42" s="165">
        <f t="shared" si="10"/>
        <v>0</v>
      </c>
      <c r="M42" s="165">
        <f t="shared" si="10"/>
        <v>0</v>
      </c>
      <c r="N42" s="165">
        <f t="shared" si="8"/>
        <v>0</v>
      </c>
      <c r="O42" s="165">
        <f>O11+O40</f>
        <v>0</v>
      </c>
      <c r="P42" s="166">
        <f>SUM(B42:O42)</f>
        <v>2434287.7399999998</v>
      </c>
      <c r="Q42" s="21">
        <f>P42/$P$11</f>
        <v>0.64267042594458268</v>
      </c>
      <c r="S42" s="98">
        <f t="shared" si="0"/>
        <v>2434287.7399999998</v>
      </c>
      <c r="T42" s="98">
        <f t="shared" si="1"/>
        <v>0</v>
      </c>
      <c r="U42" s="98">
        <f t="shared" si="2"/>
        <v>2400166.7599999998</v>
      </c>
    </row>
    <row r="43" spans="1:21" x14ac:dyDescent="0.25">
      <c r="A43" s="13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62"/>
      <c r="S43" s="98">
        <f t="shared" si="0"/>
        <v>0</v>
      </c>
      <c r="T43" s="98">
        <f t="shared" si="1"/>
        <v>0</v>
      </c>
      <c r="U43" s="98">
        <f t="shared" si="2"/>
        <v>0</v>
      </c>
    </row>
    <row r="44" spans="1:21" x14ac:dyDescent="0.25">
      <c r="A44" s="126" t="s">
        <v>56</v>
      </c>
      <c r="B44" s="139">
        <f>-B9*13.15%</f>
        <v>-15712.975765000001</v>
      </c>
      <c r="C44" s="139">
        <f>-C9*13.15%</f>
        <v>-393101.52643000003</v>
      </c>
      <c r="D44" s="139">
        <f t="shared" ref="D44:M44" si="11">-D9*13.15%</f>
        <v>-36236.262295</v>
      </c>
      <c r="E44" s="139">
        <f t="shared" si="11"/>
        <v>-26740.986565000003</v>
      </c>
      <c r="F44" s="139">
        <f t="shared" si="11"/>
        <v>0</v>
      </c>
      <c r="G44" s="139">
        <f t="shared" si="11"/>
        <v>-26300</v>
      </c>
      <c r="H44" s="139">
        <f t="shared" si="11"/>
        <v>0</v>
      </c>
      <c r="I44" s="139">
        <f t="shared" si="11"/>
        <v>0</v>
      </c>
      <c r="J44" s="139">
        <f t="shared" si="11"/>
        <v>0</v>
      </c>
      <c r="K44" s="139">
        <f t="shared" si="11"/>
        <v>0</v>
      </c>
      <c r="L44" s="139">
        <f t="shared" si="11"/>
        <v>0</v>
      </c>
      <c r="M44" s="139">
        <f t="shared" si="11"/>
        <v>0</v>
      </c>
      <c r="N44" s="139">
        <f t="shared" ref="N44:O44" si="12">-N9*13.15%</f>
        <v>0</v>
      </c>
      <c r="O44" s="139">
        <f t="shared" si="12"/>
        <v>0</v>
      </c>
      <c r="P44" s="119">
        <f t="shared" ref="P44" si="13">SUM(B44:O44)</f>
        <v>-498091.75105500006</v>
      </c>
      <c r="Q44" s="21">
        <f t="shared" si="6"/>
        <v>0.13150000000000001</v>
      </c>
      <c r="S44" s="98">
        <f>SUM(B44:O44)</f>
        <v>-498091.75105500006</v>
      </c>
      <c r="T44" s="98">
        <f t="shared" si="1"/>
        <v>0</v>
      </c>
      <c r="U44" s="98">
        <f t="shared" si="2"/>
        <v>-482378.77529000008</v>
      </c>
    </row>
    <row r="45" spans="1:21" x14ac:dyDescent="0.25">
      <c r="A45" s="137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62"/>
      <c r="S45" s="98">
        <f t="shared" si="0"/>
        <v>0</v>
      </c>
      <c r="T45" s="98">
        <f t="shared" si="1"/>
        <v>0</v>
      </c>
      <c r="U45" s="98">
        <f t="shared" si="2"/>
        <v>0</v>
      </c>
    </row>
    <row r="46" spans="1:21" x14ac:dyDescent="0.25">
      <c r="A46" s="126" t="s">
        <v>33</v>
      </c>
      <c r="B46" s="139">
        <f t="shared" ref="B46:O46" si="14">-B9*1.22%</f>
        <v>-1457.7817819999998</v>
      </c>
      <c r="C46" s="139">
        <f t="shared" ref="C46" si="15">-C9*1.22%</f>
        <v>-36470.255683999996</v>
      </c>
      <c r="D46" s="139">
        <f t="shared" ref="D46:M46" si="16">-D9*1.22%</f>
        <v>-3361.8433459999997</v>
      </c>
      <c r="E46" s="139">
        <f t="shared" si="16"/>
        <v>-2480.9128219999998</v>
      </c>
      <c r="F46" s="139">
        <f t="shared" si="16"/>
        <v>0</v>
      </c>
      <c r="G46" s="139">
        <f t="shared" si="16"/>
        <v>-2440</v>
      </c>
      <c r="H46" s="139">
        <f t="shared" si="16"/>
        <v>0</v>
      </c>
      <c r="I46" s="139">
        <f t="shared" si="16"/>
        <v>0</v>
      </c>
      <c r="J46" s="139">
        <f t="shared" si="16"/>
        <v>0</v>
      </c>
      <c r="K46" s="139">
        <f t="shared" si="16"/>
        <v>0</v>
      </c>
      <c r="L46" s="139">
        <f t="shared" si="16"/>
        <v>0</v>
      </c>
      <c r="M46" s="139">
        <f t="shared" si="16"/>
        <v>0</v>
      </c>
      <c r="N46" s="139">
        <f t="shared" si="14"/>
        <v>0</v>
      </c>
      <c r="O46" s="139">
        <f t="shared" si="14"/>
        <v>0</v>
      </c>
      <c r="P46" s="119">
        <f t="shared" ref="P46" si="17">SUM(B46:O46)</f>
        <v>-46210.793633999994</v>
      </c>
      <c r="Q46" s="21">
        <f t="shared" si="6"/>
        <v>1.2199999999999996E-2</v>
      </c>
      <c r="S46" s="98">
        <f t="shared" si="0"/>
        <v>-46210.793633999994</v>
      </c>
      <c r="T46" s="98">
        <f t="shared" si="1"/>
        <v>0</v>
      </c>
      <c r="U46" s="98">
        <f t="shared" si="2"/>
        <v>-44753.011851999996</v>
      </c>
    </row>
    <row r="47" spans="1:21" x14ac:dyDescent="0.2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62"/>
      <c r="S47" s="98">
        <f t="shared" si="0"/>
        <v>0</v>
      </c>
      <c r="T47" s="98">
        <f t="shared" si="1"/>
        <v>0</v>
      </c>
      <c r="U47" s="98">
        <f t="shared" si="2"/>
        <v>0</v>
      </c>
    </row>
    <row r="48" spans="1:21" x14ac:dyDescent="0.25">
      <c r="A48" s="113" t="s">
        <v>57</v>
      </c>
      <c r="B48" s="142">
        <f t="shared" ref="B48:N48" si="18">B40*5.56%</f>
        <v>-4746.534748</v>
      </c>
      <c r="C48" s="142">
        <f t="shared" ref="C48" si="19">C40*5.56%</f>
        <v>-63907.843739999989</v>
      </c>
      <c r="D48" s="142">
        <f t="shared" ref="D48:M48" si="20">D40*5.56%</f>
        <v>-2904.7319280000002</v>
      </c>
      <c r="E48" s="142">
        <f t="shared" si="20"/>
        <v>-1768.1734079999999</v>
      </c>
      <c r="F48" s="142">
        <f t="shared" si="20"/>
        <v>-1234.9438319999997</v>
      </c>
      <c r="G48" s="142">
        <f t="shared" si="20"/>
        <v>-643.55721199999994</v>
      </c>
      <c r="H48" s="142">
        <f t="shared" si="20"/>
        <v>-47.827120000000001</v>
      </c>
      <c r="I48" s="142">
        <f t="shared" si="20"/>
        <v>0</v>
      </c>
      <c r="J48" s="142">
        <f t="shared" si="20"/>
        <v>0</v>
      </c>
      <c r="K48" s="142">
        <f t="shared" si="20"/>
        <v>0</v>
      </c>
      <c r="L48" s="142">
        <f t="shared" si="20"/>
        <v>0</v>
      </c>
      <c r="M48" s="142">
        <f t="shared" si="20"/>
        <v>0</v>
      </c>
      <c r="N48" s="142">
        <f t="shared" si="18"/>
        <v>0</v>
      </c>
      <c r="O48" s="142">
        <f>O40*5.56%</f>
        <v>0</v>
      </c>
      <c r="P48" s="119">
        <f t="shared" ref="P48" si="21">SUM(B48:O48)</f>
        <v>-75253.61198799999</v>
      </c>
      <c r="Q48" s="21">
        <f t="shared" si="6"/>
        <v>1.9867524317481185E-2</v>
      </c>
      <c r="S48" s="98">
        <f t="shared" si="0"/>
        <v>-75253.61198799999</v>
      </c>
      <c r="T48" s="98">
        <f t="shared" si="1"/>
        <v>0</v>
      </c>
      <c r="U48" s="98">
        <f t="shared" si="2"/>
        <v>-70507.077239999984</v>
      </c>
    </row>
    <row r="49" spans="1:21" x14ac:dyDescent="0.2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62"/>
      <c r="S49" s="98">
        <f t="shared" si="0"/>
        <v>0</v>
      </c>
      <c r="T49" s="98">
        <f t="shared" si="1"/>
        <v>0</v>
      </c>
      <c r="U49" s="98">
        <f t="shared" si="2"/>
        <v>0</v>
      </c>
    </row>
    <row r="50" spans="1:21" x14ac:dyDescent="0.25">
      <c r="A50" s="113" t="s">
        <v>58</v>
      </c>
      <c r="B50" s="142">
        <f>B40*0.01%</f>
        <v>-8.5369330000000012</v>
      </c>
      <c r="C50" s="142">
        <f>C40*0.01%</f>
        <v>-114.942165</v>
      </c>
      <c r="D50" s="142">
        <f t="shared" ref="D50:M50" si="22">D40*0.01%</f>
        <v>-5.2243380000000004</v>
      </c>
      <c r="E50" s="142">
        <f t="shared" si="22"/>
        <v>-3.1801680000000001</v>
      </c>
      <c r="F50" s="142">
        <f t="shared" si="22"/>
        <v>-2.2211219999999998</v>
      </c>
      <c r="G50" s="142">
        <f t="shared" si="22"/>
        <v>-1.1574770000000001</v>
      </c>
      <c r="H50" s="142">
        <f t="shared" si="22"/>
        <v>-8.6020000000000013E-2</v>
      </c>
      <c r="I50" s="142">
        <f t="shared" si="22"/>
        <v>0</v>
      </c>
      <c r="J50" s="142">
        <f t="shared" si="22"/>
        <v>0</v>
      </c>
      <c r="K50" s="142">
        <f t="shared" si="22"/>
        <v>0</v>
      </c>
      <c r="L50" s="142">
        <f t="shared" si="22"/>
        <v>0</v>
      </c>
      <c r="M50" s="142">
        <f t="shared" si="22"/>
        <v>0</v>
      </c>
      <c r="N50" s="142">
        <f t="shared" ref="N50" si="23">N40*0.01%</f>
        <v>0</v>
      </c>
      <c r="O50" s="142">
        <f>O40*0.01%</f>
        <v>0</v>
      </c>
      <c r="P50" s="119">
        <f t="shared" ref="P50" si="24">SUM(B50:O50)</f>
        <v>-135.34822300000002</v>
      </c>
      <c r="Q50" s="21">
        <f t="shared" si="6"/>
        <v>3.573295740554171E-5</v>
      </c>
      <c r="S50" s="98">
        <f t="shared" si="0"/>
        <v>-135.34822300000002</v>
      </c>
      <c r="T50" s="98">
        <f t="shared" si="1"/>
        <v>0</v>
      </c>
      <c r="U50" s="98">
        <f t="shared" si="2"/>
        <v>-126.81129000000001</v>
      </c>
    </row>
    <row r="51" spans="1:21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62"/>
      <c r="S51" s="98">
        <f t="shared" si="0"/>
        <v>0</v>
      </c>
      <c r="T51" s="98">
        <f t="shared" si="1"/>
        <v>0</v>
      </c>
      <c r="U51" s="98">
        <f t="shared" si="2"/>
        <v>0</v>
      </c>
    </row>
    <row r="52" spans="1:21" x14ac:dyDescent="0.25">
      <c r="A52" s="135" t="s">
        <v>205</v>
      </c>
      <c r="B52" s="165">
        <f t="shared" ref="B52:N52" si="25">B42+B48+B50+B44+B46</f>
        <v>12195.150771999997</v>
      </c>
      <c r="C52" s="165">
        <f t="shared" ref="C52" si="26">C42+C48+C50+C44+C46</f>
        <v>1346349.0019810004</v>
      </c>
      <c r="D52" s="165">
        <f t="shared" ref="D52:M52" si="27">D42+D48+D50+D44+D46</f>
        <v>180809.48809299999</v>
      </c>
      <c r="E52" s="165">
        <f t="shared" si="27"/>
        <v>140558.57703700001</v>
      </c>
      <c r="F52" s="136">
        <f t="shared" si="27"/>
        <v>-23448.384953999997</v>
      </c>
      <c r="G52" s="165">
        <f t="shared" si="27"/>
        <v>159040.515311</v>
      </c>
      <c r="H52" s="136">
        <f t="shared" si="27"/>
        <v>-908.11314000000004</v>
      </c>
      <c r="I52" s="165">
        <f t="shared" si="27"/>
        <v>0</v>
      </c>
      <c r="J52" s="136">
        <f t="shared" si="27"/>
        <v>0</v>
      </c>
      <c r="K52" s="165">
        <f t="shared" si="27"/>
        <v>0</v>
      </c>
      <c r="L52" s="165">
        <f t="shared" si="27"/>
        <v>0</v>
      </c>
      <c r="M52" s="165">
        <f t="shared" si="27"/>
        <v>0</v>
      </c>
      <c r="N52" s="165">
        <f t="shared" si="25"/>
        <v>0</v>
      </c>
      <c r="O52" s="165">
        <f>O42+O48+O50+O44+O46</f>
        <v>0</v>
      </c>
      <c r="P52" s="166">
        <f>SUM(B52:O52)</f>
        <v>1814596.2351000004</v>
      </c>
      <c r="Q52" s="21">
        <f>P52/$P$11</f>
        <v>0.47906716866969618</v>
      </c>
      <c r="S52" s="98">
        <f>SUM(B52:O52)</f>
        <v>1814596.2351000004</v>
      </c>
      <c r="T52" s="98">
        <f t="shared" si="1"/>
        <v>0</v>
      </c>
      <c r="U52" s="98">
        <f t="shared" si="2"/>
        <v>1802401.0843280004</v>
      </c>
    </row>
    <row r="53" spans="1:21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63"/>
    </row>
    <row r="54" spans="1:21" x14ac:dyDescent="0.25">
      <c r="A54" s="144" t="s">
        <v>35</v>
      </c>
      <c r="B54" s="13"/>
      <c r="C54" s="13"/>
      <c r="D54" s="13">
        <v>9</v>
      </c>
      <c r="E54" s="13">
        <v>4</v>
      </c>
      <c r="F54" s="13">
        <v>2</v>
      </c>
      <c r="G54" s="13">
        <v>1</v>
      </c>
      <c r="H54" s="13"/>
      <c r="I54" s="13"/>
      <c r="J54" s="13"/>
      <c r="K54" s="13"/>
      <c r="L54" s="13"/>
      <c r="M54" s="13"/>
      <c r="N54" s="13"/>
      <c r="O54" s="13"/>
      <c r="P54" s="145"/>
      <c r="Q54" s="163"/>
    </row>
    <row r="55" spans="1:21" x14ac:dyDescent="0.25">
      <c r="A55" s="80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</row>
    <row r="56" spans="1:21" x14ac:dyDescent="0.25">
      <c r="A56" s="146" t="s">
        <v>36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64">
        <v>46203</v>
      </c>
    </row>
    <row r="57" spans="1:21" x14ac:dyDescent="0.25">
      <c r="B57" s="98">
        <f t="shared" ref="B57:O57" si="28">B11+B40+B44+B46+B48+B50</f>
        <v>12195.150771999995</v>
      </c>
      <c r="C57" s="98">
        <f t="shared" ref="C57" si="29">C11+C40+C44+C46+C48+C50</f>
        <v>1346349.0019810004</v>
      </c>
      <c r="D57" s="98">
        <f t="shared" ref="D57:M57" si="30">D11+D40+D44+D46+D48+D50</f>
        <v>180809.48809299999</v>
      </c>
      <c r="E57" s="98">
        <f t="shared" si="30"/>
        <v>140558.57703700001</v>
      </c>
      <c r="F57" s="98">
        <f t="shared" si="30"/>
        <v>-23448.384953999997</v>
      </c>
      <c r="G57" s="98">
        <f t="shared" si="30"/>
        <v>159040.515311</v>
      </c>
      <c r="H57" s="98">
        <f t="shared" si="30"/>
        <v>-908.11314000000004</v>
      </c>
      <c r="I57" s="98">
        <f t="shared" si="30"/>
        <v>0</v>
      </c>
      <c r="J57" s="98">
        <f t="shared" si="30"/>
        <v>0</v>
      </c>
      <c r="K57" s="98">
        <f t="shared" si="30"/>
        <v>0</v>
      </c>
      <c r="L57" s="98">
        <f t="shared" si="30"/>
        <v>0</v>
      </c>
      <c r="M57" s="98">
        <f t="shared" si="30"/>
        <v>0</v>
      </c>
      <c r="N57" s="98">
        <f t="shared" si="28"/>
        <v>0</v>
      </c>
      <c r="O57" s="98">
        <f t="shared" si="28"/>
        <v>0</v>
      </c>
      <c r="P57" s="98">
        <f>P11+P40+P44+P46+P48+P50</f>
        <v>1814596.2351000004</v>
      </c>
    </row>
    <row r="59" spans="1:21" x14ac:dyDescent="0.25">
      <c r="B59" s="98">
        <f t="shared" ref="B59:P59" si="31">B57-B52</f>
        <v>0</v>
      </c>
      <c r="C59" s="98">
        <f t="shared" ref="C59" si="32">C57-C52</f>
        <v>0</v>
      </c>
      <c r="D59" s="98">
        <f t="shared" ref="D59:M59" si="33">D57-D52</f>
        <v>0</v>
      </c>
      <c r="E59" s="98">
        <f t="shared" si="33"/>
        <v>0</v>
      </c>
      <c r="F59" s="98">
        <f t="shared" si="33"/>
        <v>0</v>
      </c>
      <c r="G59" s="98">
        <f t="shared" si="33"/>
        <v>0</v>
      </c>
      <c r="H59" s="98">
        <f t="shared" si="33"/>
        <v>0</v>
      </c>
      <c r="I59" s="98">
        <f t="shared" si="33"/>
        <v>0</v>
      </c>
      <c r="J59" s="98">
        <f t="shared" si="33"/>
        <v>0</v>
      </c>
      <c r="K59" s="98">
        <f t="shared" si="33"/>
        <v>0</v>
      </c>
      <c r="L59" s="98">
        <f t="shared" si="33"/>
        <v>0</v>
      </c>
      <c r="M59" s="98">
        <f t="shared" si="33"/>
        <v>0</v>
      </c>
      <c r="N59" s="98">
        <f t="shared" si="31"/>
        <v>0</v>
      </c>
      <c r="O59" s="98">
        <f t="shared" si="31"/>
        <v>0</v>
      </c>
      <c r="P59" s="98">
        <f t="shared" si="31"/>
        <v>0</v>
      </c>
    </row>
  </sheetData>
  <mergeCells count="3">
    <mergeCell ref="A1:P1"/>
    <mergeCell ref="A3:P3"/>
    <mergeCell ref="A5:P5"/>
  </mergeCells>
  <printOptions horizontalCentered="1" verticalCentered="1"/>
  <pageMargins left="0.11811023622047245" right="0.11811023622047245" top="0.31496062992125984" bottom="0" header="0.11811023622047245" footer="0"/>
  <pageSetup paperSize="9" scale="71" orientation="landscape" r:id="rId1"/>
  <headerFooter>
    <oddHeader>&amp;L&amp;"-,Negrito"&amp;16                                                                                                  BELA NOVA CONSTRUTORA LTDA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9"/>
  </sheetPr>
  <dimension ref="A1:S60"/>
  <sheetViews>
    <sheetView topLeftCell="A34" zoomScale="85" zoomScaleNormal="85" workbookViewId="0">
      <pane xSplit="1" topLeftCell="H1" activePane="topRight" state="frozen"/>
      <selection activeCell="E21" sqref="E21"/>
      <selection pane="topRight" activeCell="H55" sqref="H55"/>
    </sheetView>
  </sheetViews>
  <sheetFormatPr defaultRowHeight="15" x14ac:dyDescent="0.25"/>
  <cols>
    <col min="1" max="1" width="61.5703125" bestFit="1" customWidth="1"/>
    <col min="2" max="2" width="18.140625" bestFit="1" customWidth="1"/>
    <col min="3" max="3" width="16.140625" bestFit="1" customWidth="1"/>
    <col min="4" max="4" width="16.28515625" customWidth="1"/>
    <col min="5" max="5" width="16.140625" customWidth="1"/>
    <col min="6" max="6" width="17.28515625" customWidth="1"/>
    <col min="7" max="7" width="15.85546875" customWidth="1"/>
    <col min="8" max="8" width="16.140625" customWidth="1"/>
    <col min="9" max="10" width="16.140625" hidden="1" customWidth="1"/>
    <col min="11" max="11" width="17.85546875" hidden="1" customWidth="1"/>
    <col min="12" max="12" width="16.85546875" hidden="1" customWidth="1"/>
    <col min="13" max="14" width="16.7109375" hidden="1" customWidth="1"/>
    <col min="15" max="15" width="18" bestFit="1" customWidth="1"/>
    <col min="16" max="16" width="11.140625" bestFit="1" customWidth="1"/>
    <col min="17" max="17" width="4.5703125" customWidth="1"/>
    <col min="18" max="18" width="15.85546875" bestFit="1" customWidth="1"/>
  </cols>
  <sheetData>
    <row r="1" spans="1:19" ht="15.75" x14ac:dyDescent="0.25">
      <c r="A1" s="214" t="s">
        <v>271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9" ht="6" customHeight="1" x14ac:dyDescent="0.25">
      <c r="A2" s="108"/>
      <c r="B2" s="108"/>
      <c r="C2" s="109"/>
      <c r="D2" s="109"/>
    </row>
    <row r="3" spans="1:19" ht="15.75" x14ac:dyDescent="0.25">
      <c r="A3" s="214" t="s">
        <v>354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</row>
    <row r="4" spans="1:19" ht="5.25" customHeight="1" x14ac:dyDescent="0.25">
      <c r="A4" s="108"/>
      <c r="B4" s="108"/>
      <c r="C4" s="109"/>
      <c r="D4" s="109"/>
    </row>
    <row r="5" spans="1:19" ht="16.5" customHeight="1" x14ac:dyDescent="0.25">
      <c r="A5" s="202" t="s">
        <v>355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</row>
    <row r="6" spans="1:19" x14ac:dyDescent="0.25">
      <c r="A6" s="110"/>
      <c r="B6" s="110"/>
      <c r="C6" s="109"/>
      <c r="D6" s="109"/>
    </row>
    <row r="7" spans="1:19" x14ac:dyDescent="0.25">
      <c r="A7" s="111"/>
      <c r="B7" s="60" t="s">
        <v>315</v>
      </c>
      <c r="C7" s="60" t="s">
        <v>304</v>
      </c>
      <c r="D7" s="60" t="s">
        <v>305</v>
      </c>
      <c r="E7" s="60" t="s">
        <v>306</v>
      </c>
      <c r="F7" s="60" t="s">
        <v>307</v>
      </c>
      <c r="G7" s="60" t="s">
        <v>308</v>
      </c>
      <c r="H7" s="60" t="s">
        <v>309</v>
      </c>
      <c r="I7" s="60" t="s">
        <v>310</v>
      </c>
      <c r="J7" s="60" t="s">
        <v>311</v>
      </c>
      <c r="K7" s="60" t="s">
        <v>312</v>
      </c>
      <c r="L7" s="60" t="s">
        <v>313</v>
      </c>
      <c r="M7" s="60" t="s">
        <v>314</v>
      </c>
      <c r="N7" s="60" t="s">
        <v>225</v>
      </c>
      <c r="O7" s="13" t="s">
        <v>1</v>
      </c>
      <c r="P7" s="158" t="s">
        <v>2</v>
      </c>
    </row>
    <row r="8" spans="1:19" x14ac:dyDescent="0.25">
      <c r="A8" s="114" t="s">
        <v>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6"/>
      <c r="P8" s="159"/>
    </row>
    <row r="9" spans="1:19" x14ac:dyDescent="0.25">
      <c r="A9" s="117" t="s">
        <v>4</v>
      </c>
      <c r="B9" s="118">
        <v>4614433.8600000003</v>
      </c>
      <c r="C9" s="118">
        <v>470444.75</v>
      </c>
      <c r="D9" s="118">
        <v>369761.74</v>
      </c>
      <c r="E9" s="118">
        <v>325803.74</v>
      </c>
      <c r="F9" s="118">
        <v>175035.04</v>
      </c>
      <c r="G9" s="118">
        <v>205092.28</v>
      </c>
      <c r="H9" s="118">
        <v>245892.28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  <c r="O9" s="119">
        <f>SUM(B9:N9)</f>
        <v>6406463.6900000013</v>
      </c>
      <c r="P9" s="21">
        <v>1</v>
      </c>
      <c r="R9" s="98">
        <f t="shared" ref="R9:R52" si="0">SUM(A9:M9)</f>
        <v>6406463.6900000013</v>
      </c>
      <c r="S9" s="98">
        <f>R9-O9</f>
        <v>0</v>
      </c>
    </row>
    <row r="10" spans="1:19" x14ac:dyDescent="0.25">
      <c r="A10" s="114" t="s">
        <v>5</v>
      </c>
      <c r="B10" s="118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  <c r="O10" s="119">
        <f>SUM(B10:N10)</f>
        <v>0</v>
      </c>
      <c r="P10" s="21"/>
      <c r="R10" s="98">
        <f t="shared" si="0"/>
        <v>0</v>
      </c>
      <c r="S10" s="98">
        <f t="shared" ref="S10:S52" si="1">R10-O10</f>
        <v>0</v>
      </c>
    </row>
    <row r="11" spans="1:19" x14ac:dyDescent="0.25">
      <c r="A11" s="121" t="s">
        <v>6</v>
      </c>
      <c r="B11" s="122">
        <f t="shared" ref="B11" si="2">SUM(B9:B10)</f>
        <v>4614433.8600000003</v>
      </c>
      <c r="C11" s="122">
        <f t="shared" ref="C11:L11" si="3">SUM(C9:C10)</f>
        <v>470444.75</v>
      </c>
      <c r="D11" s="122">
        <f t="shared" si="3"/>
        <v>369761.74</v>
      </c>
      <c r="E11" s="122">
        <f t="shared" si="3"/>
        <v>325803.74</v>
      </c>
      <c r="F11" s="122">
        <f t="shared" si="3"/>
        <v>175035.04</v>
      </c>
      <c r="G11" s="122">
        <f t="shared" si="3"/>
        <v>205092.28</v>
      </c>
      <c r="H11" s="122">
        <f t="shared" si="3"/>
        <v>245892.28</v>
      </c>
      <c r="I11" s="122">
        <f t="shared" si="3"/>
        <v>0</v>
      </c>
      <c r="J11" s="122">
        <f t="shared" si="3"/>
        <v>0</v>
      </c>
      <c r="K11" s="122">
        <f t="shared" si="3"/>
        <v>0</v>
      </c>
      <c r="L11" s="122">
        <f t="shared" si="3"/>
        <v>0</v>
      </c>
      <c r="M11" s="122">
        <f>SUM(M9:M10)</f>
        <v>0</v>
      </c>
      <c r="N11" s="122"/>
      <c r="O11" s="122">
        <f>SUM(O9:O10)</f>
        <v>6406463.6900000013</v>
      </c>
      <c r="P11" s="21">
        <v>1</v>
      </c>
      <c r="R11" s="98">
        <f t="shared" si="0"/>
        <v>6406463.6900000013</v>
      </c>
      <c r="S11" s="98">
        <f t="shared" si="1"/>
        <v>0</v>
      </c>
    </row>
    <row r="12" spans="1:19" x14ac:dyDescent="0.25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5"/>
      <c r="P12" s="160"/>
      <c r="R12" s="98">
        <f t="shared" si="0"/>
        <v>0</v>
      </c>
      <c r="S12" s="98">
        <f t="shared" si="1"/>
        <v>0</v>
      </c>
    </row>
    <row r="13" spans="1:19" x14ac:dyDescent="0.25">
      <c r="A13" s="126" t="s">
        <v>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/>
      <c r="P13" s="161"/>
      <c r="R13" s="98">
        <f t="shared" si="0"/>
        <v>0</v>
      </c>
      <c r="S13" s="98">
        <f t="shared" si="1"/>
        <v>0</v>
      </c>
    </row>
    <row r="14" spans="1:19" x14ac:dyDescent="0.25">
      <c r="A14" s="114" t="s">
        <v>8</v>
      </c>
      <c r="B14" s="128">
        <v>-171948.52</v>
      </c>
      <c r="C14" s="128">
        <v>-13677.66</v>
      </c>
      <c r="D14" s="128">
        <v>-18182.150000000001</v>
      </c>
      <c r="E14" s="128">
        <v>-13320.99</v>
      </c>
      <c r="F14" s="128">
        <v>-16364.62</v>
      </c>
      <c r="G14" s="128">
        <v>-13257.59</v>
      </c>
      <c r="H14" s="128">
        <v>-12118.04</v>
      </c>
      <c r="I14" s="128">
        <v>0</v>
      </c>
      <c r="J14" s="128">
        <v>0</v>
      </c>
      <c r="K14" s="128">
        <v>0</v>
      </c>
      <c r="L14" s="128">
        <v>0</v>
      </c>
      <c r="M14" s="128">
        <v>0</v>
      </c>
      <c r="N14" s="128">
        <v>0</v>
      </c>
      <c r="O14" s="119">
        <f>SUM(B14:N14)</f>
        <v>-258869.56999999998</v>
      </c>
      <c r="P14" s="21">
        <f>-O14/$O$11</f>
        <v>4.0407560633501372E-2</v>
      </c>
      <c r="R14" s="98">
        <f t="shared" si="0"/>
        <v>-258869.56999999998</v>
      </c>
      <c r="S14" s="98">
        <f t="shared" si="1"/>
        <v>0</v>
      </c>
    </row>
    <row r="15" spans="1:19" x14ac:dyDescent="0.25">
      <c r="A15" s="129" t="s">
        <v>9</v>
      </c>
      <c r="B15" s="128">
        <v>0</v>
      </c>
      <c r="C15" s="128">
        <v>0</v>
      </c>
      <c r="D15" s="128">
        <v>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0</v>
      </c>
      <c r="L15" s="128">
        <v>0</v>
      </c>
      <c r="M15" s="128">
        <v>0</v>
      </c>
      <c r="N15" s="128">
        <v>0</v>
      </c>
      <c r="O15" s="119">
        <f t="shared" ref="O15:O39" si="4">SUM(B15:N15)</f>
        <v>0</v>
      </c>
      <c r="P15" s="21">
        <f t="shared" ref="P15:P50" si="5">-O15/$O$11</f>
        <v>0</v>
      </c>
      <c r="R15" s="98">
        <f t="shared" si="0"/>
        <v>0</v>
      </c>
      <c r="S15" s="98">
        <f t="shared" si="1"/>
        <v>0</v>
      </c>
    </row>
    <row r="16" spans="1:19" x14ac:dyDescent="0.25">
      <c r="A16" s="114" t="s">
        <v>10</v>
      </c>
      <c r="B16" s="128">
        <v>-3280.6</v>
      </c>
      <c r="C16" s="128">
        <v>-360</v>
      </c>
      <c r="D16" s="128">
        <v>-360</v>
      </c>
      <c r="E16" s="128">
        <v>-288</v>
      </c>
      <c r="F16" s="128">
        <v>-288</v>
      </c>
      <c r="G16" s="128">
        <v>-288</v>
      </c>
      <c r="H16" s="128">
        <v>-288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28">
        <v>0</v>
      </c>
      <c r="O16" s="119">
        <f t="shared" si="4"/>
        <v>-5152.6000000000004</v>
      </c>
      <c r="P16" s="21">
        <f t="shared" si="5"/>
        <v>8.0428146467805852E-4</v>
      </c>
      <c r="R16" s="98">
        <f t="shared" si="0"/>
        <v>-5152.6000000000004</v>
      </c>
      <c r="S16" s="98">
        <f t="shared" si="1"/>
        <v>0</v>
      </c>
    </row>
    <row r="17" spans="1:19" x14ac:dyDescent="0.25">
      <c r="A17" s="129" t="s">
        <v>11</v>
      </c>
      <c r="B17" s="128">
        <v>-2481.6999999999998</v>
      </c>
      <c r="C17" s="128">
        <v>-1940.46</v>
      </c>
      <c r="D17" s="128">
        <v>0</v>
      </c>
      <c r="E17" s="128">
        <f>-65.5</f>
        <v>-65.5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28">
        <v>0</v>
      </c>
      <c r="O17" s="119">
        <f t="shared" si="4"/>
        <v>-4487.66</v>
      </c>
      <c r="P17" s="21">
        <f t="shared" si="5"/>
        <v>7.004894146211884E-4</v>
      </c>
      <c r="R17" s="98">
        <f t="shared" si="0"/>
        <v>-4487.66</v>
      </c>
      <c r="S17" s="98">
        <f t="shared" si="1"/>
        <v>0</v>
      </c>
    </row>
    <row r="18" spans="1:19" x14ac:dyDescent="0.25">
      <c r="A18" s="114" t="s">
        <v>12</v>
      </c>
      <c r="B18" s="128">
        <v>-71529.45</v>
      </c>
      <c r="C18" s="128">
        <v>-5925.55</v>
      </c>
      <c r="D18" s="128">
        <v>-5232.87</v>
      </c>
      <c r="E18" s="128">
        <v>-5863.84</v>
      </c>
      <c r="F18" s="128">
        <v>-4422.55</v>
      </c>
      <c r="G18" s="128">
        <v>-4715.1899999999996</v>
      </c>
      <c r="H18" s="128">
        <v>-3511.97</v>
      </c>
      <c r="I18" s="128">
        <v>0</v>
      </c>
      <c r="J18" s="128">
        <v>0</v>
      </c>
      <c r="K18" s="128">
        <v>0</v>
      </c>
      <c r="L18" s="128">
        <v>0</v>
      </c>
      <c r="M18" s="128">
        <v>0</v>
      </c>
      <c r="N18" s="128">
        <v>0</v>
      </c>
      <c r="O18" s="119">
        <f t="shared" si="4"/>
        <v>-101201.42</v>
      </c>
      <c r="P18" s="21">
        <f t="shared" si="5"/>
        <v>1.5796767904572323E-2</v>
      </c>
      <c r="R18" s="98">
        <f t="shared" si="0"/>
        <v>-101201.42</v>
      </c>
      <c r="S18" s="98">
        <f t="shared" si="1"/>
        <v>0</v>
      </c>
    </row>
    <row r="19" spans="1:19" x14ac:dyDescent="0.25">
      <c r="A19" s="114" t="s">
        <v>13</v>
      </c>
      <c r="B19" s="128">
        <v>-59804.94</v>
      </c>
      <c r="C19" s="128">
        <v>-4702.5200000000004</v>
      </c>
      <c r="D19" s="128">
        <v>-4289.2700000000004</v>
      </c>
      <c r="E19" s="128">
        <v>-4350.07</v>
      </c>
      <c r="F19" s="128">
        <v>-6846.07</v>
      </c>
      <c r="G19" s="128">
        <v>-3987.91</v>
      </c>
      <c r="H19" s="128">
        <v>-3211.07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  <c r="N19" s="128">
        <v>0</v>
      </c>
      <c r="O19" s="119">
        <f t="shared" si="4"/>
        <v>-87191.850000000035</v>
      </c>
      <c r="P19" s="21">
        <f t="shared" si="5"/>
        <v>1.3609981140781276E-2</v>
      </c>
      <c r="R19" s="98">
        <f t="shared" si="0"/>
        <v>-87191.850000000035</v>
      </c>
      <c r="S19" s="98">
        <f t="shared" si="1"/>
        <v>0</v>
      </c>
    </row>
    <row r="20" spans="1:19" x14ac:dyDescent="0.25">
      <c r="A20" s="114" t="s">
        <v>14</v>
      </c>
      <c r="B20" s="128">
        <v>-75677.37</v>
      </c>
      <c r="C20" s="128">
        <v>-1453.54</v>
      </c>
      <c r="D20" s="128">
        <v>-5683.79</v>
      </c>
      <c r="E20" s="128">
        <v>-3380.54</v>
      </c>
      <c r="F20" s="128">
        <v>-5754.46</v>
      </c>
      <c r="G20" s="128">
        <v>-6665.04</v>
      </c>
      <c r="H20" s="128">
        <v>-474.33</v>
      </c>
      <c r="I20" s="128">
        <v>0</v>
      </c>
      <c r="J20" s="128">
        <v>0</v>
      </c>
      <c r="K20" s="128">
        <v>0</v>
      </c>
      <c r="L20" s="128">
        <v>0</v>
      </c>
      <c r="M20" s="128">
        <v>0</v>
      </c>
      <c r="N20" s="128">
        <v>0</v>
      </c>
      <c r="O20" s="119">
        <f t="shared" si="4"/>
        <v>-99089.069999999978</v>
      </c>
      <c r="P20" s="21">
        <f t="shared" si="5"/>
        <v>1.5467046220002842E-2</v>
      </c>
      <c r="R20" s="98">
        <f t="shared" si="0"/>
        <v>-99089.069999999978</v>
      </c>
      <c r="S20" s="98">
        <f t="shared" si="1"/>
        <v>0</v>
      </c>
    </row>
    <row r="21" spans="1:19" x14ac:dyDescent="0.25">
      <c r="A21" s="114" t="s">
        <v>15</v>
      </c>
      <c r="B21" s="128">
        <v>0</v>
      </c>
      <c r="C21" s="128">
        <v>0</v>
      </c>
      <c r="D21" s="128">
        <v>1982.55</v>
      </c>
      <c r="E21" s="128">
        <v>0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28">
        <v>0</v>
      </c>
      <c r="N21" s="128">
        <v>0</v>
      </c>
      <c r="O21" s="119">
        <f t="shared" si="4"/>
        <v>1982.55</v>
      </c>
      <c r="P21" s="21">
        <f>O21/$O$11</f>
        <v>3.0946089698355873E-4</v>
      </c>
      <c r="R21" s="98">
        <f t="shared" si="0"/>
        <v>1982.55</v>
      </c>
      <c r="S21" s="98">
        <f t="shared" si="1"/>
        <v>0</v>
      </c>
    </row>
    <row r="22" spans="1:19" x14ac:dyDescent="0.25">
      <c r="A22" s="114" t="s">
        <v>16</v>
      </c>
      <c r="B22" s="128">
        <v>0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19">
        <f t="shared" si="4"/>
        <v>0</v>
      </c>
      <c r="P22" s="21">
        <f t="shared" si="5"/>
        <v>0</v>
      </c>
      <c r="R22" s="98">
        <f t="shared" si="0"/>
        <v>0</v>
      </c>
      <c r="S22" s="98">
        <f t="shared" si="1"/>
        <v>0</v>
      </c>
    </row>
    <row r="23" spans="1:19" x14ac:dyDescent="0.25">
      <c r="A23" s="114" t="s">
        <v>17</v>
      </c>
      <c r="B23" s="128">
        <v>-90835.22</v>
      </c>
      <c r="C23" s="128">
        <v>-11265.35</v>
      </c>
      <c r="D23" s="128">
        <v>-11161.56</v>
      </c>
      <c r="E23" s="128">
        <v>-10304.61</v>
      </c>
      <c r="F23" s="128">
        <v>-8251.49</v>
      </c>
      <c r="G23" s="128">
        <v>-9636.83</v>
      </c>
      <c r="H23" s="128">
        <v>-5945.47</v>
      </c>
      <c r="I23" s="128">
        <v>0</v>
      </c>
      <c r="J23" s="128">
        <v>0</v>
      </c>
      <c r="K23" s="128">
        <v>0</v>
      </c>
      <c r="L23" s="128">
        <v>0</v>
      </c>
      <c r="M23" s="128">
        <v>0</v>
      </c>
      <c r="N23" s="128">
        <v>0</v>
      </c>
      <c r="O23" s="119">
        <f t="shared" si="4"/>
        <v>-147400.53</v>
      </c>
      <c r="P23" s="21">
        <f t="shared" si="5"/>
        <v>2.3008095750246885E-2</v>
      </c>
      <c r="R23" s="98">
        <f t="shared" si="0"/>
        <v>-147400.53</v>
      </c>
      <c r="S23" s="98">
        <f t="shared" si="1"/>
        <v>0</v>
      </c>
    </row>
    <row r="24" spans="1:19" x14ac:dyDescent="0.25">
      <c r="A24" s="114" t="s">
        <v>18</v>
      </c>
      <c r="B24" s="128">
        <v>-37511.46</v>
      </c>
      <c r="C24" s="128">
        <v>-8788.84</v>
      </c>
      <c r="D24" s="128">
        <v>-15789.94</v>
      </c>
      <c r="E24" s="128">
        <v>-12969.79</v>
      </c>
      <c r="F24" s="128">
        <v>-2845.33</v>
      </c>
      <c r="G24" s="128">
        <v>-1985.33</v>
      </c>
      <c r="H24" s="128">
        <v>-1985.33</v>
      </c>
      <c r="I24" s="128">
        <v>0</v>
      </c>
      <c r="J24" s="128">
        <v>0</v>
      </c>
      <c r="K24" s="128">
        <v>0</v>
      </c>
      <c r="L24" s="128">
        <v>0</v>
      </c>
      <c r="M24" s="128">
        <v>0</v>
      </c>
      <c r="N24" s="128">
        <v>0</v>
      </c>
      <c r="O24" s="119">
        <f t="shared" si="4"/>
        <v>-81876.02</v>
      </c>
      <c r="P24" s="21">
        <f t="shared" si="5"/>
        <v>1.2780220721113615E-2</v>
      </c>
      <c r="R24" s="98">
        <f t="shared" si="0"/>
        <v>-81876.02</v>
      </c>
      <c r="S24" s="98">
        <f t="shared" si="1"/>
        <v>0</v>
      </c>
    </row>
    <row r="25" spans="1:19" x14ac:dyDescent="0.25">
      <c r="A25" s="114" t="s">
        <v>19</v>
      </c>
      <c r="B25" s="128">
        <v>-84790.75</v>
      </c>
      <c r="C25" s="128">
        <v>-9143.81</v>
      </c>
      <c r="D25" s="128">
        <v>-8033.53</v>
      </c>
      <c r="E25" s="128">
        <v>-8560</v>
      </c>
      <c r="F25" s="128">
        <v>-8654.15</v>
      </c>
      <c r="G25" s="128">
        <v>-6239.9</v>
      </c>
      <c r="H25" s="128">
        <v>-5347.7</v>
      </c>
      <c r="I25" s="128">
        <v>0</v>
      </c>
      <c r="J25" s="128">
        <v>0</v>
      </c>
      <c r="K25" s="128">
        <v>0</v>
      </c>
      <c r="L25" s="128">
        <v>0</v>
      </c>
      <c r="M25" s="128">
        <v>0</v>
      </c>
      <c r="N25" s="128">
        <v>0</v>
      </c>
      <c r="O25" s="119">
        <f t="shared" si="4"/>
        <v>-130769.83999999998</v>
      </c>
      <c r="P25" s="21">
        <f t="shared" si="5"/>
        <v>2.0412172194797837E-2</v>
      </c>
      <c r="R25" s="98">
        <f t="shared" si="0"/>
        <v>-130769.83999999998</v>
      </c>
      <c r="S25" s="98">
        <f t="shared" si="1"/>
        <v>0</v>
      </c>
    </row>
    <row r="26" spans="1:19" x14ac:dyDescent="0.25">
      <c r="A26" s="114" t="s">
        <v>20</v>
      </c>
      <c r="B26" s="128">
        <v>0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28">
        <v>0</v>
      </c>
      <c r="L26" s="128">
        <v>0</v>
      </c>
      <c r="M26" s="128">
        <v>0</v>
      </c>
      <c r="N26" s="128">
        <v>0</v>
      </c>
      <c r="O26" s="119">
        <f t="shared" si="4"/>
        <v>0</v>
      </c>
      <c r="P26" s="21">
        <f t="shared" si="5"/>
        <v>0</v>
      </c>
      <c r="R26" s="98">
        <f t="shared" si="0"/>
        <v>0</v>
      </c>
      <c r="S26" s="98">
        <f t="shared" si="1"/>
        <v>0</v>
      </c>
    </row>
    <row r="27" spans="1:19" x14ac:dyDescent="0.25">
      <c r="A27" s="114" t="s">
        <v>59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28">
        <v>0</v>
      </c>
      <c r="L27" s="128">
        <v>0</v>
      </c>
      <c r="M27" s="128">
        <v>0</v>
      </c>
      <c r="N27" s="128">
        <v>0</v>
      </c>
      <c r="O27" s="119">
        <f t="shared" si="4"/>
        <v>0</v>
      </c>
      <c r="P27" s="21">
        <f t="shared" si="5"/>
        <v>0</v>
      </c>
      <c r="R27" s="98">
        <f t="shared" si="0"/>
        <v>0</v>
      </c>
      <c r="S27" s="98">
        <f t="shared" si="1"/>
        <v>0</v>
      </c>
    </row>
    <row r="28" spans="1:19" x14ac:dyDescent="0.25">
      <c r="A28" s="114" t="s">
        <v>21</v>
      </c>
      <c r="B28" s="128">
        <v>-3735</v>
      </c>
      <c r="C28" s="128">
        <v>-135</v>
      </c>
      <c r="D28" s="128">
        <v>-675</v>
      </c>
      <c r="E28" s="128">
        <v>-135</v>
      </c>
      <c r="F28" s="128">
        <v>-135</v>
      </c>
      <c r="G28" s="128">
        <v>-405</v>
      </c>
      <c r="H28" s="128">
        <v>-135</v>
      </c>
      <c r="I28" s="128">
        <v>0</v>
      </c>
      <c r="J28" s="128">
        <v>0</v>
      </c>
      <c r="K28" s="128">
        <v>0</v>
      </c>
      <c r="L28" s="128">
        <v>0</v>
      </c>
      <c r="M28" s="128">
        <v>0</v>
      </c>
      <c r="N28" s="128">
        <v>0</v>
      </c>
      <c r="O28" s="119">
        <f t="shared" si="4"/>
        <v>-5355</v>
      </c>
      <c r="P28" s="21">
        <f t="shared" si="5"/>
        <v>8.3587455718491693E-4</v>
      </c>
      <c r="R28" s="98">
        <f t="shared" si="0"/>
        <v>-5355</v>
      </c>
      <c r="S28" s="98">
        <f t="shared" si="1"/>
        <v>0</v>
      </c>
    </row>
    <row r="29" spans="1:19" x14ac:dyDescent="0.25">
      <c r="A29" s="114" t="s">
        <v>22</v>
      </c>
      <c r="B29" s="128">
        <v>0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28">
        <v>0</v>
      </c>
      <c r="O29" s="119">
        <f t="shared" si="4"/>
        <v>0</v>
      </c>
      <c r="P29" s="21">
        <f t="shared" si="5"/>
        <v>0</v>
      </c>
      <c r="R29" s="98">
        <f t="shared" si="0"/>
        <v>0</v>
      </c>
      <c r="S29" s="98">
        <f t="shared" si="1"/>
        <v>0</v>
      </c>
    </row>
    <row r="30" spans="1:19" x14ac:dyDescent="0.25">
      <c r="A30" s="129" t="s">
        <v>23</v>
      </c>
      <c r="B30" s="128">
        <v>-3279.28</v>
      </c>
      <c r="C30" s="128">
        <v>0</v>
      </c>
      <c r="D30" s="128">
        <v>0</v>
      </c>
      <c r="E30" s="128">
        <v>-6.43</v>
      </c>
      <c r="F30" s="128">
        <v>0</v>
      </c>
      <c r="G30" s="128">
        <v>-409.89</v>
      </c>
      <c r="H30" s="128">
        <v>0</v>
      </c>
      <c r="I30" s="128">
        <v>0</v>
      </c>
      <c r="J30" s="128">
        <v>0</v>
      </c>
      <c r="K30" s="128">
        <v>0</v>
      </c>
      <c r="L30" s="128">
        <v>0</v>
      </c>
      <c r="M30" s="128">
        <v>0</v>
      </c>
      <c r="N30" s="128">
        <v>0</v>
      </c>
      <c r="O30" s="119">
        <f t="shared" si="4"/>
        <v>-3695.6</v>
      </c>
      <c r="P30" s="21">
        <f t="shared" si="5"/>
        <v>5.7685490448787654E-4</v>
      </c>
      <c r="R30" s="98">
        <f t="shared" si="0"/>
        <v>-3695.6</v>
      </c>
      <c r="S30" s="98">
        <f t="shared" si="1"/>
        <v>0</v>
      </c>
    </row>
    <row r="31" spans="1:19" x14ac:dyDescent="0.25">
      <c r="A31" s="114" t="s">
        <v>24</v>
      </c>
      <c r="B31" s="128">
        <v>-394167.71</v>
      </c>
      <c r="C31" s="128">
        <v>-12761</v>
      </c>
      <c r="D31" s="128">
        <v>-25422</v>
      </c>
      <c r="E31" s="128">
        <v>-24057</v>
      </c>
      <c r="F31" s="128">
        <v>-19892</v>
      </c>
      <c r="G31" s="128">
        <v>-25338</v>
      </c>
      <c r="H31" s="128">
        <v>-20121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28">
        <v>0</v>
      </c>
      <c r="O31" s="119">
        <f t="shared" si="4"/>
        <v>-521758.71</v>
      </c>
      <c r="P31" s="21">
        <f t="shared" si="5"/>
        <v>8.1442545411507652E-2</v>
      </c>
      <c r="R31" s="98">
        <f t="shared" si="0"/>
        <v>-521758.71</v>
      </c>
      <c r="S31" s="98">
        <f t="shared" si="1"/>
        <v>0</v>
      </c>
    </row>
    <row r="32" spans="1:19" x14ac:dyDescent="0.25">
      <c r="A32" s="130" t="s">
        <v>25</v>
      </c>
      <c r="B32" s="128">
        <v>-502382.05</v>
      </c>
      <c r="C32" s="128">
        <v>-44195.17</v>
      </c>
      <c r="D32" s="128">
        <v>-51672.7</v>
      </c>
      <c r="E32" s="128">
        <v>-48459.03</v>
      </c>
      <c r="F32" s="128">
        <v>-38706.85</v>
      </c>
      <c r="G32" s="128">
        <v>-38862.29</v>
      </c>
      <c r="H32" s="128">
        <v>-27698.65</v>
      </c>
      <c r="I32" s="128">
        <v>0</v>
      </c>
      <c r="J32" s="128">
        <v>0</v>
      </c>
      <c r="K32" s="128">
        <v>0</v>
      </c>
      <c r="L32" s="128">
        <v>0</v>
      </c>
      <c r="M32" s="128">
        <v>0</v>
      </c>
      <c r="N32" s="128">
        <v>0</v>
      </c>
      <c r="O32" s="119">
        <f t="shared" si="4"/>
        <v>-751976.74</v>
      </c>
      <c r="P32" s="21">
        <f t="shared" si="5"/>
        <v>0.11737781971257841</v>
      </c>
      <c r="R32" s="98">
        <f t="shared" si="0"/>
        <v>-751976.74</v>
      </c>
      <c r="S32" s="98">
        <f t="shared" si="1"/>
        <v>0</v>
      </c>
    </row>
    <row r="33" spans="1:19" x14ac:dyDescent="0.25">
      <c r="A33" s="114" t="s">
        <v>26</v>
      </c>
      <c r="B33" s="128">
        <v>-5634.46</v>
      </c>
      <c r="C33" s="128">
        <v>-330</v>
      </c>
      <c r="D33" s="128">
        <v>-330</v>
      </c>
      <c r="E33" s="128">
        <v>-344.73</v>
      </c>
      <c r="F33" s="128">
        <v>-347.23</v>
      </c>
      <c r="G33" s="128">
        <v>-344.73</v>
      </c>
      <c r="H33" s="128">
        <v>-342.58</v>
      </c>
      <c r="I33" s="128">
        <v>0</v>
      </c>
      <c r="J33" s="128">
        <v>0</v>
      </c>
      <c r="K33" s="128">
        <v>0</v>
      </c>
      <c r="L33" s="128">
        <v>0</v>
      </c>
      <c r="M33" s="128">
        <v>0</v>
      </c>
      <c r="N33" s="128">
        <v>0</v>
      </c>
      <c r="O33" s="119">
        <f t="shared" si="4"/>
        <v>-7673.73</v>
      </c>
      <c r="P33" s="21">
        <f t="shared" si="5"/>
        <v>1.1978105818313E-3</v>
      </c>
      <c r="R33" s="98">
        <f t="shared" si="0"/>
        <v>-7673.73</v>
      </c>
      <c r="S33" s="98">
        <f t="shared" si="1"/>
        <v>0</v>
      </c>
    </row>
    <row r="34" spans="1:19" x14ac:dyDescent="0.25">
      <c r="A34" s="114" t="s">
        <v>27</v>
      </c>
      <c r="B34" s="128">
        <v>0</v>
      </c>
      <c r="C34" s="128">
        <v>0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19">
        <f t="shared" si="4"/>
        <v>0</v>
      </c>
      <c r="P34" s="21">
        <f t="shared" si="5"/>
        <v>0</v>
      </c>
      <c r="R34" s="98">
        <f t="shared" si="0"/>
        <v>0</v>
      </c>
      <c r="S34" s="98">
        <f t="shared" si="1"/>
        <v>0</v>
      </c>
    </row>
    <row r="35" spans="1:19" x14ac:dyDescent="0.25">
      <c r="A35" s="129" t="s">
        <v>28</v>
      </c>
      <c r="B35" s="128">
        <v>-5677.68</v>
      </c>
      <c r="C35" s="128">
        <v>0</v>
      </c>
      <c r="D35" s="128">
        <v>-258.16000000000003</v>
      </c>
      <c r="E35" s="128">
        <f>-1113.29</f>
        <v>-1113.29</v>
      </c>
      <c r="F35" s="128">
        <v>-1977.72</v>
      </c>
      <c r="G35" s="128">
        <v>0</v>
      </c>
      <c r="H35" s="128">
        <v>0</v>
      </c>
      <c r="I35" s="128">
        <v>0</v>
      </c>
      <c r="J35" s="128">
        <v>0</v>
      </c>
      <c r="K35" s="128">
        <v>0</v>
      </c>
      <c r="L35" s="128">
        <v>0</v>
      </c>
      <c r="M35" s="128">
        <v>0</v>
      </c>
      <c r="N35" s="128">
        <v>0</v>
      </c>
      <c r="O35" s="119">
        <f t="shared" si="4"/>
        <v>-9026.85</v>
      </c>
      <c r="P35" s="21">
        <f t="shared" si="5"/>
        <v>1.4090222682585747E-3</v>
      </c>
      <c r="R35" s="98">
        <f t="shared" si="0"/>
        <v>-9026.85</v>
      </c>
      <c r="S35" s="98">
        <f t="shared" si="1"/>
        <v>0</v>
      </c>
    </row>
    <row r="36" spans="1:19" x14ac:dyDescent="0.25">
      <c r="A36" s="114" t="s">
        <v>29</v>
      </c>
      <c r="B36" s="128">
        <v>-49107.05</v>
      </c>
      <c r="C36" s="128">
        <v>-5160.8999999999996</v>
      </c>
      <c r="D36" s="128">
        <v>-4179.42</v>
      </c>
      <c r="E36" s="128">
        <v>-5245.08</v>
      </c>
      <c r="F36" s="128">
        <v>-4358.28</v>
      </c>
      <c r="G36" s="128">
        <v>-3649.94</v>
      </c>
      <c r="H36" s="128">
        <v>-4733.8500000000004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28">
        <v>0</v>
      </c>
      <c r="O36" s="119">
        <f t="shared" si="4"/>
        <v>-76434.520000000019</v>
      </c>
      <c r="P36" s="21">
        <f t="shared" si="5"/>
        <v>1.1930844175283228E-2</v>
      </c>
      <c r="R36" s="98">
        <f t="shared" si="0"/>
        <v>-76434.520000000019</v>
      </c>
      <c r="S36" s="98">
        <f t="shared" si="1"/>
        <v>0</v>
      </c>
    </row>
    <row r="37" spans="1:19" x14ac:dyDescent="0.25">
      <c r="A37" s="15" t="s">
        <v>276</v>
      </c>
      <c r="B37" s="128">
        <v>-53761.29</v>
      </c>
      <c r="C37" s="128">
        <v>-5436.89</v>
      </c>
      <c r="D37" s="128">
        <v>-4917.3900000000003</v>
      </c>
      <c r="E37" s="128">
        <v>-4917.3900000000003</v>
      </c>
      <c r="F37" s="128">
        <v>-3836.42</v>
      </c>
      <c r="G37" s="128">
        <v>-4082.65</v>
      </c>
      <c r="H37" s="128">
        <v>-2907.11</v>
      </c>
      <c r="I37" s="128">
        <v>0</v>
      </c>
      <c r="J37" s="128">
        <v>0</v>
      </c>
      <c r="K37" s="128">
        <v>0</v>
      </c>
      <c r="L37" s="128">
        <v>0</v>
      </c>
      <c r="M37" s="128">
        <v>0</v>
      </c>
      <c r="N37" s="128">
        <v>0</v>
      </c>
      <c r="O37" s="119">
        <f t="shared" si="4"/>
        <v>-79859.14</v>
      </c>
      <c r="P37" s="21">
        <f t="shared" si="5"/>
        <v>1.2465401173607523E-2</v>
      </c>
      <c r="R37" s="98">
        <f t="shared" si="0"/>
        <v>-79859.14</v>
      </c>
      <c r="S37" s="98">
        <f t="shared" si="1"/>
        <v>0</v>
      </c>
    </row>
    <row r="38" spans="1:19" x14ac:dyDescent="0.25">
      <c r="A38" s="114" t="s">
        <v>97</v>
      </c>
      <c r="B38" s="128">
        <v>-300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28">
        <v>0</v>
      </c>
      <c r="N38" s="128">
        <v>0</v>
      </c>
      <c r="O38" s="119">
        <f t="shared" si="4"/>
        <v>-300</v>
      </c>
      <c r="P38" s="21">
        <f t="shared" si="5"/>
        <v>4.6827706284869298E-5</v>
      </c>
      <c r="R38" s="98">
        <f t="shared" si="0"/>
        <v>-300</v>
      </c>
      <c r="S38" s="98">
        <f t="shared" si="1"/>
        <v>0</v>
      </c>
    </row>
    <row r="39" spans="1:19" x14ac:dyDescent="0.25">
      <c r="A39" s="114" t="s">
        <v>114</v>
      </c>
      <c r="B39" s="128">
        <v>0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28">
        <v>0</v>
      </c>
      <c r="O39" s="119">
        <f t="shared" si="4"/>
        <v>0</v>
      </c>
      <c r="P39" s="21">
        <f t="shared" si="5"/>
        <v>0</v>
      </c>
      <c r="R39" s="98">
        <f t="shared" si="0"/>
        <v>0</v>
      </c>
      <c r="S39" s="98">
        <f t="shared" si="1"/>
        <v>0</v>
      </c>
    </row>
    <row r="40" spans="1:19" x14ac:dyDescent="0.25">
      <c r="A40" s="131" t="s">
        <v>31</v>
      </c>
      <c r="B40" s="132">
        <f t="shared" ref="B40" si="6">SUM(B14:B39)</f>
        <v>-1615904.53</v>
      </c>
      <c r="C40" s="132">
        <f t="shared" ref="C40:M40" si="7">SUM(C14:C39)</f>
        <v>-125276.68999999999</v>
      </c>
      <c r="D40" s="132">
        <f t="shared" si="7"/>
        <v>-154205.23000000004</v>
      </c>
      <c r="E40" s="132">
        <f t="shared" si="7"/>
        <v>-143381.29</v>
      </c>
      <c r="F40" s="132">
        <f t="shared" si="7"/>
        <v>-122680.17000000001</v>
      </c>
      <c r="G40" s="132">
        <f t="shared" si="7"/>
        <v>-119868.29</v>
      </c>
      <c r="H40" s="132">
        <f t="shared" si="7"/>
        <v>-88820.1</v>
      </c>
      <c r="I40" s="132">
        <f t="shared" si="7"/>
        <v>0</v>
      </c>
      <c r="J40" s="132">
        <f t="shared" si="7"/>
        <v>0</v>
      </c>
      <c r="K40" s="132">
        <f t="shared" si="7"/>
        <v>0</v>
      </c>
      <c r="L40" s="132">
        <f t="shared" si="7"/>
        <v>0</v>
      </c>
      <c r="M40" s="132">
        <f t="shared" si="7"/>
        <v>0</v>
      </c>
      <c r="N40" s="132"/>
      <c r="O40" s="132">
        <f>SUM(O14:O39)</f>
        <v>-2370136.2999999998</v>
      </c>
      <c r="P40" s="21">
        <f t="shared" si="5"/>
        <v>0.36996015503835616</v>
      </c>
      <c r="R40" s="98">
        <f t="shared" si="0"/>
        <v>-2370136.3000000003</v>
      </c>
      <c r="S40" s="98">
        <f t="shared" si="1"/>
        <v>0</v>
      </c>
    </row>
    <row r="41" spans="1:19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25"/>
      <c r="P41" s="159"/>
      <c r="R41" s="98">
        <f t="shared" si="0"/>
        <v>0</v>
      </c>
      <c r="S41" s="98">
        <f t="shared" si="1"/>
        <v>0</v>
      </c>
    </row>
    <row r="42" spans="1:19" x14ac:dyDescent="0.25">
      <c r="A42" s="135" t="s">
        <v>32</v>
      </c>
      <c r="B42" s="165">
        <f t="shared" ref="B42" si="8">B11+B40</f>
        <v>2998529.33</v>
      </c>
      <c r="C42" s="165">
        <f t="shared" ref="C42:L42" si="9">C11+C40</f>
        <v>345168.06</v>
      </c>
      <c r="D42" s="165">
        <f t="shared" si="9"/>
        <v>215556.50999999995</v>
      </c>
      <c r="E42" s="165">
        <f t="shared" si="9"/>
        <v>182422.44999999998</v>
      </c>
      <c r="F42" s="165">
        <f t="shared" si="9"/>
        <v>52354.869999999995</v>
      </c>
      <c r="G42" s="165">
        <f t="shared" si="9"/>
        <v>85223.99</v>
      </c>
      <c r="H42" s="165">
        <f t="shared" si="9"/>
        <v>157072.18</v>
      </c>
      <c r="I42" s="165">
        <f t="shared" si="9"/>
        <v>0</v>
      </c>
      <c r="J42" s="165">
        <f t="shared" si="9"/>
        <v>0</v>
      </c>
      <c r="K42" s="165">
        <f t="shared" si="9"/>
        <v>0</v>
      </c>
      <c r="L42" s="165">
        <f t="shared" si="9"/>
        <v>0</v>
      </c>
      <c r="M42" s="165">
        <f>M11+M40</f>
        <v>0</v>
      </c>
      <c r="N42" s="166"/>
      <c r="O42" s="166">
        <f>SUM(B42:N42)</f>
        <v>4036327.3900000006</v>
      </c>
      <c r="P42" s="21">
        <f>O42/$O$11</f>
        <v>0.63003984496164367</v>
      </c>
      <c r="R42" s="98">
        <f t="shared" si="0"/>
        <v>4036327.3900000006</v>
      </c>
      <c r="S42" s="98">
        <f t="shared" si="1"/>
        <v>0</v>
      </c>
    </row>
    <row r="43" spans="1:19" x14ac:dyDescent="0.25">
      <c r="A43" s="13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62"/>
      <c r="R43" s="98">
        <f t="shared" si="0"/>
        <v>0</v>
      </c>
      <c r="S43" s="98">
        <f t="shared" si="1"/>
        <v>0</v>
      </c>
    </row>
    <row r="44" spans="1:19" x14ac:dyDescent="0.25">
      <c r="A44" s="126" t="s">
        <v>56</v>
      </c>
      <c r="B44" s="139">
        <f t="shared" ref="B44" si="10">-B9*13.15%</f>
        <v>-606798.05259000009</v>
      </c>
      <c r="C44" s="139">
        <f t="shared" ref="C44:M44" si="11">-C9*13.15%</f>
        <v>-61863.484625000005</v>
      </c>
      <c r="D44" s="139">
        <f t="shared" si="11"/>
        <v>-48623.668810000003</v>
      </c>
      <c r="E44" s="139">
        <f t="shared" si="11"/>
        <v>-42843.191810000004</v>
      </c>
      <c r="F44" s="139">
        <f t="shared" si="11"/>
        <v>-23017.107760000003</v>
      </c>
      <c r="G44" s="139">
        <f t="shared" si="11"/>
        <v>-26969.634819999999</v>
      </c>
      <c r="H44" s="139">
        <f t="shared" si="11"/>
        <v>-32334.83482</v>
      </c>
      <c r="I44" s="139">
        <f t="shared" si="11"/>
        <v>0</v>
      </c>
      <c r="J44" s="139">
        <f t="shared" si="11"/>
        <v>0</v>
      </c>
      <c r="K44" s="139">
        <f t="shared" si="11"/>
        <v>0</v>
      </c>
      <c r="L44" s="139">
        <f t="shared" si="11"/>
        <v>0</v>
      </c>
      <c r="M44" s="139">
        <f t="shared" si="11"/>
        <v>0</v>
      </c>
      <c r="N44" s="120"/>
      <c r="O44" s="119">
        <f t="shared" ref="O44" si="12">SUM(B44:N44)</f>
        <v>-842449.97523500025</v>
      </c>
      <c r="P44" s="21">
        <f t="shared" si="5"/>
        <v>0.13150000000000001</v>
      </c>
      <c r="R44" s="98">
        <f t="shared" si="0"/>
        <v>-842449.97523500025</v>
      </c>
      <c r="S44" s="98">
        <f t="shared" si="1"/>
        <v>0</v>
      </c>
    </row>
    <row r="45" spans="1:19" x14ac:dyDescent="0.25">
      <c r="A45" s="137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62"/>
      <c r="R45" s="98">
        <f t="shared" si="0"/>
        <v>0</v>
      </c>
      <c r="S45" s="98">
        <f t="shared" si="1"/>
        <v>0</v>
      </c>
    </row>
    <row r="46" spans="1:19" x14ac:dyDescent="0.25">
      <c r="A46" s="126" t="s">
        <v>33</v>
      </c>
      <c r="B46" s="139">
        <f t="shared" ref="B46" si="13">-B9*1.22%</f>
        <v>-56296.093092000003</v>
      </c>
      <c r="C46" s="139">
        <f t="shared" ref="C46:M46" si="14">-C9*1.22%</f>
        <v>-5739.4259499999998</v>
      </c>
      <c r="D46" s="139">
        <f t="shared" si="14"/>
        <v>-4511.0932279999997</v>
      </c>
      <c r="E46" s="139">
        <f t="shared" si="14"/>
        <v>-3974.8056279999996</v>
      </c>
      <c r="F46" s="139">
        <f t="shared" si="14"/>
        <v>-2135.4274879999998</v>
      </c>
      <c r="G46" s="139">
        <f t="shared" si="14"/>
        <v>-2502.1258159999998</v>
      </c>
      <c r="H46" s="139">
        <f t="shared" si="14"/>
        <v>-2999.885816</v>
      </c>
      <c r="I46" s="139">
        <f t="shared" si="14"/>
        <v>0</v>
      </c>
      <c r="J46" s="139">
        <f t="shared" si="14"/>
        <v>0</v>
      </c>
      <c r="K46" s="139">
        <f t="shared" si="14"/>
        <v>0</v>
      </c>
      <c r="L46" s="139">
        <f t="shared" si="14"/>
        <v>0</v>
      </c>
      <c r="M46" s="139">
        <f t="shared" si="14"/>
        <v>0</v>
      </c>
      <c r="N46" s="120"/>
      <c r="O46" s="119">
        <f t="shared" ref="O46" si="15">SUM(B46:N46)</f>
        <v>-78158.857017999995</v>
      </c>
      <c r="P46" s="21">
        <f t="shared" si="5"/>
        <v>1.2199999999999997E-2</v>
      </c>
      <c r="R46" s="98">
        <f t="shared" si="0"/>
        <v>-78158.857017999995</v>
      </c>
      <c r="S46" s="98">
        <f t="shared" si="1"/>
        <v>0</v>
      </c>
    </row>
    <row r="47" spans="1:19" x14ac:dyDescent="0.2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62"/>
      <c r="R47" s="98">
        <f t="shared" si="0"/>
        <v>0</v>
      </c>
      <c r="S47" s="98">
        <f t="shared" si="1"/>
        <v>0</v>
      </c>
    </row>
    <row r="48" spans="1:19" x14ac:dyDescent="0.25">
      <c r="A48" s="113" t="s">
        <v>57</v>
      </c>
      <c r="B48" s="142">
        <f t="shared" ref="B48" si="16">B40*5.56%</f>
        <v>-89844.291868</v>
      </c>
      <c r="C48" s="142">
        <f t="shared" ref="C48:L48" si="17">C40*5.56%</f>
        <v>-6965.3839639999987</v>
      </c>
      <c r="D48" s="142">
        <f t="shared" si="17"/>
        <v>-8573.8107880000025</v>
      </c>
      <c r="E48" s="142">
        <f t="shared" si="17"/>
        <v>-7971.9997240000002</v>
      </c>
      <c r="F48" s="142">
        <f t="shared" si="17"/>
        <v>-6821.017452</v>
      </c>
      <c r="G48" s="142">
        <f t="shared" si="17"/>
        <v>-6664.6769239999994</v>
      </c>
      <c r="H48" s="142">
        <f t="shared" si="17"/>
        <v>-4938.3975600000003</v>
      </c>
      <c r="I48" s="142">
        <f t="shared" si="17"/>
        <v>0</v>
      </c>
      <c r="J48" s="142">
        <f t="shared" si="17"/>
        <v>0</v>
      </c>
      <c r="K48" s="142">
        <f t="shared" si="17"/>
        <v>0</v>
      </c>
      <c r="L48" s="142">
        <f t="shared" si="17"/>
        <v>0</v>
      </c>
      <c r="M48" s="142">
        <f>M40*5.56%</f>
        <v>0</v>
      </c>
      <c r="N48" s="119"/>
      <c r="O48" s="119">
        <f t="shared" ref="O48" si="18">SUM(B48:N48)</f>
        <v>-131779.57827999999</v>
      </c>
      <c r="P48" s="21">
        <f t="shared" si="5"/>
        <v>2.0569784620132602E-2</v>
      </c>
      <c r="R48" s="98">
        <f t="shared" si="0"/>
        <v>-131779.57827999999</v>
      </c>
      <c r="S48" s="98">
        <f t="shared" si="1"/>
        <v>0</v>
      </c>
    </row>
    <row r="49" spans="1:19" x14ac:dyDescent="0.2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62"/>
      <c r="R49" s="98">
        <f t="shared" si="0"/>
        <v>0</v>
      </c>
      <c r="S49" s="98">
        <f t="shared" si="1"/>
        <v>0</v>
      </c>
    </row>
    <row r="50" spans="1:19" x14ac:dyDescent="0.25">
      <c r="A50" s="113" t="s">
        <v>58</v>
      </c>
      <c r="B50" s="142">
        <f t="shared" ref="B50" si="19">B40*0.01%</f>
        <v>-161.590453</v>
      </c>
      <c r="C50" s="142">
        <f t="shared" ref="C50:L50" si="20">C40*0.01%</f>
        <v>-12.527668999999999</v>
      </c>
      <c r="D50" s="142">
        <f t="shared" si="20"/>
        <v>-15.420523000000005</v>
      </c>
      <c r="E50" s="142">
        <f t="shared" si="20"/>
        <v>-14.338129000000002</v>
      </c>
      <c r="F50" s="142">
        <f t="shared" si="20"/>
        <v>-12.268017000000002</v>
      </c>
      <c r="G50" s="142">
        <f t="shared" si="20"/>
        <v>-11.986829</v>
      </c>
      <c r="H50" s="142">
        <f t="shared" si="20"/>
        <v>-8.8820100000000011</v>
      </c>
      <c r="I50" s="142">
        <f t="shared" si="20"/>
        <v>0</v>
      </c>
      <c r="J50" s="142">
        <f t="shared" si="20"/>
        <v>0</v>
      </c>
      <c r="K50" s="142">
        <f t="shared" si="20"/>
        <v>0</v>
      </c>
      <c r="L50" s="142">
        <f t="shared" si="20"/>
        <v>0</v>
      </c>
      <c r="M50" s="142">
        <f>M40*0.01%</f>
        <v>0</v>
      </c>
      <c r="N50" s="119"/>
      <c r="O50" s="119">
        <f t="shared" ref="O50" si="21">SUM(B50:N50)</f>
        <v>-237.01363000000003</v>
      </c>
      <c r="P50" s="21">
        <f t="shared" si="5"/>
        <v>3.6996015503835625E-5</v>
      </c>
      <c r="R50" s="98">
        <f t="shared" si="0"/>
        <v>-237.01363000000003</v>
      </c>
      <c r="S50" s="98">
        <f t="shared" si="1"/>
        <v>0</v>
      </c>
    </row>
    <row r="51" spans="1:19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62"/>
      <c r="R51" s="98">
        <f t="shared" si="0"/>
        <v>0</v>
      </c>
      <c r="S51" s="98">
        <f t="shared" si="1"/>
        <v>0</v>
      </c>
    </row>
    <row r="52" spans="1:19" x14ac:dyDescent="0.25">
      <c r="A52" s="135" t="s">
        <v>243</v>
      </c>
      <c r="B52" s="165">
        <f t="shared" ref="B52" si="22">B42+B48+B50+B44+B46</f>
        <v>2245429.3019970004</v>
      </c>
      <c r="C52" s="165">
        <f t="shared" ref="C52:L52" si="23">C42+C48+C50+C44+C46</f>
        <v>270587.23779200006</v>
      </c>
      <c r="D52" s="165">
        <f t="shared" si="23"/>
        <v>153832.51665099993</v>
      </c>
      <c r="E52" s="165">
        <f t="shared" si="23"/>
        <v>127618.11470899999</v>
      </c>
      <c r="F52" s="165">
        <f t="shared" si="23"/>
        <v>20369.049282999989</v>
      </c>
      <c r="G52" s="165">
        <f t="shared" si="23"/>
        <v>49075.565611000005</v>
      </c>
      <c r="H52" s="165">
        <f t="shared" si="23"/>
        <v>116790.17979399998</v>
      </c>
      <c r="I52" s="165">
        <f t="shared" si="23"/>
        <v>0</v>
      </c>
      <c r="J52" s="165">
        <f t="shared" si="23"/>
        <v>0</v>
      </c>
      <c r="K52" s="165">
        <f t="shared" si="23"/>
        <v>0</v>
      </c>
      <c r="L52" s="165">
        <f t="shared" si="23"/>
        <v>0</v>
      </c>
      <c r="M52" s="165">
        <f>M42+M48+M50+M44+M46</f>
        <v>0</v>
      </c>
      <c r="N52" s="166"/>
      <c r="O52" s="166">
        <f>SUM(B52:N52)</f>
        <v>2983701.9658370009</v>
      </c>
      <c r="P52" s="21">
        <f>O52/$O$11</f>
        <v>0.46573306432600731</v>
      </c>
      <c r="R52" s="98">
        <f t="shared" si="0"/>
        <v>2983701.9658370009</v>
      </c>
      <c r="S52" s="98">
        <f t="shared" si="1"/>
        <v>0</v>
      </c>
    </row>
    <row r="53" spans="1:19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63"/>
    </row>
    <row r="54" spans="1:19" x14ac:dyDescent="0.25">
      <c r="A54" s="144" t="s">
        <v>35</v>
      </c>
      <c r="B54" s="13"/>
      <c r="C54" s="13">
        <v>28</v>
      </c>
      <c r="D54" s="13">
        <v>24</v>
      </c>
      <c r="E54" s="13">
        <v>22</v>
      </c>
      <c r="F54" s="13">
        <v>17</v>
      </c>
      <c r="G54" s="13">
        <v>17</v>
      </c>
      <c r="H54" s="13">
        <v>11</v>
      </c>
      <c r="I54" s="13"/>
      <c r="J54" s="13"/>
      <c r="K54" s="13"/>
      <c r="L54" s="13"/>
      <c r="M54" s="13"/>
      <c r="N54" s="13"/>
      <c r="O54" s="145"/>
      <c r="P54" s="163"/>
    </row>
    <row r="55" spans="1:19" x14ac:dyDescent="0.25">
      <c r="A55" s="80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53"/>
    </row>
    <row r="56" spans="1:19" x14ac:dyDescent="0.25">
      <c r="A56" s="146" t="s">
        <v>36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64">
        <v>46203</v>
      </c>
    </row>
    <row r="57" spans="1:19" x14ac:dyDescent="0.25">
      <c r="B57" s="98">
        <f t="shared" ref="B57" si="24">B11+B40+B44+B46+B48+B50</f>
        <v>2245429.3019970004</v>
      </c>
      <c r="C57" s="98">
        <f t="shared" ref="C57:O57" si="25">C11+C40+C44+C46+C48+C50</f>
        <v>270587.23779200006</v>
      </c>
      <c r="D57" s="98">
        <f t="shared" si="25"/>
        <v>153832.51665099993</v>
      </c>
      <c r="E57" s="98">
        <f t="shared" si="25"/>
        <v>127618.11470899997</v>
      </c>
      <c r="F57" s="98">
        <f t="shared" si="25"/>
        <v>20369.049282999993</v>
      </c>
      <c r="G57" s="98">
        <f t="shared" si="25"/>
        <v>49075.565611000005</v>
      </c>
      <c r="H57" s="98">
        <f t="shared" si="25"/>
        <v>116790.179794</v>
      </c>
      <c r="I57" s="98">
        <f t="shared" si="25"/>
        <v>0</v>
      </c>
      <c r="J57" s="98">
        <f t="shared" si="25"/>
        <v>0</v>
      </c>
      <c r="K57" s="98">
        <f t="shared" si="25"/>
        <v>0</v>
      </c>
      <c r="L57" s="98">
        <f t="shared" si="25"/>
        <v>0</v>
      </c>
      <c r="M57" s="98">
        <f t="shared" si="25"/>
        <v>0</v>
      </c>
      <c r="N57" s="98"/>
      <c r="O57" s="98">
        <f t="shared" si="25"/>
        <v>2983701.9658370013</v>
      </c>
      <c r="P57" s="153"/>
    </row>
    <row r="58" spans="1:19" x14ac:dyDescent="0.25">
      <c r="P58" s="153"/>
    </row>
    <row r="59" spans="1:19" x14ac:dyDescent="0.25">
      <c r="B59" s="98">
        <f t="shared" ref="B59" si="26">B57-B52</f>
        <v>0</v>
      </c>
      <c r="C59" s="98">
        <f t="shared" ref="C59:O59" si="27">C57-C52</f>
        <v>0</v>
      </c>
      <c r="D59" s="98">
        <f t="shared" si="27"/>
        <v>0</v>
      </c>
      <c r="E59" s="98">
        <f t="shared" si="27"/>
        <v>0</v>
      </c>
      <c r="F59" s="98">
        <f t="shared" si="27"/>
        <v>0</v>
      </c>
      <c r="G59" s="98">
        <f t="shared" si="27"/>
        <v>0</v>
      </c>
      <c r="H59" s="98">
        <f t="shared" si="27"/>
        <v>0</v>
      </c>
      <c r="I59" s="98">
        <f t="shared" si="27"/>
        <v>0</v>
      </c>
      <c r="J59" s="98">
        <f t="shared" si="27"/>
        <v>0</v>
      </c>
      <c r="K59" s="98">
        <f t="shared" si="27"/>
        <v>0</v>
      </c>
      <c r="L59" s="98">
        <f t="shared" si="27"/>
        <v>0</v>
      </c>
      <c r="M59" s="98">
        <f t="shared" si="27"/>
        <v>0</v>
      </c>
      <c r="N59" s="98"/>
      <c r="O59" s="98">
        <f t="shared" si="27"/>
        <v>0</v>
      </c>
      <c r="P59" s="153"/>
    </row>
    <row r="60" spans="1:19" x14ac:dyDescent="0.25">
      <c r="P60" s="153"/>
    </row>
  </sheetData>
  <mergeCells count="3">
    <mergeCell ref="A1:P1"/>
    <mergeCell ref="A3:P3"/>
    <mergeCell ref="A5:P5"/>
  </mergeCells>
  <printOptions horizontalCentered="1" verticalCentered="1"/>
  <pageMargins left="0" right="0" top="0.39370078740157483" bottom="0" header="0.19685039370078741" footer="0"/>
  <pageSetup paperSize="9" scale="71" orientation="landscape" r:id="rId1"/>
  <headerFooter>
    <oddHeader>&amp;C&amp;"-,Negrito"&amp;14BELA NOVA CONSTRUTORA LTDA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9"/>
  </sheetPr>
  <dimension ref="A1:U60"/>
  <sheetViews>
    <sheetView topLeftCell="A13" zoomScale="85" zoomScaleNormal="85" workbookViewId="0">
      <pane xSplit="1" topLeftCell="B1" activePane="topRight" state="frozen"/>
      <selection activeCell="E21" sqref="E21"/>
      <selection pane="topRight" activeCell="I14" sqref="I14"/>
    </sheetView>
  </sheetViews>
  <sheetFormatPr defaultRowHeight="15" x14ac:dyDescent="0.25"/>
  <cols>
    <col min="1" max="1" width="42.85546875" customWidth="1"/>
    <col min="2" max="3" width="16.7109375" customWidth="1"/>
    <col min="4" max="4" width="16.140625" customWidth="1"/>
    <col min="5" max="5" width="16.28515625" customWidth="1"/>
    <col min="6" max="6" width="15.5703125" customWidth="1"/>
    <col min="7" max="7" width="15.140625" customWidth="1"/>
    <col min="8" max="8" width="16.5703125" customWidth="1"/>
    <col min="9" max="9" width="17" customWidth="1"/>
    <col min="10" max="11" width="15.5703125" hidden="1" customWidth="1"/>
    <col min="12" max="12" width="16.140625" hidden="1" customWidth="1"/>
    <col min="13" max="13" width="14.7109375" hidden="1" customWidth="1"/>
    <col min="14" max="14" width="16.85546875" hidden="1" customWidth="1"/>
    <col min="15" max="15" width="16.7109375" hidden="1" customWidth="1"/>
    <col min="16" max="16" width="16.140625" bestFit="1" customWidth="1"/>
    <col min="17" max="17" width="11.140625" bestFit="1" customWidth="1"/>
    <col min="18" max="18" width="1.42578125" customWidth="1"/>
    <col min="19" max="19" width="14.42578125" bestFit="1" customWidth="1"/>
    <col min="21" max="21" width="14.42578125" bestFit="1" customWidth="1"/>
  </cols>
  <sheetData>
    <row r="1" spans="1:21" ht="15.75" x14ac:dyDescent="0.25">
      <c r="A1" s="214" t="s">
        <v>333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21" ht="5.25" customHeight="1" x14ac:dyDescent="0.25">
      <c r="A2" s="108"/>
      <c r="B2" s="109"/>
      <c r="C2" s="109"/>
      <c r="D2" s="109"/>
      <c r="E2" s="109"/>
    </row>
    <row r="3" spans="1:21" ht="15.75" x14ac:dyDescent="0.25">
      <c r="A3" s="214" t="s">
        <v>334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</row>
    <row r="4" spans="1:21" ht="10.5" customHeight="1" x14ac:dyDescent="0.25">
      <c r="A4" s="108"/>
      <c r="B4" s="109"/>
      <c r="C4" s="109"/>
      <c r="D4" s="109"/>
      <c r="E4" s="109"/>
    </row>
    <row r="5" spans="1:21" ht="12.75" customHeight="1" x14ac:dyDescent="0.25">
      <c r="A5" s="202" t="s">
        <v>335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</row>
    <row r="6" spans="1:21" ht="10.5" customHeight="1" x14ac:dyDescent="0.25">
      <c r="A6" s="110"/>
      <c r="B6" s="109"/>
      <c r="C6" s="109"/>
      <c r="D6" s="109"/>
      <c r="E6" s="109"/>
    </row>
    <row r="7" spans="1:21" x14ac:dyDescent="0.25">
      <c r="A7" s="111"/>
      <c r="B7" s="112" t="s">
        <v>129</v>
      </c>
      <c r="C7" s="60" t="s">
        <v>303</v>
      </c>
      <c r="D7" s="60" t="s">
        <v>304</v>
      </c>
      <c r="E7" s="60" t="s">
        <v>305</v>
      </c>
      <c r="F7" s="60" t="s">
        <v>306</v>
      </c>
      <c r="G7" s="60" t="s">
        <v>307</v>
      </c>
      <c r="H7" s="60" t="s">
        <v>308</v>
      </c>
      <c r="I7" s="60" t="s">
        <v>309</v>
      </c>
      <c r="J7" s="60" t="s">
        <v>310</v>
      </c>
      <c r="K7" s="60" t="s">
        <v>311</v>
      </c>
      <c r="L7" s="60" t="s">
        <v>312</v>
      </c>
      <c r="M7" s="60" t="s">
        <v>313</v>
      </c>
      <c r="N7" s="60" t="s">
        <v>314</v>
      </c>
      <c r="O7" s="60" t="s">
        <v>225</v>
      </c>
      <c r="P7" s="13" t="s">
        <v>1</v>
      </c>
      <c r="Q7" s="158" t="s">
        <v>2</v>
      </c>
      <c r="U7" s="175">
        <v>2025</v>
      </c>
    </row>
    <row r="8" spans="1:21" x14ac:dyDescent="0.25">
      <c r="A8" s="114" t="s">
        <v>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6"/>
      <c r="Q8" s="159"/>
    </row>
    <row r="9" spans="1:21" x14ac:dyDescent="0.25">
      <c r="A9" s="117" t="s">
        <v>4</v>
      </c>
      <c r="B9" s="118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  <c r="O9" s="118">
        <v>0</v>
      </c>
      <c r="P9" s="119">
        <f>SUM(B9:O9)</f>
        <v>0</v>
      </c>
      <c r="Q9" s="21">
        <v>1</v>
      </c>
      <c r="S9" s="98">
        <f>SUM(B9:O9)</f>
        <v>0</v>
      </c>
      <c r="T9" s="98">
        <f>S9-P9</f>
        <v>0</v>
      </c>
      <c r="U9" s="98">
        <f>B9-P9</f>
        <v>0</v>
      </c>
    </row>
    <row r="10" spans="1:21" x14ac:dyDescent="0.25">
      <c r="A10" s="114" t="s">
        <v>5</v>
      </c>
      <c r="B10" s="118">
        <v>0</v>
      </c>
      <c r="C10" s="118">
        <v>177413.1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  <c r="O10" s="118">
        <v>0</v>
      </c>
      <c r="P10" s="119">
        <f>SUM(B10:O10)</f>
        <v>177413.1</v>
      </c>
      <c r="Q10" s="21"/>
      <c r="S10" s="98">
        <f t="shared" ref="S10:S51" si="0">SUM(B10:O10)</f>
        <v>177413.1</v>
      </c>
      <c r="T10" s="98">
        <f t="shared" ref="T10:T52" si="1">S10-P10</f>
        <v>0</v>
      </c>
      <c r="U10" s="98">
        <f t="shared" ref="U10:U52" si="2">B10-P10</f>
        <v>-177413.1</v>
      </c>
    </row>
    <row r="11" spans="1:21" x14ac:dyDescent="0.25">
      <c r="A11" s="121" t="s">
        <v>6</v>
      </c>
      <c r="B11" s="122">
        <f t="shared" ref="B11:N11" si="3">SUM(B9:B10)</f>
        <v>0</v>
      </c>
      <c r="C11" s="122">
        <f t="shared" ref="C11" si="4">SUM(C9:C10)</f>
        <v>177413.1</v>
      </c>
      <c r="D11" s="122">
        <f t="shared" si="3"/>
        <v>0</v>
      </c>
      <c r="E11" s="122">
        <f t="shared" si="3"/>
        <v>0</v>
      </c>
      <c r="F11" s="122">
        <f t="shared" si="3"/>
        <v>0</v>
      </c>
      <c r="G11" s="122">
        <f t="shared" si="3"/>
        <v>0</v>
      </c>
      <c r="H11" s="122">
        <f t="shared" si="3"/>
        <v>0</v>
      </c>
      <c r="I11" s="122">
        <f t="shared" si="3"/>
        <v>0</v>
      </c>
      <c r="J11" s="122">
        <f t="shared" si="3"/>
        <v>0</v>
      </c>
      <c r="K11" s="122">
        <f t="shared" si="3"/>
        <v>0</v>
      </c>
      <c r="L11" s="122">
        <f t="shared" si="3"/>
        <v>0</v>
      </c>
      <c r="M11" s="122">
        <f t="shared" si="3"/>
        <v>0</v>
      </c>
      <c r="N11" s="122">
        <f t="shared" si="3"/>
        <v>0</v>
      </c>
      <c r="O11" s="122">
        <f>SUM(O9:O10)</f>
        <v>0</v>
      </c>
      <c r="P11" s="122">
        <f>SUM(P9:P10)</f>
        <v>177413.1</v>
      </c>
      <c r="Q11" s="21">
        <v>1</v>
      </c>
      <c r="S11" s="98">
        <f>SUM(B11:O11)</f>
        <v>177413.1</v>
      </c>
      <c r="T11" s="98">
        <f t="shared" si="1"/>
        <v>0</v>
      </c>
      <c r="U11" s="98">
        <f t="shared" si="2"/>
        <v>-177413.1</v>
      </c>
    </row>
    <row r="12" spans="1:21" x14ac:dyDescent="0.25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5"/>
      <c r="Q12" s="160"/>
      <c r="S12" s="98">
        <f t="shared" si="0"/>
        <v>0</v>
      </c>
      <c r="T12" s="98">
        <f t="shared" si="1"/>
        <v>0</v>
      </c>
      <c r="U12" s="98">
        <f t="shared" si="2"/>
        <v>0</v>
      </c>
    </row>
    <row r="13" spans="1:21" x14ac:dyDescent="0.25">
      <c r="A13" s="126" t="s">
        <v>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7"/>
      <c r="Q13" s="161"/>
      <c r="S13" s="98">
        <f t="shared" si="0"/>
        <v>0</v>
      </c>
      <c r="T13" s="98">
        <f t="shared" si="1"/>
        <v>0</v>
      </c>
      <c r="U13" s="98">
        <f t="shared" si="2"/>
        <v>0</v>
      </c>
    </row>
    <row r="14" spans="1:21" x14ac:dyDescent="0.25">
      <c r="A14" s="114" t="s">
        <v>8</v>
      </c>
      <c r="B14" s="128">
        <v>0</v>
      </c>
      <c r="C14" s="128">
        <v>-7227.29</v>
      </c>
      <c r="D14" s="128">
        <v>0</v>
      </c>
      <c r="E14" s="128">
        <v>0</v>
      </c>
      <c r="F14" s="128">
        <v>0</v>
      </c>
      <c r="G14" s="128">
        <v>0</v>
      </c>
      <c r="H14" s="128">
        <v>0</v>
      </c>
      <c r="I14" s="128">
        <v>0</v>
      </c>
      <c r="J14" s="128">
        <v>0</v>
      </c>
      <c r="K14" s="128">
        <v>0</v>
      </c>
      <c r="L14" s="128">
        <v>0</v>
      </c>
      <c r="M14" s="128">
        <v>0</v>
      </c>
      <c r="N14" s="128">
        <v>0</v>
      </c>
      <c r="O14" s="128">
        <v>0</v>
      </c>
      <c r="P14" s="119">
        <f>SUM(B14:O14)</f>
        <v>-7227.29</v>
      </c>
      <c r="Q14" s="21">
        <f>-P14/$P$11</f>
        <v>4.073707071236566E-2</v>
      </c>
      <c r="S14" s="98">
        <f>SUM(B14:O14)</f>
        <v>-7227.29</v>
      </c>
      <c r="T14" s="98">
        <f t="shared" si="1"/>
        <v>0</v>
      </c>
      <c r="U14" s="98">
        <f t="shared" si="2"/>
        <v>7227.29</v>
      </c>
    </row>
    <row r="15" spans="1:21" x14ac:dyDescent="0.25">
      <c r="A15" s="129" t="s">
        <v>9</v>
      </c>
      <c r="B15" s="128">
        <v>0</v>
      </c>
      <c r="C15" s="128">
        <v>0</v>
      </c>
      <c r="D15" s="128">
        <v>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0</v>
      </c>
      <c r="L15" s="128">
        <v>0</v>
      </c>
      <c r="M15" s="128">
        <v>0</v>
      </c>
      <c r="N15" s="128">
        <v>0</v>
      </c>
      <c r="O15" s="128">
        <v>0</v>
      </c>
      <c r="P15" s="119">
        <f t="shared" ref="P15:P39" si="5">SUM(B15:O15)</f>
        <v>0</v>
      </c>
      <c r="Q15" s="21">
        <f t="shared" ref="Q15:Q50" si="6">-P15/$P$11</f>
        <v>0</v>
      </c>
      <c r="S15" s="98">
        <f t="shared" si="0"/>
        <v>0</v>
      </c>
      <c r="T15" s="98">
        <f t="shared" si="1"/>
        <v>0</v>
      </c>
      <c r="U15" s="98">
        <f t="shared" si="2"/>
        <v>0</v>
      </c>
    </row>
    <row r="16" spans="1:21" x14ac:dyDescent="0.25">
      <c r="A16" s="114" t="s">
        <v>10</v>
      </c>
      <c r="B16" s="128">
        <v>0</v>
      </c>
      <c r="C16" s="128">
        <v>0</v>
      </c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28">
        <v>0</v>
      </c>
      <c r="O16" s="128">
        <v>0</v>
      </c>
      <c r="P16" s="119">
        <f t="shared" si="5"/>
        <v>0</v>
      </c>
      <c r="Q16" s="21">
        <f t="shared" si="6"/>
        <v>0</v>
      </c>
      <c r="S16" s="98">
        <f t="shared" si="0"/>
        <v>0</v>
      </c>
      <c r="T16" s="98">
        <f t="shared" si="1"/>
        <v>0</v>
      </c>
      <c r="U16" s="98">
        <f t="shared" si="2"/>
        <v>0</v>
      </c>
    </row>
    <row r="17" spans="1:21" x14ac:dyDescent="0.25">
      <c r="A17" s="129" t="s">
        <v>11</v>
      </c>
      <c r="B17" s="128">
        <v>0</v>
      </c>
      <c r="C17" s="128">
        <v>-432.84</v>
      </c>
      <c r="D17" s="128">
        <v>0</v>
      </c>
      <c r="E17" s="128">
        <v>0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28">
        <v>0</v>
      </c>
      <c r="O17" s="128">
        <v>0</v>
      </c>
      <c r="P17" s="119">
        <f t="shared" si="5"/>
        <v>-432.84</v>
      </c>
      <c r="Q17" s="21">
        <f t="shared" si="6"/>
        <v>2.4397296479234058E-3</v>
      </c>
      <c r="S17" s="98">
        <f t="shared" si="0"/>
        <v>-432.84</v>
      </c>
      <c r="T17" s="98">
        <f t="shared" si="1"/>
        <v>0</v>
      </c>
      <c r="U17" s="98">
        <f t="shared" si="2"/>
        <v>432.84</v>
      </c>
    </row>
    <row r="18" spans="1:21" x14ac:dyDescent="0.25">
      <c r="A18" s="114" t="s">
        <v>12</v>
      </c>
      <c r="B18" s="128">
        <v>0</v>
      </c>
      <c r="C18" s="128">
        <v>-5875.9</v>
      </c>
      <c r="D18" s="128">
        <v>0</v>
      </c>
      <c r="E18" s="128">
        <v>0</v>
      </c>
      <c r="F18" s="128">
        <v>0</v>
      </c>
      <c r="G18" s="128">
        <v>0</v>
      </c>
      <c r="H18" s="128">
        <v>0</v>
      </c>
      <c r="I18" s="128">
        <v>0</v>
      </c>
      <c r="J18" s="128">
        <v>0</v>
      </c>
      <c r="K18" s="128">
        <v>0</v>
      </c>
      <c r="L18" s="128">
        <v>0</v>
      </c>
      <c r="M18" s="128">
        <v>0</v>
      </c>
      <c r="N18" s="128">
        <v>0</v>
      </c>
      <c r="O18" s="128">
        <v>0</v>
      </c>
      <c r="P18" s="119">
        <f t="shared" si="5"/>
        <v>-5875.9</v>
      </c>
      <c r="Q18" s="21">
        <f t="shared" si="6"/>
        <v>3.3119876717108261E-2</v>
      </c>
      <c r="S18" s="98">
        <f t="shared" si="0"/>
        <v>-5875.9</v>
      </c>
      <c r="T18" s="98">
        <f t="shared" si="1"/>
        <v>0</v>
      </c>
      <c r="U18" s="98">
        <f t="shared" si="2"/>
        <v>5875.9</v>
      </c>
    </row>
    <row r="19" spans="1:21" x14ac:dyDescent="0.25">
      <c r="A19" s="114" t="s">
        <v>13</v>
      </c>
      <c r="B19" s="128">
        <v>0</v>
      </c>
      <c r="C19" s="128">
        <v>-3874.61</v>
      </c>
      <c r="D19" s="128">
        <v>-189.48</v>
      </c>
      <c r="E19" s="128">
        <v>0</v>
      </c>
      <c r="F19" s="128">
        <v>0</v>
      </c>
      <c r="G19" s="128">
        <v>0</v>
      </c>
      <c r="H19" s="128">
        <v>0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  <c r="N19" s="128">
        <v>0</v>
      </c>
      <c r="O19" s="128">
        <v>0</v>
      </c>
      <c r="P19" s="119">
        <f t="shared" si="5"/>
        <v>-4064.09</v>
      </c>
      <c r="Q19" s="21">
        <f t="shared" si="6"/>
        <v>2.2907496684292199E-2</v>
      </c>
      <c r="S19" s="98">
        <f t="shared" si="0"/>
        <v>-4064.09</v>
      </c>
      <c r="T19" s="98">
        <f t="shared" si="1"/>
        <v>0</v>
      </c>
      <c r="U19" s="98">
        <f t="shared" si="2"/>
        <v>4064.09</v>
      </c>
    </row>
    <row r="20" spans="1:21" x14ac:dyDescent="0.25">
      <c r="A20" s="114" t="s">
        <v>14</v>
      </c>
      <c r="B20" s="128">
        <v>0</v>
      </c>
      <c r="C20" s="128">
        <v>-1729.63</v>
      </c>
      <c r="D20" s="128">
        <v>0</v>
      </c>
      <c r="E20" s="128">
        <v>0</v>
      </c>
      <c r="F20" s="128">
        <v>0</v>
      </c>
      <c r="G20" s="128">
        <v>0</v>
      </c>
      <c r="H20" s="128">
        <v>0</v>
      </c>
      <c r="I20" s="128">
        <v>0</v>
      </c>
      <c r="J20" s="128">
        <v>0</v>
      </c>
      <c r="K20" s="128">
        <v>0</v>
      </c>
      <c r="L20" s="128">
        <v>0</v>
      </c>
      <c r="M20" s="128">
        <v>0</v>
      </c>
      <c r="N20" s="128">
        <v>0</v>
      </c>
      <c r="O20" s="128">
        <v>0</v>
      </c>
      <c r="P20" s="119">
        <f t="shared" si="5"/>
        <v>-1729.63</v>
      </c>
      <c r="Q20" s="21">
        <f t="shared" si="6"/>
        <v>9.7491673388267266E-3</v>
      </c>
      <c r="S20" s="98">
        <f t="shared" si="0"/>
        <v>-1729.63</v>
      </c>
      <c r="T20" s="98">
        <f t="shared" si="1"/>
        <v>0</v>
      </c>
      <c r="U20" s="98">
        <f t="shared" si="2"/>
        <v>1729.63</v>
      </c>
    </row>
    <row r="21" spans="1:21" x14ac:dyDescent="0.25">
      <c r="A21" s="114" t="s">
        <v>15</v>
      </c>
      <c r="B21" s="128">
        <v>0</v>
      </c>
      <c r="C21" s="128">
        <v>0</v>
      </c>
      <c r="D21" s="128">
        <v>0</v>
      </c>
      <c r="E21" s="128">
        <v>0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28">
        <v>0</v>
      </c>
      <c r="N21" s="128">
        <v>0</v>
      </c>
      <c r="O21" s="128">
        <v>0</v>
      </c>
      <c r="P21" s="119">
        <f t="shared" si="5"/>
        <v>0</v>
      </c>
      <c r="Q21" s="21">
        <f t="shared" si="6"/>
        <v>0</v>
      </c>
      <c r="S21" s="98">
        <f t="shared" si="0"/>
        <v>0</v>
      </c>
      <c r="T21" s="98">
        <f t="shared" si="1"/>
        <v>0</v>
      </c>
      <c r="U21" s="98">
        <f t="shared" si="2"/>
        <v>0</v>
      </c>
    </row>
    <row r="22" spans="1:21" x14ac:dyDescent="0.25">
      <c r="A22" s="114" t="s">
        <v>16</v>
      </c>
      <c r="B22" s="128">
        <v>0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28">
        <v>0</v>
      </c>
      <c r="P22" s="119">
        <f t="shared" si="5"/>
        <v>0</v>
      </c>
      <c r="Q22" s="21">
        <f t="shared" si="6"/>
        <v>0</v>
      </c>
      <c r="S22" s="98">
        <f t="shared" si="0"/>
        <v>0</v>
      </c>
      <c r="T22" s="98">
        <f t="shared" si="1"/>
        <v>0</v>
      </c>
      <c r="U22" s="98">
        <f t="shared" si="2"/>
        <v>0</v>
      </c>
    </row>
    <row r="23" spans="1:21" x14ac:dyDescent="0.25">
      <c r="A23" s="114" t="s">
        <v>17</v>
      </c>
      <c r="B23" s="128">
        <v>0</v>
      </c>
      <c r="C23" s="128">
        <v>-7114.16</v>
      </c>
      <c r="D23" s="128">
        <v>-640.44000000000005</v>
      </c>
      <c r="E23" s="128">
        <v>0</v>
      </c>
      <c r="F23" s="128">
        <v>0</v>
      </c>
      <c r="G23" s="128">
        <v>0</v>
      </c>
      <c r="H23" s="128">
        <v>0</v>
      </c>
      <c r="I23" s="128">
        <v>0</v>
      </c>
      <c r="J23" s="128">
        <v>0</v>
      </c>
      <c r="K23" s="128">
        <v>0</v>
      </c>
      <c r="L23" s="128">
        <v>0</v>
      </c>
      <c r="M23" s="128">
        <v>0</v>
      </c>
      <c r="N23" s="128">
        <v>0</v>
      </c>
      <c r="O23" s="128">
        <v>0</v>
      </c>
      <c r="P23" s="119">
        <f t="shared" si="5"/>
        <v>-7754.6</v>
      </c>
      <c r="Q23" s="21">
        <f t="shared" si="6"/>
        <v>4.3709286405569828E-2</v>
      </c>
      <c r="S23" s="98">
        <f t="shared" si="0"/>
        <v>-7754.6</v>
      </c>
      <c r="T23" s="98">
        <f t="shared" si="1"/>
        <v>0</v>
      </c>
      <c r="U23" s="98">
        <f t="shared" si="2"/>
        <v>7754.6</v>
      </c>
    </row>
    <row r="24" spans="1:21" x14ac:dyDescent="0.25">
      <c r="A24" s="114" t="s">
        <v>18</v>
      </c>
      <c r="B24" s="128">
        <v>0</v>
      </c>
      <c r="C24" s="128">
        <v>0</v>
      </c>
      <c r="D24" s="128">
        <v>0</v>
      </c>
      <c r="E24" s="128">
        <v>0</v>
      </c>
      <c r="F24" s="128">
        <v>0</v>
      </c>
      <c r="G24" s="128">
        <v>0</v>
      </c>
      <c r="H24" s="128">
        <v>0</v>
      </c>
      <c r="I24" s="128">
        <v>0</v>
      </c>
      <c r="J24" s="128">
        <v>0</v>
      </c>
      <c r="K24" s="128">
        <v>0</v>
      </c>
      <c r="L24" s="128">
        <v>0</v>
      </c>
      <c r="M24" s="128">
        <v>0</v>
      </c>
      <c r="N24" s="128">
        <v>0</v>
      </c>
      <c r="O24" s="128">
        <v>0</v>
      </c>
      <c r="P24" s="119">
        <f t="shared" si="5"/>
        <v>0</v>
      </c>
      <c r="Q24" s="21">
        <f t="shared" si="6"/>
        <v>0</v>
      </c>
      <c r="S24" s="98">
        <f t="shared" si="0"/>
        <v>0</v>
      </c>
      <c r="T24" s="98">
        <f t="shared" si="1"/>
        <v>0</v>
      </c>
      <c r="U24" s="98">
        <f t="shared" si="2"/>
        <v>0</v>
      </c>
    </row>
    <row r="25" spans="1:21" x14ac:dyDescent="0.25">
      <c r="A25" s="114" t="s">
        <v>19</v>
      </c>
      <c r="B25" s="128">
        <v>0</v>
      </c>
      <c r="C25" s="128">
        <v>-4337.67</v>
      </c>
      <c r="D25" s="128">
        <v>0</v>
      </c>
      <c r="E25" s="128">
        <v>0</v>
      </c>
      <c r="F25" s="128">
        <v>0</v>
      </c>
      <c r="G25" s="128">
        <v>0</v>
      </c>
      <c r="H25" s="128">
        <v>0</v>
      </c>
      <c r="I25" s="128">
        <v>0</v>
      </c>
      <c r="J25" s="128">
        <v>0</v>
      </c>
      <c r="K25" s="128">
        <v>0</v>
      </c>
      <c r="L25" s="128">
        <v>0</v>
      </c>
      <c r="M25" s="128">
        <v>0</v>
      </c>
      <c r="N25" s="128">
        <v>0</v>
      </c>
      <c r="O25" s="128">
        <v>0</v>
      </c>
      <c r="P25" s="119">
        <f t="shared" si="5"/>
        <v>-4337.67</v>
      </c>
      <c r="Q25" s="21">
        <f t="shared" si="6"/>
        <v>2.444954741222604E-2</v>
      </c>
      <c r="S25" s="98">
        <f t="shared" si="0"/>
        <v>-4337.67</v>
      </c>
      <c r="T25" s="98">
        <f t="shared" si="1"/>
        <v>0</v>
      </c>
      <c r="U25" s="98">
        <f t="shared" si="2"/>
        <v>4337.67</v>
      </c>
    </row>
    <row r="26" spans="1:21" x14ac:dyDescent="0.25">
      <c r="A26" s="114" t="s">
        <v>20</v>
      </c>
      <c r="B26" s="128">
        <v>0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28">
        <v>0</v>
      </c>
      <c r="L26" s="128">
        <v>0</v>
      </c>
      <c r="M26" s="128">
        <v>0</v>
      </c>
      <c r="N26" s="128">
        <v>0</v>
      </c>
      <c r="O26" s="128">
        <v>0</v>
      </c>
      <c r="P26" s="119">
        <f t="shared" si="5"/>
        <v>0</v>
      </c>
      <c r="Q26" s="21">
        <f t="shared" si="6"/>
        <v>0</v>
      </c>
      <c r="S26" s="98">
        <f t="shared" si="0"/>
        <v>0</v>
      </c>
      <c r="T26" s="98">
        <f t="shared" si="1"/>
        <v>0</v>
      </c>
      <c r="U26" s="98">
        <f t="shared" si="2"/>
        <v>0</v>
      </c>
    </row>
    <row r="27" spans="1:21" x14ac:dyDescent="0.25">
      <c r="A27" s="114" t="s">
        <v>59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28">
        <v>0</v>
      </c>
      <c r="L27" s="128">
        <v>0</v>
      </c>
      <c r="M27" s="128">
        <v>0</v>
      </c>
      <c r="N27" s="128">
        <v>0</v>
      </c>
      <c r="O27" s="128">
        <v>0</v>
      </c>
      <c r="P27" s="119">
        <f t="shared" si="5"/>
        <v>0</v>
      </c>
      <c r="Q27" s="21">
        <f t="shared" si="6"/>
        <v>0</v>
      </c>
      <c r="S27" s="98">
        <f t="shared" si="0"/>
        <v>0</v>
      </c>
      <c r="T27" s="98">
        <f t="shared" si="1"/>
        <v>0</v>
      </c>
      <c r="U27" s="98">
        <f t="shared" si="2"/>
        <v>0</v>
      </c>
    </row>
    <row r="28" spans="1:21" x14ac:dyDescent="0.25">
      <c r="A28" s="114" t="s">
        <v>21</v>
      </c>
      <c r="B28" s="128">
        <v>0</v>
      </c>
      <c r="C28" s="128">
        <v>-270</v>
      </c>
      <c r="D28" s="128">
        <v>0</v>
      </c>
      <c r="E28" s="128">
        <v>0</v>
      </c>
      <c r="F28" s="128">
        <v>0</v>
      </c>
      <c r="G28" s="128">
        <v>0</v>
      </c>
      <c r="H28" s="128">
        <v>0</v>
      </c>
      <c r="I28" s="128">
        <v>0</v>
      </c>
      <c r="J28" s="128">
        <v>0</v>
      </c>
      <c r="K28" s="128">
        <v>0</v>
      </c>
      <c r="L28" s="128">
        <v>0</v>
      </c>
      <c r="M28" s="128">
        <v>0</v>
      </c>
      <c r="N28" s="128">
        <v>0</v>
      </c>
      <c r="O28" s="128">
        <v>0</v>
      </c>
      <c r="P28" s="119">
        <f t="shared" si="5"/>
        <v>-270</v>
      </c>
      <c r="Q28" s="21">
        <f t="shared" si="6"/>
        <v>1.5218718347179549E-3</v>
      </c>
      <c r="S28" s="98">
        <f t="shared" si="0"/>
        <v>-270</v>
      </c>
      <c r="T28" s="98">
        <f t="shared" si="1"/>
        <v>0</v>
      </c>
      <c r="U28" s="98">
        <f t="shared" si="2"/>
        <v>270</v>
      </c>
    </row>
    <row r="29" spans="1:21" x14ac:dyDescent="0.25">
      <c r="A29" s="114" t="s">
        <v>22</v>
      </c>
      <c r="B29" s="128">
        <v>0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28">
        <v>0</v>
      </c>
      <c r="O29" s="128">
        <v>0</v>
      </c>
      <c r="P29" s="119">
        <f t="shared" si="5"/>
        <v>0</v>
      </c>
      <c r="Q29" s="21">
        <f t="shared" si="6"/>
        <v>0</v>
      </c>
      <c r="S29" s="98">
        <f t="shared" si="0"/>
        <v>0</v>
      </c>
      <c r="T29" s="98">
        <f t="shared" si="1"/>
        <v>0</v>
      </c>
      <c r="U29" s="98">
        <f t="shared" si="2"/>
        <v>0</v>
      </c>
    </row>
    <row r="30" spans="1:21" x14ac:dyDescent="0.25">
      <c r="A30" s="129" t="s">
        <v>23</v>
      </c>
      <c r="B30" s="128">
        <v>0</v>
      </c>
      <c r="C30" s="128">
        <v>-512.80999999999995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8">
        <v>0</v>
      </c>
      <c r="K30" s="128">
        <v>0</v>
      </c>
      <c r="L30" s="128">
        <v>0</v>
      </c>
      <c r="M30" s="128">
        <v>0</v>
      </c>
      <c r="N30" s="128">
        <v>0</v>
      </c>
      <c r="O30" s="128">
        <v>0</v>
      </c>
      <c r="P30" s="119">
        <f t="shared" si="5"/>
        <v>-512.80999999999995</v>
      </c>
      <c r="Q30" s="21">
        <f t="shared" si="6"/>
        <v>2.8904855391174607E-3</v>
      </c>
      <c r="S30" s="98">
        <f t="shared" si="0"/>
        <v>-512.80999999999995</v>
      </c>
      <c r="T30" s="98">
        <f t="shared" si="1"/>
        <v>0</v>
      </c>
      <c r="U30" s="98">
        <f t="shared" si="2"/>
        <v>512.80999999999995</v>
      </c>
    </row>
    <row r="31" spans="1:21" x14ac:dyDescent="0.25">
      <c r="A31" s="114" t="s">
        <v>24</v>
      </c>
      <c r="B31" s="128">
        <v>0</v>
      </c>
      <c r="C31" s="128">
        <v>-41029</v>
      </c>
      <c r="D31" s="128">
        <v>0</v>
      </c>
      <c r="E31" s="128">
        <v>0</v>
      </c>
      <c r="F31" s="128">
        <v>0</v>
      </c>
      <c r="G31" s="128">
        <v>0</v>
      </c>
      <c r="H31" s="128">
        <v>0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28">
        <v>0</v>
      </c>
      <c r="O31" s="128">
        <v>0</v>
      </c>
      <c r="P31" s="119">
        <f t="shared" si="5"/>
        <v>-41029</v>
      </c>
      <c r="Q31" s="21">
        <f t="shared" si="6"/>
        <v>0.23126251669127026</v>
      </c>
      <c r="S31" s="98">
        <f t="shared" si="0"/>
        <v>-41029</v>
      </c>
      <c r="T31" s="98">
        <f t="shared" si="1"/>
        <v>0</v>
      </c>
      <c r="U31" s="98">
        <f t="shared" si="2"/>
        <v>41029</v>
      </c>
    </row>
    <row r="32" spans="1:21" x14ac:dyDescent="0.25">
      <c r="A32" s="130" t="s">
        <v>25</v>
      </c>
      <c r="B32" s="128">
        <v>0</v>
      </c>
      <c r="C32" s="128">
        <v>-40844.660000000003</v>
      </c>
      <c r="D32" s="128">
        <v>0</v>
      </c>
      <c r="E32" s="128">
        <v>0</v>
      </c>
      <c r="F32" s="128">
        <v>0</v>
      </c>
      <c r="G32" s="128">
        <v>0</v>
      </c>
      <c r="H32" s="128">
        <v>0</v>
      </c>
      <c r="I32" s="128">
        <v>0</v>
      </c>
      <c r="J32" s="128">
        <v>0</v>
      </c>
      <c r="K32" s="128">
        <v>0</v>
      </c>
      <c r="L32" s="128">
        <v>0</v>
      </c>
      <c r="M32" s="128">
        <v>0</v>
      </c>
      <c r="N32" s="128">
        <v>0</v>
      </c>
      <c r="O32" s="128">
        <v>0</v>
      </c>
      <c r="P32" s="119">
        <f t="shared" si="5"/>
        <v>-40844.660000000003</v>
      </c>
      <c r="Q32" s="21">
        <f t="shared" si="6"/>
        <v>0.23022347278752248</v>
      </c>
      <c r="S32" s="98">
        <f t="shared" si="0"/>
        <v>-40844.660000000003</v>
      </c>
      <c r="T32" s="98">
        <f t="shared" si="1"/>
        <v>0</v>
      </c>
      <c r="U32" s="98">
        <f t="shared" si="2"/>
        <v>40844.660000000003</v>
      </c>
    </row>
    <row r="33" spans="1:21" x14ac:dyDescent="0.25">
      <c r="A33" s="114" t="s">
        <v>26</v>
      </c>
      <c r="B33" s="128">
        <v>0</v>
      </c>
      <c r="C33" s="128">
        <v>0</v>
      </c>
      <c r="D33" s="128">
        <v>0</v>
      </c>
      <c r="E33" s="128">
        <v>0</v>
      </c>
      <c r="F33" s="128">
        <v>0</v>
      </c>
      <c r="G33" s="128">
        <v>0</v>
      </c>
      <c r="H33" s="128">
        <v>0</v>
      </c>
      <c r="I33" s="128">
        <v>0</v>
      </c>
      <c r="J33" s="128">
        <v>0</v>
      </c>
      <c r="K33" s="128">
        <v>0</v>
      </c>
      <c r="L33" s="128">
        <v>0</v>
      </c>
      <c r="M33" s="128">
        <v>0</v>
      </c>
      <c r="N33" s="128">
        <v>0</v>
      </c>
      <c r="O33" s="128">
        <v>0</v>
      </c>
      <c r="P33" s="119">
        <f t="shared" si="5"/>
        <v>0</v>
      </c>
      <c r="Q33" s="21">
        <f t="shared" si="6"/>
        <v>0</v>
      </c>
      <c r="S33" s="98">
        <f t="shared" si="0"/>
        <v>0</v>
      </c>
      <c r="T33" s="98">
        <f t="shared" si="1"/>
        <v>0</v>
      </c>
      <c r="U33" s="98">
        <f t="shared" si="2"/>
        <v>0</v>
      </c>
    </row>
    <row r="34" spans="1:21" x14ac:dyDescent="0.25">
      <c r="A34" s="114" t="s">
        <v>27</v>
      </c>
      <c r="B34" s="128">
        <v>-77.83</v>
      </c>
      <c r="C34" s="128">
        <v>-933.96</v>
      </c>
      <c r="D34" s="128">
        <v>-77.83</v>
      </c>
      <c r="E34" s="128">
        <v>-77.83</v>
      </c>
      <c r="F34" s="128">
        <v>-77.83</v>
      </c>
      <c r="G34" s="128">
        <v>-77.83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28">
        <v>0</v>
      </c>
      <c r="P34" s="119">
        <f t="shared" si="5"/>
        <v>-1323.11</v>
      </c>
      <c r="Q34" s="21">
        <f t="shared" si="6"/>
        <v>7.4577920119765669E-3</v>
      </c>
      <c r="S34" s="98">
        <f t="shared" si="0"/>
        <v>-1323.11</v>
      </c>
      <c r="T34" s="98">
        <f t="shared" si="1"/>
        <v>0</v>
      </c>
      <c r="U34" s="98">
        <f t="shared" si="2"/>
        <v>1245.28</v>
      </c>
    </row>
    <row r="35" spans="1:21" x14ac:dyDescent="0.25">
      <c r="A35" s="129" t="s">
        <v>28</v>
      </c>
      <c r="B35" s="128">
        <v>0</v>
      </c>
      <c r="C35" s="128">
        <v>-1486.84</v>
      </c>
      <c r="D35" s="128">
        <v>0</v>
      </c>
      <c r="E35" s="128">
        <v>0</v>
      </c>
      <c r="F35" s="128">
        <v>0</v>
      </c>
      <c r="G35" s="128">
        <v>0</v>
      </c>
      <c r="H35" s="128">
        <v>0</v>
      </c>
      <c r="I35" s="128">
        <v>0</v>
      </c>
      <c r="J35" s="128">
        <v>0</v>
      </c>
      <c r="K35" s="128">
        <v>0</v>
      </c>
      <c r="L35" s="128">
        <v>0</v>
      </c>
      <c r="M35" s="128">
        <v>0</v>
      </c>
      <c r="N35" s="128">
        <v>0</v>
      </c>
      <c r="O35" s="128">
        <v>0</v>
      </c>
      <c r="P35" s="119">
        <f t="shared" si="5"/>
        <v>-1486.84</v>
      </c>
      <c r="Q35" s="21">
        <f t="shared" si="6"/>
        <v>8.3806663656742358E-3</v>
      </c>
      <c r="S35" s="98">
        <f t="shared" si="0"/>
        <v>-1486.84</v>
      </c>
      <c r="T35" s="98">
        <f t="shared" si="1"/>
        <v>0</v>
      </c>
      <c r="U35" s="98">
        <f t="shared" si="2"/>
        <v>1486.84</v>
      </c>
    </row>
    <row r="36" spans="1:21" x14ac:dyDescent="0.25">
      <c r="A36" s="114" t="s">
        <v>29</v>
      </c>
      <c r="B36" s="128">
        <v>0</v>
      </c>
      <c r="C36" s="128">
        <v>-3233.88</v>
      </c>
      <c r="D36" s="128">
        <v>0</v>
      </c>
      <c r="E36" s="128">
        <v>0</v>
      </c>
      <c r="F36" s="128">
        <v>0</v>
      </c>
      <c r="G36" s="128">
        <v>0</v>
      </c>
      <c r="H36" s="128">
        <v>0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28">
        <v>0</v>
      </c>
      <c r="O36" s="128">
        <v>0</v>
      </c>
      <c r="P36" s="119">
        <f t="shared" si="5"/>
        <v>-3233.88</v>
      </c>
      <c r="Q36" s="21">
        <f t="shared" si="6"/>
        <v>1.8227966255028517E-2</v>
      </c>
      <c r="S36" s="98">
        <f t="shared" si="0"/>
        <v>-3233.88</v>
      </c>
      <c r="T36" s="98">
        <f t="shared" si="1"/>
        <v>0</v>
      </c>
      <c r="U36" s="98">
        <f t="shared" si="2"/>
        <v>3233.88</v>
      </c>
    </row>
    <row r="37" spans="1:21" x14ac:dyDescent="0.25">
      <c r="A37" s="15" t="s">
        <v>276</v>
      </c>
      <c r="B37" s="128">
        <v>0</v>
      </c>
      <c r="C37" s="128">
        <v>-4702.1400000000003</v>
      </c>
      <c r="D37" s="128">
        <v>0</v>
      </c>
      <c r="E37" s="128">
        <v>0</v>
      </c>
      <c r="F37" s="128">
        <v>0</v>
      </c>
      <c r="G37" s="128">
        <v>0</v>
      </c>
      <c r="H37" s="128">
        <v>0</v>
      </c>
      <c r="I37" s="128">
        <v>0</v>
      </c>
      <c r="J37" s="128">
        <v>0</v>
      </c>
      <c r="K37" s="128">
        <v>0</v>
      </c>
      <c r="L37" s="128">
        <v>0</v>
      </c>
      <c r="M37" s="128">
        <v>0</v>
      </c>
      <c r="N37" s="128">
        <v>0</v>
      </c>
      <c r="O37" s="128">
        <v>0</v>
      </c>
      <c r="P37" s="119">
        <f t="shared" si="5"/>
        <v>-4702.1400000000003</v>
      </c>
      <c r="Q37" s="21">
        <f t="shared" si="6"/>
        <v>2.6503905292224759E-2</v>
      </c>
      <c r="S37" s="98">
        <f t="shared" si="0"/>
        <v>-4702.1400000000003</v>
      </c>
      <c r="T37" s="98">
        <f t="shared" si="1"/>
        <v>0</v>
      </c>
      <c r="U37" s="98">
        <f t="shared" si="2"/>
        <v>4702.1400000000003</v>
      </c>
    </row>
    <row r="38" spans="1:21" x14ac:dyDescent="0.25">
      <c r="A38" s="114" t="s">
        <v>97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28">
        <v>0</v>
      </c>
      <c r="N38" s="128">
        <v>0</v>
      </c>
      <c r="O38" s="128">
        <v>0</v>
      </c>
      <c r="P38" s="119">
        <f t="shared" si="5"/>
        <v>0</v>
      </c>
      <c r="Q38" s="21">
        <f t="shared" si="6"/>
        <v>0</v>
      </c>
      <c r="S38" s="98">
        <f t="shared" si="0"/>
        <v>0</v>
      </c>
      <c r="T38" s="98">
        <f t="shared" si="1"/>
        <v>0</v>
      </c>
      <c r="U38" s="98">
        <f t="shared" si="2"/>
        <v>0</v>
      </c>
    </row>
    <row r="39" spans="1:21" x14ac:dyDescent="0.25">
      <c r="A39" s="114" t="s">
        <v>114</v>
      </c>
      <c r="B39" s="128">
        <v>0</v>
      </c>
      <c r="C39" s="128">
        <v>-2213.4299999999998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28">
        <v>0</v>
      </c>
      <c r="O39" s="128">
        <v>0</v>
      </c>
      <c r="P39" s="119">
        <f t="shared" si="5"/>
        <v>-2213.4299999999998</v>
      </c>
      <c r="Q39" s="21">
        <f t="shared" si="6"/>
        <v>1.2476136204147269E-2</v>
      </c>
      <c r="S39" s="98">
        <f t="shared" si="0"/>
        <v>-2213.4299999999998</v>
      </c>
      <c r="T39" s="98">
        <f t="shared" si="1"/>
        <v>0</v>
      </c>
      <c r="U39" s="98">
        <f t="shared" si="2"/>
        <v>2213.4299999999998</v>
      </c>
    </row>
    <row r="40" spans="1:21" x14ac:dyDescent="0.25">
      <c r="A40" s="131" t="s">
        <v>31</v>
      </c>
      <c r="B40" s="132">
        <f t="shared" ref="B40:O40" si="7">SUM(B14:B39)</f>
        <v>-77.83</v>
      </c>
      <c r="C40" s="132">
        <f t="shared" ref="C40" si="8">SUM(C14:C39)</f>
        <v>-125818.82</v>
      </c>
      <c r="D40" s="132">
        <f t="shared" si="7"/>
        <v>-907.75000000000011</v>
      </c>
      <c r="E40" s="132">
        <f t="shared" si="7"/>
        <v>-77.83</v>
      </c>
      <c r="F40" s="132">
        <f t="shared" si="7"/>
        <v>-77.83</v>
      </c>
      <c r="G40" s="132">
        <f t="shared" si="7"/>
        <v>-77.83</v>
      </c>
      <c r="H40" s="132">
        <f t="shared" si="7"/>
        <v>0</v>
      </c>
      <c r="I40" s="132">
        <f t="shared" si="7"/>
        <v>0</v>
      </c>
      <c r="J40" s="132">
        <f t="shared" si="7"/>
        <v>0</v>
      </c>
      <c r="K40" s="132">
        <f t="shared" si="7"/>
        <v>0</v>
      </c>
      <c r="L40" s="132">
        <f t="shared" si="7"/>
        <v>0</v>
      </c>
      <c r="M40" s="132">
        <f t="shared" si="7"/>
        <v>0</v>
      </c>
      <c r="N40" s="132">
        <f t="shared" si="7"/>
        <v>0</v>
      </c>
      <c r="O40" s="132">
        <f t="shared" si="7"/>
        <v>0</v>
      </c>
      <c r="P40" s="132">
        <f>SUM(P14:P39)</f>
        <v>-127037.89</v>
      </c>
      <c r="Q40" s="21">
        <f t="shared" si="6"/>
        <v>0.71605698789999161</v>
      </c>
      <c r="S40" s="98">
        <f t="shared" si="0"/>
        <v>-127037.89000000001</v>
      </c>
      <c r="T40" s="98">
        <f t="shared" si="1"/>
        <v>0</v>
      </c>
      <c r="U40" s="98">
        <f t="shared" si="2"/>
        <v>126960.06</v>
      </c>
    </row>
    <row r="41" spans="1:21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25"/>
      <c r="Q41" s="159"/>
      <c r="S41" s="98">
        <f t="shared" si="0"/>
        <v>0</v>
      </c>
      <c r="T41" s="98">
        <f t="shared" si="1"/>
        <v>0</v>
      </c>
      <c r="U41" s="98">
        <f t="shared" si="2"/>
        <v>0</v>
      </c>
    </row>
    <row r="42" spans="1:21" x14ac:dyDescent="0.25">
      <c r="A42" s="135" t="s">
        <v>32</v>
      </c>
      <c r="B42" s="136">
        <f t="shared" ref="B42:N42" si="9">B11+B40</f>
        <v>-77.83</v>
      </c>
      <c r="C42" s="165">
        <f t="shared" ref="C42" si="10">C11+C40</f>
        <v>51594.28</v>
      </c>
      <c r="D42" s="136">
        <f t="shared" si="9"/>
        <v>-907.75000000000011</v>
      </c>
      <c r="E42" s="136">
        <f t="shared" si="9"/>
        <v>-77.83</v>
      </c>
      <c r="F42" s="136">
        <f t="shared" si="9"/>
        <v>-77.83</v>
      </c>
      <c r="G42" s="136">
        <f t="shared" si="9"/>
        <v>-77.83</v>
      </c>
      <c r="H42" s="136">
        <f t="shared" si="9"/>
        <v>0</v>
      </c>
      <c r="I42" s="136">
        <f t="shared" si="9"/>
        <v>0</v>
      </c>
      <c r="J42" s="165">
        <f t="shared" si="9"/>
        <v>0</v>
      </c>
      <c r="K42" s="136">
        <f t="shared" si="9"/>
        <v>0</v>
      </c>
      <c r="L42" s="136">
        <f t="shared" si="9"/>
        <v>0</v>
      </c>
      <c r="M42" s="136">
        <f t="shared" si="9"/>
        <v>0</v>
      </c>
      <c r="N42" s="136">
        <f t="shared" si="9"/>
        <v>0</v>
      </c>
      <c r="O42" s="136">
        <f>O11+O40</f>
        <v>0</v>
      </c>
      <c r="P42" s="166">
        <f>SUM(B42:O42)</f>
        <v>50375.209999999992</v>
      </c>
      <c r="Q42" s="21">
        <f>P42/$P$11</f>
        <v>0.28394301210000833</v>
      </c>
      <c r="S42" s="98">
        <f t="shared" si="0"/>
        <v>50375.209999999992</v>
      </c>
      <c r="T42" s="98">
        <f t="shared" si="1"/>
        <v>0</v>
      </c>
      <c r="U42" s="98">
        <f t="shared" si="2"/>
        <v>-50453.039999999994</v>
      </c>
    </row>
    <row r="43" spans="1:21" x14ac:dyDescent="0.25">
      <c r="A43" s="13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62"/>
      <c r="S43" s="98">
        <f t="shared" si="0"/>
        <v>0</v>
      </c>
      <c r="T43" s="98">
        <f t="shared" si="1"/>
        <v>0</v>
      </c>
      <c r="U43" s="98">
        <f t="shared" si="2"/>
        <v>0</v>
      </c>
    </row>
    <row r="44" spans="1:21" x14ac:dyDescent="0.25">
      <c r="A44" s="126" t="s">
        <v>56</v>
      </c>
      <c r="B44" s="139">
        <f>-B9*13.15%</f>
        <v>0</v>
      </c>
      <c r="C44" s="139">
        <f>-C9*13.15%</f>
        <v>0</v>
      </c>
      <c r="D44" s="139">
        <f t="shared" ref="D44:O44" si="11">-D9*13.15%</f>
        <v>0</v>
      </c>
      <c r="E44" s="139">
        <f t="shared" si="11"/>
        <v>0</v>
      </c>
      <c r="F44" s="139">
        <f>-F9*13.15%</f>
        <v>0</v>
      </c>
      <c r="G44" s="139">
        <f t="shared" si="11"/>
        <v>0</v>
      </c>
      <c r="H44" s="139">
        <f t="shared" si="11"/>
        <v>0</v>
      </c>
      <c r="I44" s="139">
        <f t="shared" si="11"/>
        <v>0</v>
      </c>
      <c r="J44" s="139">
        <f t="shared" si="11"/>
        <v>0</v>
      </c>
      <c r="K44" s="139">
        <f t="shared" si="11"/>
        <v>0</v>
      </c>
      <c r="L44" s="139">
        <f t="shared" si="11"/>
        <v>0</v>
      </c>
      <c r="M44" s="139">
        <f t="shared" si="11"/>
        <v>0</v>
      </c>
      <c r="N44" s="139">
        <f t="shared" si="11"/>
        <v>0</v>
      </c>
      <c r="O44" s="139">
        <f t="shared" si="11"/>
        <v>0</v>
      </c>
      <c r="P44" s="119">
        <f t="shared" ref="P44" si="12">SUM(B44:O44)</f>
        <v>0</v>
      </c>
      <c r="Q44" s="21">
        <f t="shared" si="6"/>
        <v>0</v>
      </c>
      <c r="S44" s="98">
        <f>SUM(B44:O44)</f>
        <v>0</v>
      </c>
      <c r="T44" s="98">
        <f t="shared" si="1"/>
        <v>0</v>
      </c>
      <c r="U44" s="98">
        <f t="shared" si="2"/>
        <v>0</v>
      </c>
    </row>
    <row r="45" spans="1:21" x14ac:dyDescent="0.25">
      <c r="A45" s="137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62"/>
      <c r="S45" s="98">
        <f t="shared" si="0"/>
        <v>0</v>
      </c>
      <c r="T45" s="98">
        <f t="shared" si="1"/>
        <v>0</v>
      </c>
      <c r="U45" s="98">
        <f t="shared" si="2"/>
        <v>0</v>
      </c>
    </row>
    <row r="46" spans="1:21" x14ac:dyDescent="0.25">
      <c r="A46" s="126" t="s">
        <v>33</v>
      </c>
      <c r="B46" s="139">
        <f t="shared" ref="B46:O46" si="13">-B9*1.22%</f>
        <v>0</v>
      </c>
      <c r="C46" s="139">
        <f t="shared" ref="C46" si="14">-C9*1.22%</f>
        <v>0</v>
      </c>
      <c r="D46" s="139">
        <f t="shared" si="13"/>
        <v>0</v>
      </c>
      <c r="E46" s="139">
        <f t="shared" si="13"/>
        <v>0</v>
      </c>
      <c r="F46" s="139">
        <f t="shared" si="13"/>
        <v>0</v>
      </c>
      <c r="G46" s="139">
        <f t="shared" si="13"/>
        <v>0</v>
      </c>
      <c r="H46" s="139">
        <f t="shared" si="13"/>
        <v>0</v>
      </c>
      <c r="I46" s="139">
        <f t="shared" si="13"/>
        <v>0</v>
      </c>
      <c r="J46" s="139">
        <f t="shared" si="13"/>
        <v>0</v>
      </c>
      <c r="K46" s="139">
        <f t="shared" si="13"/>
        <v>0</v>
      </c>
      <c r="L46" s="139">
        <f t="shared" si="13"/>
        <v>0</v>
      </c>
      <c r="M46" s="139">
        <f t="shared" si="13"/>
        <v>0</v>
      </c>
      <c r="N46" s="139">
        <f t="shared" si="13"/>
        <v>0</v>
      </c>
      <c r="O46" s="139">
        <f t="shared" si="13"/>
        <v>0</v>
      </c>
      <c r="P46" s="119">
        <f t="shared" ref="P46" si="15">SUM(B46:O46)</f>
        <v>0</v>
      </c>
      <c r="Q46" s="21">
        <f t="shared" si="6"/>
        <v>0</v>
      </c>
      <c r="S46" s="98">
        <f t="shared" si="0"/>
        <v>0</v>
      </c>
      <c r="T46" s="98">
        <f t="shared" si="1"/>
        <v>0</v>
      </c>
      <c r="U46" s="98">
        <f t="shared" si="2"/>
        <v>0</v>
      </c>
    </row>
    <row r="47" spans="1:21" x14ac:dyDescent="0.2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62"/>
      <c r="S47" s="98">
        <f t="shared" si="0"/>
        <v>0</v>
      </c>
      <c r="T47" s="98">
        <f t="shared" si="1"/>
        <v>0</v>
      </c>
      <c r="U47" s="98">
        <f t="shared" si="2"/>
        <v>0</v>
      </c>
    </row>
    <row r="48" spans="1:21" x14ac:dyDescent="0.25">
      <c r="A48" s="113" t="s">
        <v>57</v>
      </c>
      <c r="B48" s="142">
        <f t="shared" ref="B48:N48" si="16">B40*5.56%</f>
        <v>-4.3273479999999998</v>
      </c>
      <c r="C48" s="142">
        <f t="shared" ref="C48" si="17">C40*5.56%</f>
        <v>-6995.5263919999998</v>
      </c>
      <c r="D48" s="142">
        <f t="shared" si="16"/>
        <v>-50.4709</v>
      </c>
      <c r="E48" s="142">
        <f t="shared" si="16"/>
        <v>-4.3273479999999998</v>
      </c>
      <c r="F48" s="142">
        <f t="shared" si="16"/>
        <v>-4.3273479999999998</v>
      </c>
      <c r="G48" s="142">
        <f t="shared" si="16"/>
        <v>-4.3273479999999998</v>
      </c>
      <c r="H48" s="142">
        <f t="shared" si="16"/>
        <v>0</v>
      </c>
      <c r="I48" s="142">
        <f t="shared" si="16"/>
        <v>0</v>
      </c>
      <c r="J48" s="142">
        <f t="shared" si="16"/>
        <v>0</v>
      </c>
      <c r="K48" s="142">
        <f t="shared" si="16"/>
        <v>0</v>
      </c>
      <c r="L48" s="142">
        <f t="shared" si="16"/>
        <v>0</v>
      </c>
      <c r="M48" s="142">
        <f t="shared" si="16"/>
        <v>0</v>
      </c>
      <c r="N48" s="142">
        <f t="shared" si="16"/>
        <v>0</v>
      </c>
      <c r="O48" s="142">
        <f>O40*5.56%</f>
        <v>0</v>
      </c>
      <c r="P48" s="119">
        <f t="shared" ref="P48" si="18">SUM(B48:O48)</f>
        <v>-7063.3066839999992</v>
      </c>
      <c r="Q48" s="21">
        <f t="shared" si="6"/>
        <v>3.9812768527239528E-2</v>
      </c>
      <c r="S48" s="98">
        <f t="shared" si="0"/>
        <v>-7063.3066839999992</v>
      </c>
      <c r="T48" s="98">
        <f t="shared" si="1"/>
        <v>0</v>
      </c>
      <c r="U48" s="98">
        <f t="shared" si="2"/>
        <v>7058.9793359999994</v>
      </c>
    </row>
    <row r="49" spans="1:21" x14ac:dyDescent="0.2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62"/>
      <c r="S49" s="98">
        <f t="shared" si="0"/>
        <v>0</v>
      </c>
      <c r="T49" s="98">
        <f t="shared" si="1"/>
        <v>0</v>
      </c>
      <c r="U49" s="98">
        <f t="shared" si="2"/>
        <v>0</v>
      </c>
    </row>
    <row r="50" spans="1:21" x14ac:dyDescent="0.25">
      <c r="A50" s="113" t="s">
        <v>58</v>
      </c>
      <c r="B50" s="142">
        <f>B40*0.01%</f>
        <v>-7.783E-3</v>
      </c>
      <c r="C50" s="142">
        <f>C40*0.01%</f>
        <v>-12.581882000000002</v>
      </c>
      <c r="D50" s="142">
        <f t="shared" ref="D50:N50" si="19">D40*0.01%</f>
        <v>-9.0775000000000022E-2</v>
      </c>
      <c r="E50" s="142">
        <f t="shared" si="19"/>
        <v>-7.783E-3</v>
      </c>
      <c r="F50" s="142">
        <f t="shared" si="19"/>
        <v>-7.783E-3</v>
      </c>
      <c r="G50" s="142">
        <f t="shared" si="19"/>
        <v>-7.783E-3</v>
      </c>
      <c r="H50" s="142">
        <f t="shared" si="19"/>
        <v>0</v>
      </c>
      <c r="I50" s="142">
        <f t="shared" si="19"/>
        <v>0</v>
      </c>
      <c r="J50" s="142">
        <f t="shared" si="19"/>
        <v>0</v>
      </c>
      <c r="K50" s="142">
        <f t="shared" si="19"/>
        <v>0</v>
      </c>
      <c r="L50" s="142">
        <f t="shared" si="19"/>
        <v>0</v>
      </c>
      <c r="M50" s="142">
        <f t="shared" si="19"/>
        <v>0</v>
      </c>
      <c r="N50" s="142">
        <f t="shared" si="19"/>
        <v>0</v>
      </c>
      <c r="O50" s="142">
        <f>O40*0.01%</f>
        <v>0</v>
      </c>
      <c r="P50" s="119">
        <f t="shared" ref="P50" si="20">SUM(B50:O50)</f>
        <v>-12.703789000000002</v>
      </c>
      <c r="Q50" s="21">
        <f t="shared" si="6"/>
        <v>7.1605698789999175E-5</v>
      </c>
      <c r="S50" s="98">
        <f t="shared" si="0"/>
        <v>-12.703789000000002</v>
      </c>
      <c r="T50" s="98">
        <f t="shared" si="1"/>
        <v>0</v>
      </c>
      <c r="U50" s="98">
        <f t="shared" si="2"/>
        <v>12.696006000000002</v>
      </c>
    </row>
    <row r="51" spans="1:21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62"/>
      <c r="S51" s="98">
        <f t="shared" si="0"/>
        <v>0</v>
      </c>
      <c r="T51" s="98">
        <f t="shared" si="1"/>
        <v>0</v>
      </c>
      <c r="U51" s="98">
        <f t="shared" si="2"/>
        <v>0</v>
      </c>
    </row>
    <row r="52" spans="1:21" x14ac:dyDescent="0.25">
      <c r="A52" s="135" t="s">
        <v>207</v>
      </c>
      <c r="B52" s="136">
        <f>B42+B48+B50+B44+B46</f>
        <v>-82.165131000000002</v>
      </c>
      <c r="C52" s="165">
        <f>C42+C48+C50+C44+C46</f>
        <v>44586.171726</v>
      </c>
      <c r="D52" s="136">
        <f>D42+D48+D50+D44+D46</f>
        <v>-958.31167500000015</v>
      </c>
      <c r="E52" s="136">
        <f>E42+E48+E50+E44+E46</f>
        <v>-82.165131000000002</v>
      </c>
      <c r="F52" s="136">
        <f t="shared" ref="F52:N52" si="21">F42+F48+F50+F44+F46</f>
        <v>-82.165131000000002</v>
      </c>
      <c r="G52" s="136">
        <f t="shared" si="21"/>
        <v>-82.165131000000002</v>
      </c>
      <c r="H52" s="136">
        <f t="shared" si="21"/>
        <v>0</v>
      </c>
      <c r="I52" s="136">
        <f t="shared" si="21"/>
        <v>0</v>
      </c>
      <c r="J52" s="165">
        <f t="shared" si="21"/>
        <v>0</v>
      </c>
      <c r="K52" s="136">
        <f t="shared" si="21"/>
        <v>0</v>
      </c>
      <c r="L52" s="136">
        <f t="shared" si="21"/>
        <v>0</v>
      </c>
      <c r="M52" s="136">
        <f t="shared" si="21"/>
        <v>0</v>
      </c>
      <c r="N52" s="136">
        <f t="shared" si="21"/>
        <v>0</v>
      </c>
      <c r="O52" s="136">
        <f>O42+O48+O50+O44+O46</f>
        <v>0</v>
      </c>
      <c r="P52" s="166">
        <f>SUM(B52:O52)</f>
        <v>43299.199526999997</v>
      </c>
      <c r="Q52" s="21">
        <f>P52/$P$11</f>
        <v>0.24405863787397883</v>
      </c>
      <c r="S52" s="98">
        <f>SUM(B52:O52)</f>
        <v>43299.199526999997</v>
      </c>
      <c r="T52" s="98">
        <f t="shared" si="1"/>
        <v>0</v>
      </c>
      <c r="U52" s="98">
        <f t="shared" si="2"/>
        <v>-43381.364657999999</v>
      </c>
    </row>
    <row r="53" spans="1:21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63"/>
    </row>
    <row r="54" spans="1:21" x14ac:dyDescent="0.25">
      <c r="A54" s="144" t="s">
        <v>35</v>
      </c>
      <c r="B54" s="13"/>
      <c r="C54" s="13"/>
      <c r="D54" s="13">
        <v>2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45"/>
      <c r="Q54" s="163"/>
    </row>
    <row r="55" spans="1:21" x14ac:dyDescent="0.25">
      <c r="A55" s="80"/>
      <c r="B55" s="109"/>
      <c r="C55" s="109"/>
      <c r="D55" s="183" t="s">
        <v>140</v>
      </c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53"/>
    </row>
    <row r="56" spans="1:21" x14ac:dyDescent="0.25">
      <c r="A56" s="146" t="s">
        <v>36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64">
        <v>46203</v>
      </c>
    </row>
    <row r="57" spans="1:21" x14ac:dyDescent="0.25">
      <c r="B57" s="98">
        <f>B11+B40+B44+B46+B48+B50</f>
        <v>-82.165131000000002</v>
      </c>
      <c r="C57" s="98">
        <f>C11+C40+C44+C46+C48+C50</f>
        <v>44586.171726</v>
      </c>
      <c r="D57" s="98">
        <f t="shared" ref="D57:O57" si="22">D11+D40+D44+D46+D48+D50</f>
        <v>-958.31167500000015</v>
      </c>
      <c r="E57" s="98">
        <f t="shared" si="22"/>
        <v>-82.165131000000002</v>
      </c>
      <c r="F57" s="98">
        <f t="shared" si="22"/>
        <v>-82.165131000000002</v>
      </c>
      <c r="G57" s="98">
        <f t="shared" si="22"/>
        <v>-82.165131000000002</v>
      </c>
      <c r="H57" s="98">
        <f t="shared" si="22"/>
        <v>0</v>
      </c>
      <c r="I57" s="98">
        <f t="shared" si="22"/>
        <v>0</v>
      </c>
      <c r="J57" s="98">
        <f t="shared" si="22"/>
        <v>0</v>
      </c>
      <c r="K57" s="98">
        <f t="shared" si="22"/>
        <v>0</v>
      </c>
      <c r="L57" s="98">
        <f t="shared" si="22"/>
        <v>0</v>
      </c>
      <c r="M57" s="98">
        <f t="shared" si="22"/>
        <v>0</v>
      </c>
      <c r="N57" s="98">
        <f t="shared" si="22"/>
        <v>0</v>
      </c>
      <c r="O57" s="98">
        <f t="shared" si="22"/>
        <v>0</v>
      </c>
      <c r="P57" s="98">
        <f>P11+P40+P44+P46+P48+P50</f>
        <v>43299.199527000012</v>
      </c>
      <c r="Q57" s="153"/>
    </row>
    <row r="58" spans="1:21" x14ac:dyDescent="0.25">
      <c r="Q58" s="153"/>
    </row>
    <row r="59" spans="1:21" x14ac:dyDescent="0.25">
      <c r="B59" s="98">
        <f>B57-B52</f>
        <v>0</v>
      </c>
      <c r="C59" s="98">
        <f>C57-C52</f>
        <v>0</v>
      </c>
      <c r="D59" s="98">
        <f t="shared" ref="D59:P59" si="23">D57-D52</f>
        <v>0</v>
      </c>
      <c r="E59" s="98">
        <f t="shared" si="23"/>
        <v>0</v>
      </c>
      <c r="F59" s="98">
        <f t="shared" si="23"/>
        <v>0</v>
      </c>
      <c r="G59" s="98">
        <f t="shared" si="23"/>
        <v>0</v>
      </c>
      <c r="H59" s="98">
        <f t="shared" si="23"/>
        <v>0</v>
      </c>
      <c r="I59" s="98">
        <f t="shared" si="23"/>
        <v>0</v>
      </c>
      <c r="J59" s="98">
        <f t="shared" si="23"/>
        <v>0</v>
      </c>
      <c r="K59" s="98">
        <f t="shared" si="23"/>
        <v>0</v>
      </c>
      <c r="L59" s="98">
        <f t="shared" si="23"/>
        <v>0</v>
      </c>
      <c r="M59" s="98">
        <f t="shared" si="23"/>
        <v>0</v>
      </c>
      <c r="N59" s="98">
        <f t="shared" si="23"/>
        <v>0</v>
      </c>
      <c r="O59" s="98">
        <f t="shared" si="23"/>
        <v>0</v>
      </c>
      <c r="P59" s="98">
        <f t="shared" si="23"/>
        <v>0</v>
      </c>
      <c r="Q59" s="153"/>
    </row>
    <row r="60" spans="1:21" x14ac:dyDescent="0.25">
      <c r="Q60" s="153"/>
    </row>
  </sheetData>
  <mergeCells count="3">
    <mergeCell ref="A1:P1"/>
    <mergeCell ref="A3:P3"/>
    <mergeCell ref="A5:Q5"/>
  </mergeCells>
  <printOptions horizontalCentered="1" verticalCentered="1"/>
  <pageMargins left="7.874015748031496E-2" right="0" top="0.11811023622047245" bottom="0" header="0.11811023622047245" footer="0"/>
  <pageSetup paperSize="9" scale="71" orientation="landscape" r:id="rId1"/>
  <headerFooter>
    <oddHeader xml:space="preserve">&amp;L&amp;"-,Negrito"&amp;14                                                                                                                  BELA NOVA CONSTRUTORA LTDA
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9"/>
  </sheetPr>
  <dimension ref="A1:S60"/>
  <sheetViews>
    <sheetView zoomScale="85" zoomScaleNormal="85" workbookViewId="0">
      <pane xSplit="1" topLeftCell="B1" activePane="topRight" state="frozen"/>
      <selection activeCell="E21" sqref="E21"/>
      <selection pane="topRight" activeCell="G12" sqref="G12"/>
    </sheetView>
  </sheetViews>
  <sheetFormatPr defaultRowHeight="15" x14ac:dyDescent="0.25"/>
  <cols>
    <col min="1" max="1" width="44.85546875" customWidth="1"/>
    <col min="2" max="3" width="16.140625" bestFit="1" customWidth="1"/>
    <col min="4" max="4" width="16.28515625" customWidth="1"/>
    <col min="5" max="5" width="17.7109375" customWidth="1"/>
    <col min="6" max="6" width="15" customWidth="1"/>
    <col min="7" max="7" width="15.7109375" customWidth="1"/>
    <col min="8" max="8" width="17.7109375" customWidth="1"/>
    <col min="9" max="11" width="16.140625" hidden="1" customWidth="1"/>
    <col min="12" max="12" width="14.7109375" hidden="1" customWidth="1"/>
    <col min="13" max="13" width="16.85546875" hidden="1" customWidth="1"/>
    <col min="14" max="14" width="16.7109375" hidden="1" customWidth="1"/>
    <col min="15" max="15" width="16.140625" bestFit="1" customWidth="1"/>
    <col min="16" max="16" width="11.28515625" bestFit="1" customWidth="1"/>
    <col min="17" max="17" width="6.7109375" customWidth="1"/>
    <col min="18" max="18" width="14.28515625" bestFit="1" customWidth="1"/>
  </cols>
  <sheetData>
    <row r="1" spans="1:19" ht="15.75" x14ac:dyDescent="0.25">
      <c r="A1" s="203" t="s">
        <v>255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</row>
    <row r="2" spans="1:19" ht="11.25" customHeight="1" x14ac:dyDescent="0.25">
      <c r="A2" s="108"/>
      <c r="B2" s="109"/>
      <c r="C2" s="109"/>
      <c r="D2" s="109"/>
    </row>
    <row r="3" spans="1:19" ht="15.75" x14ac:dyDescent="0.25">
      <c r="A3" s="203" t="s">
        <v>256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</row>
    <row r="4" spans="1:19" ht="10.5" customHeight="1" x14ac:dyDescent="0.25">
      <c r="A4" s="108"/>
      <c r="B4" s="109"/>
      <c r="C4" s="109"/>
      <c r="D4" s="109"/>
    </row>
    <row r="5" spans="1:19" ht="12" customHeight="1" x14ac:dyDescent="0.25">
      <c r="A5" s="209" t="s">
        <v>257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</row>
    <row r="6" spans="1:19" ht="10.5" customHeight="1" x14ac:dyDescent="0.25">
      <c r="A6" s="110"/>
      <c r="B6" s="109"/>
      <c r="C6" s="109"/>
      <c r="D6" s="109"/>
    </row>
    <row r="7" spans="1:19" x14ac:dyDescent="0.25">
      <c r="A7" s="111"/>
      <c r="B7" s="60" t="s">
        <v>303</v>
      </c>
      <c r="C7" s="60" t="s">
        <v>304</v>
      </c>
      <c r="D7" s="60" t="s">
        <v>305</v>
      </c>
      <c r="E7" s="60" t="s">
        <v>306</v>
      </c>
      <c r="F7" s="60" t="s">
        <v>307</v>
      </c>
      <c r="G7" s="60" t="s">
        <v>308</v>
      </c>
      <c r="H7" s="60" t="s">
        <v>309</v>
      </c>
      <c r="I7" s="60" t="s">
        <v>310</v>
      </c>
      <c r="J7" s="60" t="s">
        <v>311</v>
      </c>
      <c r="K7" s="60" t="s">
        <v>312</v>
      </c>
      <c r="L7" s="60" t="s">
        <v>313</v>
      </c>
      <c r="M7" s="60" t="s">
        <v>314</v>
      </c>
      <c r="N7" s="60" t="s">
        <v>225</v>
      </c>
      <c r="O7" s="113" t="s">
        <v>1</v>
      </c>
      <c r="P7" s="158" t="s">
        <v>2</v>
      </c>
    </row>
    <row r="8" spans="1:19" x14ac:dyDescent="0.25">
      <c r="A8" s="114" t="s">
        <v>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6"/>
      <c r="P8" s="159"/>
    </row>
    <row r="9" spans="1:19" x14ac:dyDescent="0.25">
      <c r="A9" s="117" t="s">
        <v>4</v>
      </c>
      <c r="B9" s="118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  <c r="O9" s="119">
        <f>SUM(B9:N9)</f>
        <v>0</v>
      </c>
      <c r="P9" s="21">
        <v>1</v>
      </c>
      <c r="R9" s="98">
        <f>SUM(A9:N9)</f>
        <v>0</v>
      </c>
      <c r="S9" s="98">
        <f>R9-O9</f>
        <v>0</v>
      </c>
    </row>
    <row r="10" spans="1:19" x14ac:dyDescent="0.25">
      <c r="A10" s="114" t="s">
        <v>5</v>
      </c>
      <c r="B10" s="118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  <c r="O10" s="119">
        <f>SUM(B10:N10)</f>
        <v>0</v>
      </c>
      <c r="P10" s="21"/>
      <c r="R10" s="98">
        <f t="shared" ref="R10:R51" si="0">SUM(A10:N10)</f>
        <v>0</v>
      </c>
      <c r="S10" s="98">
        <f t="shared" ref="S10:S52" si="1">R10-O10</f>
        <v>0</v>
      </c>
    </row>
    <row r="11" spans="1:19" x14ac:dyDescent="0.25">
      <c r="A11" s="121" t="s">
        <v>6</v>
      </c>
      <c r="B11" s="122">
        <f t="shared" ref="B11" si="2">SUM(B9:B10)</f>
        <v>0</v>
      </c>
      <c r="C11" s="122">
        <f t="shared" ref="C11:M11" si="3">SUM(C9:C10)</f>
        <v>0</v>
      </c>
      <c r="D11" s="122">
        <f t="shared" si="3"/>
        <v>0</v>
      </c>
      <c r="E11" s="122">
        <f t="shared" si="3"/>
        <v>0</v>
      </c>
      <c r="F11" s="122">
        <f t="shared" si="3"/>
        <v>0</v>
      </c>
      <c r="G11" s="122">
        <f t="shared" si="3"/>
        <v>0</v>
      </c>
      <c r="H11" s="122">
        <f t="shared" si="3"/>
        <v>0</v>
      </c>
      <c r="I11" s="122">
        <f t="shared" si="3"/>
        <v>0</v>
      </c>
      <c r="J11" s="122">
        <f t="shared" si="3"/>
        <v>0</v>
      </c>
      <c r="K11" s="122">
        <f t="shared" si="3"/>
        <v>0</v>
      </c>
      <c r="L11" s="122">
        <f t="shared" si="3"/>
        <v>0</v>
      </c>
      <c r="M11" s="122">
        <f t="shared" si="3"/>
        <v>0</v>
      </c>
      <c r="N11" s="122">
        <f>SUM(N9:N10)</f>
        <v>0</v>
      </c>
      <c r="O11" s="122">
        <f>SUM(O9:O10)</f>
        <v>0</v>
      </c>
      <c r="P11" s="21">
        <v>1</v>
      </c>
      <c r="R11" s="98">
        <f>SUM(A11:N11)</f>
        <v>0</v>
      </c>
      <c r="S11" s="98">
        <f t="shared" si="1"/>
        <v>0</v>
      </c>
    </row>
    <row r="12" spans="1:19" x14ac:dyDescent="0.25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5"/>
      <c r="P12" s="160"/>
      <c r="R12" s="98">
        <f t="shared" si="0"/>
        <v>0</v>
      </c>
      <c r="S12" s="98">
        <f t="shared" si="1"/>
        <v>0</v>
      </c>
    </row>
    <row r="13" spans="1:19" x14ac:dyDescent="0.25">
      <c r="A13" s="126" t="s">
        <v>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/>
      <c r="P13" s="161"/>
      <c r="R13" s="98">
        <f t="shared" si="0"/>
        <v>0</v>
      </c>
      <c r="S13" s="98">
        <f t="shared" si="1"/>
        <v>0</v>
      </c>
    </row>
    <row r="14" spans="1:19" x14ac:dyDescent="0.25">
      <c r="A14" s="114" t="s">
        <v>8</v>
      </c>
      <c r="B14" s="128">
        <v>-56591.88</v>
      </c>
      <c r="C14" s="128">
        <v>-4757.8900000000003</v>
      </c>
      <c r="D14" s="128">
        <v>-1869.32</v>
      </c>
      <c r="E14" s="128">
        <v>-901.6</v>
      </c>
      <c r="F14" s="128">
        <v>-462.96</v>
      </c>
      <c r="G14" s="128">
        <v>0</v>
      </c>
      <c r="H14" s="128">
        <v>0</v>
      </c>
      <c r="I14" s="128">
        <v>0</v>
      </c>
      <c r="J14" s="128">
        <v>0</v>
      </c>
      <c r="K14" s="128">
        <v>0</v>
      </c>
      <c r="L14" s="128">
        <v>0</v>
      </c>
      <c r="M14" s="128">
        <v>0</v>
      </c>
      <c r="N14" s="128">
        <v>0</v>
      </c>
      <c r="O14" s="119">
        <f>SUM(B14:N14)</f>
        <v>-64583.649999999994</v>
      </c>
      <c r="P14" s="21"/>
      <c r="R14" s="98">
        <f>SUM(A14:N14)</f>
        <v>-64583.649999999994</v>
      </c>
      <c r="S14" s="98">
        <f t="shared" si="1"/>
        <v>0</v>
      </c>
    </row>
    <row r="15" spans="1:19" x14ac:dyDescent="0.25">
      <c r="A15" s="129" t="s">
        <v>9</v>
      </c>
      <c r="B15" s="128">
        <v>0</v>
      </c>
      <c r="C15" s="128">
        <v>0</v>
      </c>
      <c r="D15" s="128">
        <v>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0</v>
      </c>
      <c r="L15" s="128">
        <v>0</v>
      </c>
      <c r="M15" s="128">
        <v>0</v>
      </c>
      <c r="N15" s="128">
        <v>0</v>
      </c>
      <c r="O15" s="119">
        <f t="shared" ref="O15:O39" si="4">SUM(B15:N15)</f>
        <v>0</v>
      </c>
      <c r="P15" s="21"/>
      <c r="R15" s="98">
        <f t="shared" si="0"/>
        <v>0</v>
      </c>
      <c r="S15" s="98">
        <f t="shared" si="1"/>
        <v>0</v>
      </c>
    </row>
    <row r="16" spans="1:19" x14ac:dyDescent="0.25">
      <c r="A16" s="114" t="s">
        <v>10</v>
      </c>
      <c r="B16" s="128">
        <v>0</v>
      </c>
      <c r="C16" s="128">
        <v>0</v>
      </c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28">
        <v>0</v>
      </c>
      <c r="O16" s="119">
        <f t="shared" si="4"/>
        <v>0</v>
      </c>
      <c r="P16" s="21"/>
      <c r="R16" s="98">
        <f t="shared" si="0"/>
        <v>0</v>
      </c>
      <c r="S16" s="98">
        <f t="shared" si="1"/>
        <v>0</v>
      </c>
    </row>
    <row r="17" spans="1:19" x14ac:dyDescent="0.25">
      <c r="A17" s="129" t="s">
        <v>11</v>
      </c>
      <c r="B17" s="128">
        <v>-140.47999999999999</v>
      </c>
      <c r="C17" s="128">
        <v>0</v>
      </c>
      <c r="D17" s="128">
        <v>0</v>
      </c>
      <c r="E17" s="128">
        <v>0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28">
        <v>0</v>
      </c>
      <c r="O17" s="119">
        <f t="shared" si="4"/>
        <v>-140.47999999999999</v>
      </c>
      <c r="P17" s="21"/>
      <c r="R17" s="98">
        <f t="shared" si="0"/>
        <v>-140.47999999999999</v>
      </c>
      <c r="S17" s="98">
        <f t="shared" si="1"/>
        <v>0</v>
      </c>
    </row>
    <row r="18" spans="1:19" x14ac:dyDescent="0.25">
      <c r="A18" s="114" t="s">
        <v>12</v>
      </c>
      <c r="B18" s="128">
        <v>-45370.65</v>
      </c>
      <c r="C18" s="128">
        <v>-977.31</v>
      </c>
      <c r="D18" s="128">
        <v>-692.68</v>
      </c>
      <c r="E18" s="128">
        <v>-346.34</v>
      </c>
      <c r="F18" s="128">
        <v>0</v>
      </c>
      <c r="G18" s="128">
        <v>0</v>
      </c>
      <c r="H18" s="128">
        <v>0</v>
      </c>
      <c r="I18" s="128">
        <v>0</v>
      </c>
      <c r="J18" s="128">
        <v>0</v>
      </c>
      <c r="K18" s="128">
        <v>0</v>
      </c>
      <c r="L18" s="128">
        <v>0</v>
      </c>
      <c r="M18" s="128">
        <v>0</v>
      </c>
      <c r="N18" s="128">
        <v>0</v>
      </c>
      <c r="O18" s="119">
        <f t="shared" si="4"/>
        <v>-47386.979999999996</v>
      </c>
      <c r="P18" s="21"/>
      <c r="R18" s="98">
        <f t="shared" si="0"/>
        <v>-47386.979999999996</v>
      </c>
      <c r="S18" s="98">
        <f t="shared" si="1"/>
        <v>0</v>
      </c>
    </row>
    <row r="19" spans="1:19" x14ac:dyDescent="0.25">
      <c r="A19" s="114" t="s">
        <v>13</v>
      </c>
      <c r="B19" s="128">
        <v>-35940.230000000003</v>
      </c>
      <c r="C19" s="128">
        <v>-1030.48</v>
      </c>
      <c r="D19" s="128">
        <v>-538.62</v>
      </c>
      <c r="E19" s="128">
        <v>-284.68</v>
      </c>
      <c r="F19" s="128">
        <v>0</v>
      </c>
      <c r="G19" s="128">
        <v>0</v>
      </c>
      <c r="H19" s="128">
        <v>0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  <c r="N19" s="128">
        <v>0</v>
      </c>
      <c r="O19" s="119">
        <f t="shared" si="4"/>
        <v>-37794.010000000009</v>
      </c>
      <c r="P19" s="21"/>
      <c r="R19" s="98">
        <f t="shared" si="0"/>
        <v>-37794.010000000009</v>
      </c>
      <c r="S19" s="98">
        <f t="shared" si="1"/>
        <v>0</v>
      </c>
    </row>
    <row r="20" spans="1:19" x14ac:dyDescent="0.25">
      <c r="A20" s="114" t="s">
        <v>14</v>
      </c>
      <c r="B20" s="128">
        <v>-44344.05</v>
      </c>
      <c r="C20" s="128">
        <v>-564.74</v>
      </c>
      <c r="D20" s="128">
        <v>-1702.63</v>
      </c>
      <c r="E20" s="128">
        <v>-1082.3399999999999</v>
      </c>
      <c r="F20" s="128">
        <v>0</v>
      </c>
      <c r="G20" s="128">
        <v>0</v>
      </c>
      <c r="H20" s="128">
        <v>0</v>
      </c>
      <c r="I20" s="128">
        <v>0</v>
      </c>
      <c r="J20" s="128">
        <v>0</v>
      </c>
      <c r="K20" s="128">
        <v>0</v>
      </c>
      <c r="L20" s="128">
        <v>0</v>
      </c>
      <c r="M20" s="128">
        <v>0</v>
      </c>
      <c r="N20" s="128">
        <v>0</v>
      </c>
      <c r="O20" s="119">
        <f t="shared" si="4"/>
        <v>-47693.759999999995</v>
      </c>
      <c r="P20" s="21"/>
      <c r="R20" s="98">
        <f t="shared" si="0"/>
        <v>-47693.759999999995</v>
      </c>
      <c r="S20" s="98">
        <f t="shared" si="1"/>
        <v>0</v>
      </c>
    </row>
    <row r="21" spans="1:19" x14ac:dyDescent="0.25">
      <c r="A21" s="114" t="s">
        <v>15</v>
      </c>
      <c r="B21" s="128">
        <v>0</v>
      </c>
      <c r="C21" s="128">
        <v>0</v>
      </c>
      <c r="D21" s="128">
        <v>0</v>
      </c>
      <c r="E21" s="128">
        <v>0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28">
        <v>0</v>
      </c>
      <c r="N21" s="128">
        <v>0</v>
      </c>
      <c r="O21" s="119">
        <f t="shared" si="4"/>
        <v>0</v>
      </c>
      <c r="P21" s="21"/>
      <c r="R21" s="98">
        <f t="shared" si="0"/>
        <v>0</v>
      </c>
      <c r="S21" s="98">
        <f t="shared" si="1"/>
        <v>0</v>
      </c>
    </row>
    <row r="22" spans="1:19" x14ac:dyDescent="0.25">
      <c r="A22" s="114" t="s">
        <v>16</v>
      </c>
      <c r="B22" s="128">
        <v>0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19">
        <f t="shared" si="4"/>
        <v>0</v>
      </c>
      <c r="P22" s="21"/>
      <c r="R22" s="98">
        <f t="shared" si="0"/>
        <v>0</v>
      </c>
      <c r="S22" s="98">
        <f t="shared" si="1"/>
        <v>0</v>
      </c>
    </row>
    <row r="23" spans="1:19" x14ac:dyDescent="0.25">
      <c r="A23" s="114" t="s">
        <v>17</v>
      </c>
      <c r="B23" s="128">
        <v>-56923.34</v>
      </c>
      <c r="C23" s="128">
        <v>-2867.5</v>
      </c>
      <c r="D23" s="128">
        <v>-1124.19</v>
      </c>
      <c r="E23" s="128">
        <v>-579.79999999999995</v>
      </c>
      <c r="F23" s="128">
        <v>0</v>
      </c>
      <c r="G23" s="128">
        <v>0</v>
      </c>
      <c r="H23" s="128">
        <v>0</v>
      </c>
      <c r="I23" s="128">
        <v>0</v>
      </c>
      <c r="J23" s="128">
        <v>0</v>
      </c>
      <c r="K23" s="128">
        <v>0</v>
      </c>
      <c r="L23" s="128">
        <v>0</v>
      </c>
      <c r="M23" s="128">
        <v>0</v>
      </c>
      <c r="N23" s="128">
        <v>0</v>
      </c>
      <c r="O23" s="119">
        <f t="shared" si="4"/>
        <v>-61494.83</v>
      </c>
      <c r="P23" s="21"/>
      <c r="R23" s="98">
        <f t="shared" si="0"/>
        <v>-61494.83</v>
      </c>
      <c r="S23" s="98">
        <f t="shared" si="1"/>
        <v>0</v>
      </c>
    </row>
    <row r="24" spans="1:19" x14ac:dyDescent="0.25">
      <c r="A24" s="114" t="s">
        <v>18</v>
      </c>
      <c r="B24" s="128">
        <v>0</v>
      </c>
      <c r="C24" s="128">
        <v>0</v>
      </c>
      <c r="D24" s="128">
        <v>0</v>
      </c>
      <c r="E24" s="128">
        <v>0</v>
      </c>
      <c r="F24" s="128">
        <v>0</v>
      </c>
      <c r="G24" s="128">
        <v>0</v>
      </c>
      <c r="H24" s="128">
        <v>0</v>
      </c>
      <c r="I24" s="128">
        <v>0</v>
      </c>
      <c r="J24" s="128">
        <v>0</v>
      </c>
      <c r="K24" s="128">
        <v>0</v>
      </c>
      <c r="L24" s="128">
        <v>0</v>
      </c>
      <c r="M24" s="128">
        <v>0</v>
      </c>
      <c r="N24" s="128">
        <v>0</v>
      </c>
      <c r="O24" s="119">
        <f t="shared" si="4"/>
        <v>0</v>
      </c>
      <c r="P24" s="21"/>
      <c r="R24" s="98">
        <f t="shared" si="0"/>
        <v>0</v>
      </c>
      <c r="S24" s="98">
        <f t="shared" si="1"/>
        <v>0</v>
      </c>
    </row>
    <row r="25" spans="1:19" x14ac:dyDescent="0.25">
      <c r="A25" s="114" t="s">
        <v>19</v>
      </c>
      <c r="B25" s="128">
        <v>0</v>
      </c>
      <c r="C25" s="128">
        <v>0</v>
      </c>
      <c r="D25" s="128">
        <v>0</v>
      </c>
      <c r="E25" s="128">
        <v>0</v>
      </c>
      <c r="F25" s="128">
        <v>0</v>
      </c>
      <c r="G25" s="128">
        <v>0</v>
      </c>
      <c r="H25" s="128">
        <v>0</v>
      </c>
      <c r="I25" s="128">
        <v>0</v>
      </c>
      <c r="J25" s="128">
        <v>0</v>
      </c>
      <c r="K25" s="128">
        <v>0</v>
      </c>
      <c r="L25" s="128">
        <v>0</v>
      </c>
      <c r="M25" s="128">
        <v>0</v>
      </c>
      <c r="N25" s="128">
        <v>0</v>
      </c>
      <c r="O25" s="119">
        <f t="shared" si="4"/>
        <v>0</v>
      </c>
      <c r="P25" s="21"/>
      <c r="R25" s="98">
        <f t="shared" si="0"/>
        <v>0</v>
      </c>
      <c r="S25" s="98">
        <f t="shared" si="1"/>
        <v>0</v>
      </c>
    </row>
    <row r="26" spans="1:19" x14ac:dyDescent="0.25">
      <c r="A26" s="114" t="s">
        <v>20</v>
      </c>
      <c r="B26" s="128">
        <v>0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28">
        <v>0</v>
      </c>
      <c r="L26" s="128">
        <v>0</v>
      </c>
      <c r="M26" s="128">
        <v>0</v>
      </c>
      <c r="N26" s="128">
        <v>0</v>
      </c>
      <c r="O26" s="119">
        <f t="shared" si="4"/>
        <v>0</v>
      </c>
      <c r="P26" s="21"/>
      <c r="R26" s="98">
        <f t="shared" si="0"/>
        <v>0</v>
      </c>
      <c r="S26" s="98">
        <f t="shared" si="1"/>
        <v>0</v>
      </c>
    </row>
    <row r="27" spans="1:19" x14ac:dyDescent="0.25">
      <c r="A27" s="114" t="s">
        <v>59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28">
        <v>0</v>
      </c>
      <c r="L27" s="128">
        <v>0</v>
      </c>
      <c r="M27" s="128">
        <v>0</v>
      </c>
      <c r="N27" s="128">
        <v>0</v>
      </c>
      <c r="O27" s="119">
        <f t="shared" si="4"/>
        <v>0</v>
      </c>
      <c r="P27" s="21"/>
      <c r="R27" s="98">
        <f t="shared" si="0"/>
        <v>0</v>
      </c>
      <c r="S27" s="98">
        <f t="shared" si="1"/>
        <v>0</v>
      </c>
    </row>
    <row r="28" spans="1:19" x14ac:dyDescent="0.25">
      <c r="A28" s="114" t="s">
        <v>21</v>
      </c>
      <c r="B28" s="128">
        <v>-1350</v>
      </c>
      <c r="C28" s="128">
        <v>0</v>
      </c>
      <c r="D28" s="128">
        <v>0</v>
      </c>
      <c r="E28" s="128">
        <v>0</v>
      </c>
      <c r="F28" s="128">
        <v>0</v>
      </c>
      <c r="G28" s="128">
        <v>0</v>
      </c>
      <c r="H28" s="128">
        <v>0</v>
      </c>
      <c r="I28" s="128">
        <v>0</v>
      </c>
      <c r="J28" s="128">
        <v>0</v>
      </c>
      <c r="K28" s="128">
        <v>0</v>
      </c>
      <c r="L28" s="128">
        <v>0</v>
      </c>
      <c r="M28" s="128">
        <v>0</v>
      </c>
      <c r="N28" s="128">
        <v>0</v>
      </c>
      <c r="O28" s="119">
        <f t="shared" si="4"/>
        <v>-1350</v>
      </c>
      <c r="P28" s="21"/>
      <c r="R28" s="98">
        <f t="shared" si="0"/>
        <v>-1350</v>
      </c>
      <c r="S28" s="98">
        <f t="shared" si="1"/>
        <v>0</v>
      </c>
    </row>
    <row r="29" spans="1:19" x14ac:dyDescent="0.25">
      <c r="A29" s="114" t="s">
        <v>22</v>
      </c>
      <c r="B29" s="128">
        <v>0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28">
        <v>0</v>
      </c>
      <c r="O29" s="119">
        <f t="shared" si="4"/>
        <v>0</v>
      </c>
      <c r="P29" s="21"/>
      <c r="R29" s="98">
        <f t="shared" si="0"/>
        <v>0</v>
      </c>
      <c r="S29" s="98">
        <f t="shared" si="1"/>
        <v>0</v>
      </c>
    </row>
    <row r="30" spans="1:19" x14ac:dyDescent="0.25">
      <c r="A30" s="129" t="s">
        <v>23</v>
      </c>
      <c r="B30" s="128">
        <v>-46.97</v>
      </c>
      <c r="C30" s="128">
        <v>0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8">
        <v>0</v>
      </c>
      <c r="K30" s="128">
        <v>0</v>
      </c>
      <c r="L30" s="128">
        <v>0</v>
      </c>
      <c r="M30" s="128">
        <v>0</v>
      </c>
      <c r="N30" s="128">
        <v>0</v>
      </c>
      <c r="O30" s="119">
        <f t="shared" si="4"/>
        <v>-46.97</v>
      </c>
      <c r="P30" s="21"/>
      <c r="R30" s="98">
        <f t="shared" si="0"/>
        <v>-46.97</v>
      </c>
      <c r="S30" s="98">
        <f t="shared" si="1"/>
        <v>0</v>
      </c>
    </row>
    <row r="31" spans="1:19" x14ac:dyDescent="0.25">
      <c r="A31" s="114" t="s">
        <v>24</v>
      </c>
      <c r="B31" s="128">
        <v>-212088.86</v>
      </c>
      <c r="C31" s="128">
        <v>-1727.95</v>
      </c>
      <c r="D31" s="128">
        <v>-1738</v>
      </c>
      <c r="E31" s="128">
        <v>-1289</v>
      </c>
      <c r="F31" s="128">
        <v>-855</v>
      </c>
      <c r="G31" s="128">
        <v>0</v>
      </c>
      <c r="H31" s="128">
        <v>0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28">
        <v>0</v>
      </c>
      <c r="O31" s="119">
        <f t="shared" si="4"/>
        <v>-217698.81</v>
      </c>
      <c r="P31" s="21"/>
      <c r="R31" s="98">
        <f t="shared" si="0"/>
        <v>-217698.81</v>
      </c>
      <c r="S31" s="98">
        <f t="shared" si="1"/>
        <v>0</v>
      </c>
    </row>
    <row r="32" spans="1:19" x14ac:dyDescent="0.25">
      <c r="A32" s="130" t="s">
        <v>25</v>
      </c>
      <c r="B32" s="128">
        <v>-309207.13</v>
      </c>
      <c r="C32" s="128">
        <v>-8134.51</v>
      </c>
      <c r="D32" s="128">
        <v>-5030.74</v>
      </c>
      <c r="E32" s="128">
        <v>-2476.17</v>
      </c>
      <c r="F32" s="128">
        <v>0</v>
      </c>
      <c r="G32" s="128">
        <v>0</v>
      </c>
      <c r="H32" s="128">
        <v>0</v>
      </c>
      <c r="I32" s="128">
        <v>0</v>
      </c>
      <c r="J32" s="128">
        <v>0</v>
      </c>
      <c r="K32" s="128">
        <v>0</v>
      </c>
      <c r="L32" s="128">
        <v>0</v>
      </c>
      <c r="M32" s="128">
        <v>0</v>
      </c>
      <c r="N32" s="128">
        <v>0</v>
      </c>
      <c r="O32" s="119">
        <f t="shared" si="4"/>
        <v>-324848.55</v>
      </c>
      <c r="P32" s="21"/>
      <c r="R32" s="98">
        <f t="shared" si="0"/>
        <v>-324848.55</v>
      </c>
      <c r="S32" s="98">
        <f t="shared" si="1"/>
        <v>0</v>
      </c>
    </row>
    <row r="33" spans="1:19" x14ac:dyDescent="0.25">
      <c r="A33" s="114" t="s">
        <v>26</v>
      </c>
      <c r="B33" s="128">
        <v>-300</v>
      </c>
      <c r="C33" s="128">
        <v>0</v>
      </c>
      <c r="D33" s="128">
        <v>0</v>
      </c>
      <c r="E33" s="128">
        <v>0</v>
      </c>
      <c r="F33" s="128">
        <v>0</v>
      </c>
      <c r="G33" s="128">
        <v>0</v>
      </c>
      <c r="H33" s="128">
        <v>0</v>
      </c>
      <c r="I33" s="128">
        <v>0</v>
      </c>
      <c r="J33" s="128">
        <v>0</v>
      </c>
      <c r="K33" s="128">
        <v>0</v>
      </c>
      <c r="L33" s="128">
        <v>0</v>
      </c>
      <c r="M33" s="128">
        <v>0</v>
      </c>
      <c r="N33" s="128">
        <v>0</v>
      </c>
      <c r="O33" s="119">
        <f t="shared" si="4"/>
        <v>-300</v>
      </c>
      <c r="P33" s="21"/>
      <c r="R33" s="98">
        <f t="shared" si="0"/>
        <v>-300</v>
      </c>
      <c r="S33" s="98">
        <f t="shared" si="1"/>
        <v>0</v>
      </c>
    </row>
    <row r="34" spans="1:19" x14ac:dyDescent="0.25">
      <c r="A34" s="114" t="s">
        <v>27</v>
      </c>
      <c r="B34" s="128">
        <v>0</v>
      </c>
      <c r="C34" s="128">
        <v>0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19">
        <f t="shared" si="4"/>
        <v>0</v>
      </c>
      <c r="P34" s="21"/>
      <c r="R34" s="98">
        <f t="shared" si="0"/>
        <v>0</v>
      </c>
      <c r="S34" s="98">
        <f t="shared" si="1"/>
        <v>0</v>
      </c>
    </row>
    <row r="35" spans="1:19" x14ac:dyDescent="0.25">
      <c r="A35" s="129" t="s">
        <v>28</v>
      </c>
      <c r="B35" s="128">
        <v>-2940.27</v>
      </c>
      <c r="C35" s="128">
        <v>0</v>
      </c>
      <c r="D35" s="128">
        <v>0</v>
      </c>
      <c r="E35" s="128">
        <v>0</v>
      </c>
      <c r="F35" s="128">
        <v>0</v>
      </c>
      <c r="G35" s="128">
        <v>0</v>
      </c>
      <c r="H35" s="128">
        <v>0</v>
      </c>
      <c r="I35" s="128">
        <v>0</v>
      </c>
      <c r="J35" s="128">
        <v>0</v>
      </c>
      <c r="K35" s="128">
        <v>0</v>
      </c>
      <c r="L35" s="128">
        <v>0</v>
      </c>
      <c r="M35" s="128">
        <v>0</v>
      </c>
      <c r="N35" s="128">
        <v>0</v>
      </c>
      <c r="O35" s="119">
        <f t="shared" si="4"/>
        <v>-2940.27</v>
      </c>
      <c r="P35" s="21"/>
      <c r="R35" s="98">
        <f t="shared" si="0"/>
        <v>-2940.27</v>
      </c>
      <c r="S35" s="98">
        <f t="shared" si="1"/>
        <v>0</v>
      </c>
    </row>
    <row r="36" spans="1:19" x14ac:dyDescent="0.25">
      <c r="A36" s="114" t="s">
        <v>29</v>
      </c>
      <c r="B36" s="128">
        <v>-31748.92</v>
      </c>
      <c r="C36" s="128">
        <v>-1600.34</v>
      </c>
      <c r="D36" s="128">
        <v>-893.5</v>
      </c>
      <c r="E36" s="128">
        <v>-721.83</v>
      </c>
      <c r="F36" s="128">
        <v>-356.44</v>
      </c>
      <c r="G36" s="128">
        <v>0</v>
      </c>
      <c r="H36" s="128">
        <v>0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28">
        <v>0</v>
      </c>
      <c r="O36" s="119">
        <f t="shared" si="4"/>
        <v>-35321.03</v>
      </c>
      <c r="P36" s="21"/>
      <c r="R36" s="98">
        <f t="shared" si="0"/>
        <v>-35321.03</v>
      </c>
      <c r="S36" s="98">
        <f t="shared" si="1"/>
        <v>0</v>
      </c>
    </row>
    <row r="37" spans="1:19" x14ac:dyDescent="0.25">
      <c r="A37" s="15" t="s">
        <v>276</v>
      </c>
      <c r="B37" s="128">
        <v>-34521.15</v>
      </c>
      <c r="C37" s="128">
        <v>-946.45</v>
      </c>
      <c r="D37" s="128">
        <v>-519.51</v>
      </c>
      <c r="E37" s="128">
        <v>-259.75</v>
      </c>
      <c r="F37" s="128">
        <v>0</v>
      </c>
      <c r="G37" s="128">
        <v>0</v>
      </c>
      <c r="H37" s="128">
        <v>0</v>
      </c>
      <c r="I37" s="128">
        <v>0</v>
      </c>
      <c r="J37" s="128">
        <v>0</v>
      </c>
      <c r="K37" s="128">
        <v>0</v>
      </c>
      <c r="L37" s="128">
        <v>0</v>
      </c>
      <c r="M37" s="128">
        <v>0</v>
      </c>
      <c r="N37" s="128">
        <v>0</v>
      </c>
      <c r="O37" s="119">
        <f t="shared" si="4"/>
        <v>-36246.86</v>
      </c>
      <c r="P37" s="21"/>
      <c r="R37" s="98">
        <f t="shared" si="0"/>
        <v>-36246.86</v>
      </c>
      <c r="S37" s="98">
        <f t="shared" si="1"/>
        <v>0</v>
      </c>
    </row>
    <row r="38" spans="1:19" x14ac:dyDescent="0.25">
      <c r="A38" s="114" t="s">
        <v>97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28">
        <v>0</v>
      </c>
      <c r="N38" s="128">
        <v>0</v>
      </c>
      <c r="O38" s="119">
        <f t="shared" si="4"/>
        <v>0</v>
      </c>
      <c r="P38" s="21"/>
      <c r="R38" s="98">
        <f t="shared" si="0"/>
        <v>0</v>
      </c>
      <c r="S38" s="98">
        <f t="shared" si="1"/>
        <v>0</v>
      </c>
    </row>
    <row r="39" spans="1:19" x14ac:dyDescent="0.25">
      <c r="A39" s="114" t="s">
        <v>114</v>
      </c>
      <c r="B39" s="128">
        <v>0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28">
        <v>0</v>
      </c>
      <c r="O39" s="119">
        <f t="shared" si="4"/>
        <v>0</v>
      </c>
      <c r="P39" s="21"/>
      <c r="R39" s="98">
        <f t="shared" si="0"/>
        <v>0</v>
      </c>
      <c r="S39" s="98">
        <f t="shared" si="1"/>
        <v>0</v>
      </c>
    </row>
    <row r="40" spans="1:19" x14ac:dyDescent="0.25">
      <c r="A40" s="131" t="s">
        <v>31</v>
      </c>
      <c r="B40" s="132">
        <f t="shared" ref="B40" si="5">SUM(B14:B39)</f>
        <v>-831513.93000000017</v>
      </c>
      <c r="C40" s="132">
        <f t="shared" ref="C40:N40" si="6">SUM(C14:C39)</f>
        <v>-22607.170000000002</v>
      </c>
      <c r="D40" s="132">
        <f t="shared" si="6"/>
        <v>-14109.19</v>
      </c>
      <c r="E40" s="132">
        <f t="shared" si="6"/>
        <v>-7941.51</v>
      </c>
      <c r="F40" s="132">
        <f t="shared" si="6"/>
        <v>-1674.4</v>
      </c>
      <c r="G40" s="132">
        <f t="shared" si="6"/>
        <v>0</v>
      </c>
      <c r="H40" s="132">
        <f t="shared" si="6"/>
        <v>0</v>
      </c>
      <c r="I40" s="132">
        <f t="shared" si="6"/>
        <v>0</v>
      </c>
      <c r="J40" s="132">
        <f t="shared" si="6"/>
        <v>0</v>
      </c>
      <c r="K40" s="132">
        <f t="shared" si="6"/>
        <v>0</v>
      </c>
      <c r="L40" s="132">
        <f t="shared" si="6"/>
        <v>0</v>
      </c>
      <c r="M40" s="132">
        <f t="shared" si="6"/>
        <v>0</v>
      </c>
      <c r="N40" s="132">
        <f t="shared" si="6"/>
        <v>0</v>
      </c>
      <c r="O40" s="132">
        <f>SUM(O14:O39)</f>
        <v>-877846.20000000007</v>
      </c>
      <c r="P40" s="21"/>
      <c r="R40" s="98">
        <f t="shared" si="0"/>
        <v>-877846.20000000019</v>
      </c>
      <c r="S40" s="98">
        <f t="shared" si="1"/>
        <v>0</v>
      </c>
    </row>
    <row r="41" spans="1:19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25"/>
      <c r="P41" s="159"/>
      <c r="R41" s="98">
        <f t="shared" si="0"/>
        <v>0</v>
      </c>
      <c r="S41" s="98">
        <f t="shared" si="1"/>
        <v>0</v>
      </c>
    </row>
    <row r="42" spans="1:19" x14ac:dyDescent="0.25">
      <c r="A42" s="135" t="s">
        <v>32</v>
      </c>
      <c r="B42" s="136">
        <f t="shared" ref="B42" si="7">B11+B40</f>
        <v>-831513.93000000017</v>
      </c>
      <c r="C42" s="136">
        <f t="shared" ref="C42:M42" si="8">C11+C40</f>
        <v>-22607.170000000002</v>
      </c>
      <c r="D42" s="136">
        <f t="shared" si="8"/>
        <v>-14109.19</v>
      </c>
      <c r="E42" s="136">
        <f t="shared" si="8"/>
        <v>-7941.51</v>
      </c>
      <c r="F42" s="136">
        <f t="shared" si="8"/>
        <v>-1674.4</v>
      </c>
      <c r="G42" s="136">
        <f t="shared" si="8"/>
        <v>0</v>
      </c>
      <c r="H42" s="136">
        <f t="shared" si="8"/>
        <v>0</v>
      </c>
      <c r="I42" s="136">
        <f t="shared" si="8"/>
        <v>0</v>
      </c>
      <c r="J42" s="136">
        <f t="shared" si="8"/>
        <v>0</v>
      </c>
      <c r="K42" s="136">
        <f t="shared" si="8"/>
        <v>0</v>
      </c>
      <c r="L42" s="136">
        <f t="shared" si="8"/>
        <v>0</v>
      </c>
      <c r="M42" s="136">
        <f t="shared" si="8"/>
        <v>0</v>
      </c>
      <c r="N42" s="136">
        <f>N11+N40</f>
        <v>0</v>
      </c>
      <c r="O42" s="157">
        <f>SUM(B42:N42)</f>
        <v>-877846.20000000019</v>
      </c>
      <c r="P42" s="21"/>
      <c r="R42" s="98">
        <f t="shared" si="0"/>
        <v>-877846.20000000019</v>
      </c>
      <c r="S42" s="98">
        <f t="shared" si="1"/>
        <v>0</v>
      </c>
    </row>
    <row r="43" spans="1:19" x14ac:dyDescent="0.25">
      <c r="A43" s="13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62"/>
      <c r="R43" s="98">
        <f t="shared" si="0"/>
        <v>0</v>
      </c>
      <c r="S43" s="98">
        <f t="shared" si="1"/>
        <v>0</v>
      </c>
    </row>
    <row r="44" spans="1:19" x14ac:dyDescent="0.25">
      <c r="A44" s="126" t="s">
        <v>56</v>
      </c>
      <c r="B44" s="139">
        <f t="shared" ref="B44" si="9">-B9*13.15%</f>
        <v>0</v>
      </c>
      <c r="C44" s="139">
        <f t="shared" ref="C44:N44" si="10">-C9*13.15%</f>
        <v>0</v>
      </c>
      <c r="D44" s="139">
        <f t="shared" si="10"/>
        <v>0</v>
      </c>
      <c r="E44" s="139">
        <f t="shared" si="10"/>
        <v>0</v>
      </c>
      <c r="F44" s="139">
        <f t="shared" si="10"/>
        <v>0</v>
      </c>
      <c r="G44" s="139">
        <f t="shared" si="10"/>
        <v>0</v>
      </c>
      <c r="H44" s="139">
        <f t="shared" si="10"/>
        <v>0</v>
      </c>
      <c r="I44" s="139">
        <f t="shared" si="10"/>
        <v>0</v>
      </c>
      <c r="J44" s="139">
        <f t="shared" si="10"/>
        <v>0</v>
      </c>
      <c r="K44" s="139">
        <f t="shared" si="10"/>
        <v>0</v>
      </c>
      <c r="L44" s="139">
        <f t="shared" si="10"/>
        <v>0</v>
      </c>
      <c r="M44" s="139">
        <f t="shared" si="10"/>
        <v>0</v>
      </c>
      <c r="N44" s="139">
        <f t="shared" si="10"/>
        <v>0</v>
      </c>
      <c r="O44" s="119">
        <f t="shared" ref="O44" si="11">SUM(B44:N44)</f>
        <v>0</v>
      </c>
      <c r="P44" s="21"/>
      <c r="R44" s="98">
        <f>SUM(A44:N44)</f>
        <v>0</v>
      </c>
      <c r="S44" s="98">
        <f t="shared" si="1"/>
        <v>0</v>
      </c>
    </row>
    <row r="45" spans="1:19" x14ac:dyDescent="0.25">
      <c r="A45" s="137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62"/>
      <c r="R45" s="98">
        <f t="shared" si="0"/>
        <v>0</v>
      </c>
      <c r="S45" s="98">
        <f t="shared" si="1"/>
        <v>0</v>
      </c>
    </row>
    <row r="46" spans="1:19" x14ac:dyDescent="0.25">
      <c r="A46" s="126" t="s">
        <v>33</v>
      </c>
      <c r="B46" s="139">
        <f t="shared" ref="B46" si="12">-B9*1.22%</f>
        <v>0</v>
      </c>
      <c r="C46" s="139">
        <f t="shared" ref="C46:N46" si="13">-C9*1.22%</f>
        <v>0</v>
      </c>
      <c r="D46" s="139">
        <f t="shared" si="13"/>
        <v>0</v>
      </c>
      <c r="E46" s="139">
        <f t="shared" si="13"/>
        <v>0</v>
      </c>
      <c r="F46" s="139">
        <f t="shared" si="13"/>
        <v>0</v>
      </c>
      <c r="G46" s="139">
        <f t="shared" si="13"/>
        <v>0</v>
      </c>
      <c r="H46" s="139">
        <f t="shared" si="13"/>
        <v>0</v>
      </c>
      <c r="I46" s="139">
        <f t="shared" si="13"/>
        <v>0</v>
      </c>
      <c r="J46" s="139">
        <f t="shared" si="13"/>
        <v>0</v>
      </c>
      <c r="K46" s="139">
        <f t="shared" si="13"/>
        <v>0</v>
      </c>
      <c r="L46" s="139">
        <f t="shared" si="13"/>
        <v>0</v>
      </c>
      <c r="M46" s="139">
        <f t="shared" si="13"/>
        <v>0</v>
      </c>
      <c r="N46" s="139">
        <f t="shared" si="13"/>
        <v>0</v>
      </c>
      <c r="O46" s="119">
        <f t="shared" ref="O46" si="14">SUM(B46:N46)</f>
        <v>0</v>
      </c>
      <c r="P46" s="21"/>
      <c r="R46" s="98">
        <f t="shared" si="0"/>
        <v>0</v>
      </c>
      <c r="S46" s="98">
        <f t="shared" si="1"/>
        <v>0</v>
      </c>
    </row>
    <row r="47" spans="1:19" x14ac:dyDescent="0.2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62"/>
      <c r="R47" s="98">
        <f t="shared" si="0"/>
        <v>0</v>
      </c>
      <c r="S47" s="98">
        <f t="shared" si="1"/>
        <v>0</v>
      </c>
    </row>
    <row r="48" spans="1:19" x14ac:dyDescent="0.25">
      <c r="A48" s="113" t="s">
        <v>57</v>
      </c>
      <c r="B48" s="142">
        <f t="shared" ref="B48" si="15">B40*5.56%</f>
        <v>-46232.174508000004</v>
      </c>
      <c r="C48" s="142">
        <f t="shared" ref="C48:M48" si="16">C40*5.56%</f>
        <v>-1256.958652</v>
      </c>
      <c r="D48" s="142">
        <f t="shared" si="16"/>
        <v>-784.47096399999998</v>
      </c>
      <c r="E48" s="142">
        <f t="shared" si="16"/>
        <v>-441.547956</v>
      </c>
      <c r="F48" s="142">
        <f t="shared" si="16"/>
        <v>-93.096639999999994</v>
      </c>
      <c r="G48" s="142">
        <f t="shared" si="16"/>
        <v>0</v>
      </c>
      <c r="H48" s="142">
        <f t="shared" si="16"/>
        <v>0</v>
      </c>
      <c r="I48" s="142">
        <f t="shared" si="16"/>
        <v>0</v>
      </c>
      <c r="J48" s="142">
        <f t="shared" si="16"/>
        <v>0</v>
      </c>
      <c r="K48" s="142">
        <f t="shared" si="16"/>
        <v>0</v>
      </c>
      <c r="L48" s="142">
        <f t="shared" si="16"/>
        <v>0</v>
      </c>
      <c r="M48" s="142">
        <f t="shared" si="16"/>
        <v>0</v>
      </c>
      <c r="N48" s="142">
        <f>N40*5.56%</f>
        <v>0</v>
      </c>
      <c r="O48" s="119">
        <f t="shared" ref="O48" si="17">SUM(B48:N48)</f>
        <v>-48808.248720000011</v>
      </c>
      <c r="P48" s="21"/>
      <c r="R48" s="98">
        <f t="shared" si="0"/>
        <v>-48808.248720000011</v>
      </c>
      <c r="S48" s="98">
        <f t="shared" si="1"/>
        <v>0</v>
      </c>
    </row>
    <row r="49" spans="1:19" x14ac:dyDescent="0.2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62"/>
      <c r="R49" s="98">
        <f t="shared" si="0"/>
        <v>0</v>
      </c>
      <c r="S49" s="98">
        <f t="shared" si="1"/>
        <v>0</v>
      </c>
    </row>
    <row r="50" spans="1:19" x14ac:dyDescent="0.25">
      <c r="A50" s="113" t="s">
        <v>58</v>
      </c>
      <c r="B50" s="142">
        <f t="shared" ref="B50" si="18">B40*0.01%</f>
        <v>-83.151393000000027</v>
      </c>
      <c r="C50" s="142">
        <f t="shared" ref="C50:M50" si="19">C40*0.01%</f>
        <v>-2.2607170000000001</v>
      </c>
      <c r="D50" s="142">
        <f t="shared" si="19"/>
        <v>-1.410919</v>
      </c>
      <c r="E50" s="142">
        <f t="shared" si="19"/>
        <v>-0.79415100000000005</v>
      </c>
      <c r="F50" s="142">
        <f t="shared" si="19"/>
        <v>-0.16744000000000001</v>
      </c>
      <c r="G50" s="142">
        <f t="shared" si="19"/>
        <v>0</v>
      </c>
      <c r="H50" s="142">
        <f t="shared" si="19"/>
        <v>0</v>
      </c>
      <c r="I50" s="142">
        <f t="shared" si="19"/>
        <v>0</v>
      </c>
      <c r="J50" s="142">
        <f t="shared" si="19"/>
        <v>0</v>
      </c>
      <c r="K50" s="142">
        <f t="shared" si="19"/>
        <v>0</v>
      </c>
      <c r="L50" s="142">
        <f t="shared" si="19"/>
        <v>0</v>
      </c>
      <c r="M50" s="142">
        <f t="shared" si="19"/>
        <v>0</v>
      </c>
      <c r="N50" s="142">
        <f>N40*0.01%</f>
        <v>0</v>
      </c>
      <c r="O50" s="119">
        <f t="shared" ref="O50" si="20">SUM(B50:N50)</f>
        <v>-87.784620000000032</v>
      </c>
      <c r="P50" s="21"/>
      <c r="R50" s="98">
        <f t="shared" si="0"/>
        <v>-87.784620000000032</v>
      </c>
      <c r="S50" s="98">
        <f t="shared" si="1"/>
        <v>0</v>
      </c>
    </row>
    <row r="51" spans="1:19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62"/>
      <c r="R51" s="98">
        <f t="shared" si="0"/>
        <v>0</v>
      </c>
      <c r="S51" s="98">
        <f t="shared" si="1"/>
        <v>0</v>
      </c>
    </row>
    <row r="52" spans="1:19" x14ac:dyDescent="0.25">
      <c r="A52" s="135" t="s">
        <v>231</v>
      </c>
      <c r="B52" s="136">
        <f>B42+B48+B50+B44+B46</f>
        <v>-877829.25590100023</v>
      </c>
      <c r="C52" s="136">
        <f>C42+C48+C50+C44+C46</f>
        <v>-23866.389369000004</v>
      </c>
      <c r="D52" s="136">
        <f>D42+D48+D50+D44+D46</f>
        <v>-14895.071883000001</v>
      </c>
      <c r="E52" s="136">
        <f>E42+E48+E50+E44+E46</f>
        <v>-8383.8521070000006</v>
      </c>
      <c r="F52" s="136">
        <f t="shared" ref="F52:M52" si="21">F42+F48+F50+F44+F46</f>
        <v>-1767.66408</v>
      </c>
      <c r="G52" s="136">
        <f t="shared" si="21"/>
        <v>0</v>
      </c>
      <c r="H52" s="136">
        <f t="shared" si="21"/>
        <v>0</v>
      </c>
      <c r="I52" s="136">
        <f t="shared" si="21"/>
        <v>0</v>
      </c>
      <c r="J52" s="136">
        <f t="shared" si="21"/>
        <v>0</v>
      </c>
      <c r="K52" s="136">
        <f t="shared" si="21"/>
        <v>0</v>
      </c>
      <c r="L52" s="136">
        <f t="shared" si="21"/>
        <v>0</v>
      </c>
      <c r="M52" s="136">
        <f t="shared" si="21"/>
        <v>0</v>
      </c>
      <c r="N52" s="136">
        <f>N42+N48+N50+N44+N46</f>
        <v>0</v>
      </c>
      <c r="O52" s="157">
        <f>SUM(B52:N52)</f>
        <v>-926742.23334000015</v>
      </c>
      <c r="P52" s="21"/>
      <c r="R52" s="98">
        <f>SUM(A52:N52)</f>
        <v>-926742.23334000015</v>
      </c>
      <c r="S52" s="98">
        <f t="shared" si="1"/>
        <v>0</v>
      </c>
    </row>
    <row r="53" spans="1:19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63"/>
    </row>
    <row r="54" spans="1:19" x14ac:dyDescent="0.25">
      <c r="A54" s="144" t="s">
        <v>35</v>
      </c>
      <c r="B54" s="13"/>
      <c r="C54" s="13">
        <v>8</v>
      </c>
      <c r="D54" s="13">
        <v>2</v>
      </c>
      <c r="E54" s="13">
        <v>1</v>
      </c>
      <c r="F54" s="13"/>
      <c r="G54" s="13"/>
      <c r="H54" s="13"/>
      <c r="I54" s="13"/>
      <c r="J54" s="13"/>
      <c r="K54" s="13"/>
      <c r="L54" s="13"/>
      <c r="M54" s="13"/>
      <c r="N54" s="13"/>
      <c r="O54" s="145"/>
      <c r="P54" s="163"/>
    </row>
    <row r="55" spans="1:19" x14ac:dyDescent="0.25">
      <c r="A55" s="80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53"/>
    </row>
    <row r="56" spans="1:19" x14ac:dyDescent="0.25">
      <c r="A56" s="146" t="s">
        <v>36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64">
        <v>46203</v>
      </c>
    </row>
    <row r="57" spans="1:19" x14ac:dyDescent="0.25">
      <c r="B57" s="98">
        <f t="shared" ref="B57" si="22">B11+B40+B44+B46+B48+B50</f>
        <v>-877829.25590100023</v>
      </c>
      <c r="C57" s="98">
        <f t="shared" ref="C57:O57" si="23">C11+C40+C44+C46+C48+C50</f>
        <v>-23866.389369000004</v>
      </c>
      <c r="D57" s="98">
        <f t="shared" si="23"/>
        <v>-14895.071883000001</v>
      </c>
      <c r="E57" s="98">
        <f t="shared" si="23"/>
        <v>-8383.8521070000006</v>
      </c>
      <c r="F57" s="98">
        <f t="shared" si="23"/>
        <v>-1767.66408</v>
      </c>
      <c r="G57" s="98">
        <f t="shared" si="23"/>
        <v>0</v>
      </c>
      <c r="H57" s="98">
        <f t="shared" si="23"/>
        <v>0</v>
      </c>
      <c r="I57" s="98">
        <f t="shared" si="23"/>
        <v>0</v>
      </c>
      <c r="J57" s="98">
        <f t="shared" si="23"/>
        <v>0</v>
      </c>
      <c r="K57" s="98">
        <f t="shared" si="23"/>
        <v>0</v>
      </c>
      <c r="L57" s="98">
        <f t="shared" si="23"/>
        <v>0</v>
      </c>
      <c r="M57" s="98">
        <f t="shared" si="23"/>
        <v>0</v>
      </c>
      <c r="N57" s="98">
        <f t="shared" si="23"/>
        <v>0</v>
      </c>
      <c r="O57" s="98">
        <f t="shared" si="23"/>
        <v>-926742.23334000015</v>
      </c>
      <c r="P57" s="153"/>
    </row>
    <row r="58" spans="1:19" x14ac:dyDescent="0.25">
      <c r="P58" s="153"/>
    </row>
    <row r="59" spans="1:19" x14ac:dyDescent="0.25">
      <c r="B59" s="98">
        <f t="shared" ref="B59" si="24">B57-B52</f>
        <v>0</v>
      </c>
      <c r="C59" s="98">
        <f t="shared" ref="C59:O59" si="25">C57-C52</f>
        <v>0</v>
      </c>
      <c r="D59" s="98">
        <f t="shared" si="25"/>
        <v>0</v>
      </c>
      <c r="E59" s="98">
        <f t="shared" si="25"/>
        <v>0</v>
      </c>
      <c r="F59" s="98">
        <f t="shared" si="25"/>
        <v>0</v>
      </c>
      <c r="G59" s="98">
        <f t="shared" si="25"/>
        <v>0</v>
      </c>
      <c r="H59" s="98">
        <f t="shared" si="25"/>
        <v>0</v>
      </c>
      <c r="I59" s="98">
        <f t="shared" si="25"/>
        <v>0</v>
      </c>
      <c r="J59" s="98">
        <f t="shared" si="25"/>
        <v>0</v>
      </c>
      <c r="K59" s="98">
        <f t="shared" si="25"/>
        <v>0</v>
      </c>
      <c r="L59" s="98">
        <f t="shared" si="25"/>
        <v>0</v>
      </c>
      <c r="M59" s="98">
        <f t="shared" si="25"/>
        <v>0</v>
      </c>
      <c r="N59" s="98">
        <f t="shared" si="25"/>
        <v>0</v>
      </c>
      <c r="O59" s="98">
        <f t="shared" si="25"/>
        <v>0</v>
      </c>
      <c r="P59" s="153"/>
    </row>
    <row r="60" spans="1:19" x14ac:dyDescent="0.25">
      <c r="P60" s="153"/>
    </row>
  </sheetData>
  <mergeCells count="3">
    <mergeCell ref="A1:O1"/>
    <mergeCell ref="A3:O3"/>
    <mergeCell ref="A5:O5"/>
  </mergeCells>
  <printOptions horizontalCentered="1" verticalCentered="1"/>
  <pageMargins left="0.11811023622047245" right="0.11811023622047245" top="0.19685039370078741" bottom="0" header="0.19685039370078741" footer="0"/>
  <pageSetup paperSize="9" scale="71" orientation="landscape" r:id="rId1"/>
  <headerFooter>
    <oddHeader>&amp;C&amp;"-,Negrito"&amp;14BELA NOVA CONSTRUTORA LTDA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9"/>
  </sheetPr>
  <dimension ref="A1:S60"/>
  <sheetViews>
    <sheetView zoomScale="85" zoomScaleNormal="85" workbookViewId="0">
      <pane xSplit="1" topLeftCell="B1" activePane="topRight" state="frozen"/>
      <selection activeCell="E21" sqref="E21"/>
      <selection pane="topRight" activeCell="F12" sqref="F12"/>
    </sheetView>
  </sheetViews>
  <sheetFormatPr defaultRowHeight="15" x14ac:dyDescent="0.25"/>
  <cols>
    <col min="1" max="1" width="44.140625" customWidth="1"/>
    <col min="2" max="2" width="18" bestFit="1" customWidth="1"/>
    <col min="3" max="3" width="16.140625" bestFit="1" customWidth="1"/>
    <col min="4" max="4" width="16.28515625" customWidth="1"/>
    <col min="5" max="5" width="15.140625" customWidth="1"/>
    <col min="6" max="6" width="16.28515625" bestFit="1" customWidth="1"/>
    <col min="7" max="7" width="16" customWidth="1"/>
    <col min="8" max="8" width="17.140625" customWidth="1"/>
    <col min="9" max="9" width="15.85546875" hidden="1" customWidth="1"/>
    <col min="10" max="10" width="16.140625" hidden="1" customWidth="1"/>
    <col min="11" max="11" width="14.7109375" hidden="1" customWidth="1"/>
    <col min="12" max="13" width="16.85546875" hidden="1" customWidth="1"/>
    <col min="14" max="14" width="16.7109375" hidden="1" customWidth="1"/>
    <col min="15" max="15" width="18" bestFit="1" customWidth="1"/>
    <col min="16" max="16" width="11.85546875" bestFit="1" customWidth="1"/>
    <col min="18" max="18" width="16" bestFit="1" customWidth="1"/>
  </cols>
  <sheetData>
    <row r="1" spans="1:19" ht="15.75" x14ac:dyDescent="0.25">
      <c r="A1" s="214" t="s">
        <v>336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9" ht="6.75" customHeight="1" x14ac:dyDescent="0.25">
      <c r="A2" s="108"/>
      <c r="B2" s="109"/>
      <c r="C2" s="109"/>
      <c r="D2" s="109"/>
    </row>
    <row r="3" spans="1:19" ht="15.75" x14ac:dyDescent="0.25">
      <c r="A3" s="214" t="s">
        <v>337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</row>
    <row r="4" spans="1:19" ht="10.5" customHeight="1" x14ac:dyDescent="0.25">
      <c r="A4" s="108"/>
      <c r="B4" s="109"/>
      <c r="C4" s="109"/>
      <c r="D4" s="109"/>
    </row>
    <row r="5" spans="1:19" ht="15.75" customHeight="1" x14ac:dyDescent="0.25">
      <c r="A5" s="202" t="s">
        <v>338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</row>
    <row r="6" spans="1:19" ht="11.25" customHeight="1" x14ac:dyDescent="0.25">
      <c r="A6" s="110"/>
      <c r="B6" s="109"/>
      <c r="C6" s="109"/>
      <c r="D6" s="109"/>
    </row>
    <row r="7" spans="1:19" x14ac:dyDescent="0.25">
      <c r="A7" s="111"/>
      <c r="B7" s="60" t="s">
        <v>315</v>
      </c>
      <c r="C7" s="60" t="s">
        <v>304</v>
      </c>
      <c r="D7" s="60" t="s">
        <v>305</v>
      </c>
      <c r="E7" s="60" t="s">
        <v>306</v>
      </c>
      <c r="F7" s="60" t="s">
        <v>307</v>
      </c>
      <c r="G7" s="60" t="s">
        <v>308</v>
      </c>
      <c r="H7" s="60" t="s">
        <v>309</v>
      </c>
      <c r="I7" s="60" t="s">
        <v>310</v>
      </c>
      <c r="J7" s="60" t="s">
        <v>311</v>
      </c>
      <c r="K7" s="60" t="s">
        <v>312</v>
      </c>
      <c r="L7" s="60" t="s">
        <v>313</v>
      </c>
      <c r="M7" s="60" t="s">
        <v>314</v>
      </c>
      <c r="N7" s="60" t="s">
        <v>225</v>
      </c>
      <c r="O7" s="113" t="s">
        <v>1</v>
      </c>
      <c r="P7" s="158" t="s">
        <v>2</v>
      </c>
    </row>
    <row r="8" spans="1:19" x14ac:dyDescent="0.25">
      <c r="A8" s="114" t="s">
        <v>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6"/>
      <c r="P8" s="159"/>
    </row>
    <row r="9" spans="1:19" x14ac:dyDescent="0.25">
      <c r="A9" s="117" t="s">
        <v>4</v>
      </c>
      <c r="B9" s="118">
        <v>579449.55000000005</v>
      </c>
      <c r="C9" s="118">
        <v>0</v>
      </c>
      <c r="D9" s="118">
        <v>31096.65</v>
      </c>
      <c r="E9" s="118">
        <v>41035.589999999997</v>
      </c>
      <c r="F9" s="118">
        <v>186014.24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  <c r="O9" s="119">
        <f>SUM(B9:N9)</f>
        <v>837596.03</v>
      </c>
      <c r="P9" s="21">
        <v>1</v>
      </c>
      <c r="R9" s="98">
        <f t="shared" ref="R9:R52" si="0">SUM(A9:N9)</f>
        <v>837596.03</v>
      </c>
      <c r="S9" s="98">
        <f>R9-O9</f>
        <v>0</v>
      </c>
    </row>
    <row r="10" spans="1:19" x14ac:dyDescent="0.25">
      <c r="A10" s="114" t="s">
        <v>5</v>
      </c>
      <c r="B10" s="118">
        <v>433244.58</v>
      </c>
      <c r="C10" s="118">
        <v>0</v>
      </c>
      <c r="D10" s="118">
        <v>31096.65</v>
      </c>
      <c r="E10" s="118">
        <v>41035.589999999997</v>
      </c>
      <c r="F10" s="118">
        <v>42264.160000000003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  <c r="O10" s="119">
        <f>SUM(B10:N10)</f>
        <v>547640.9800000001</v>
      </c>
      <c r="P10" s="21"/>
      <c r="R10" s="98">
        <f t="shared" si="0"/>
        <v>547640.9800000001</v>
      </c>
      <c r="S10" s="98">
        <f t="shared" ref="S10:S52" si="1">R10-O10</f>
        <v>0</v>
      </c>
    </row>
    <row r="11" spans="1:19" x14ac:dyDescent="0.25">
      <c r="A11" s="121" t="s">
        <v>6</v>
      </c>
      <c r="B11" s="122">
        <f t="shared" ref="B11:L11" si="2">SUM(B9:B10)</f>
        <v>1012694.1300000001</v>
      </c>
      <c r="C11" s="122">
        <f t="shared" ref="C11" si="3">SUM(C9:C10)</f>
        <v>0</v>
      </c>
      <c r="D11" s="122">
        <f t="shared" si="2"/>
        <v>62193.3</v>
      </c>
      <c r="E11" s="122">
        <f t="shared" si="2"/>
        <v>82071.179999999993</v>
      </c>
      <c r="F11" s="122">
        <f t="shared" si="2"/>
        <v>228278.39999999999</v>
      </c>
      <c r="G11" s="122">
        <f t="shared" si="2"/>
        <v>0</v>
      </c>
      <c r="H11" s="122">
        <f t="shared" si="2"/>
        <v>0</v>
      </c>
      <c r="I11" s="122">
        <f t="shared" si="2"/>
        <v>0</v>
      </c>
      <c r="J11" s="122">
        <f t="shared" si="2"/>
        <v>0</v>
      </c>
      <c r="K11" s="122">
        <f t="shared" si="2"/>
        <v>0</v>
      </c>
      <c r="L11" s="122">
        <f t="shared" si="2"/>
        <v>0</v>
      </c>
      <c r="M11" s="122"/>
      <c r="N11" s="122">
        <f>SUM(N9:N10)</f>
        <v>0</v>
      </c>
      <c r="O11" s="122">
        <f>SUM(O9:O10)</f>
        <v>1385237.0100000002</v>
      </c>
      <c r="P11" s="21">
        <v>1</v>
      </c>
      <c r="R11" s="98">
        <f t="shared" si="0"/>
        <v>1385237.01</v>
      </c>
      <c r="S11" s="98">
        <f t="shared" si="1"/>
        <v>0</v>
      </c>
    </row>
    <row r="12" spans="1:19" x14ac:dyDescent="0.25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5"/>
      <c r="P12" s="160"/>
      <c r="R12" s="98">
        <f t="shared" si="0"/>
        <v>0</v>
      </c>
      <c r="S12" s="98">
        <f t="shared" si="1"/>
        <v>0</v>
      </c>
    </row>
    <row r="13" spans="1:19" x14ac:dyDescent="0.25">
      <c r="A13" s="126" t="s">
        <v>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/>
      <c r="P13" s="161"/>
      <c r="R13" s="98">
        <f t="shared" si="0"/>
        <v>0</v>
      </c>
      <c r="S13" s="98">
        <f t="shared" si="1"/>
        <v>0</v>
      </c>
    </row>
    <row r="14" spans="1:19" x14ac:dyDescent="0.25">
      <c r="A14" s="114" t="s">
        <v>8</v>
      </c>
      <c r="B14" s="128">
        <v>-49323.16</v>
      </c>
      <c r="C14" s="128">
        <v>-4455</v>
      </c>
      <c r="D14" s="128">
        <v>-7776.94</v>
      </c>
      <c r="E14" s="128">
        <v>-3901.36</v>
      </c>
      <c r="F14" s="128">
        <v>-5288.18</v>
      </c>
      <c r="G14" s="128">
        <v>-2536.9</v>
      </c>
      <c r="H14" s="128">
        <v>0</v>
      </c>
      <c r="I14" s="128">
        <v>0</v>
      </c>
      <c r="J14" s="128">
        <v>0</v>
      </c>
      <c r="K14" s="128">
        <v>0</v>
      </c>
      <c r="L14" s="128">
        <v>0</v>
      </c>
      <c r="M14" s="128">
        <v>0</v>
      </c>
      <c r="N14" s="128">
        <v>0</v>
      </c>
      <c r="O14" s="119">
        <f>SUM(B14:N14)</f>
        <v>-73281.540000000008</v>
      </c>
      <c r="P14" s="21">
        <f>-O14/$O$11</f>
        <v>5.2901806312552965E-2</v>
      </c>
      <c r="R14" s="98">
        <f t="shared" si="0"/>
        <v>-73281.540000000008</v>
      </c>
      <c r="S14" s="98">
        <f t="shared" si="1"/>
        <v>0</v>
      </c>
    </row>
    <row r="15" spans="1:19" x14ac:dyDescent="0.25">
      <c r="A15" s="129" t="s">
        <v>9</v>
      </c>
      <c r="B15" s="128">
        <v>0</v>
      </c>
      <c r="C15" s="128">
        <v>0</v>
      </c>
      <c r="D15" s="128">
        <v>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0</v>
      </c>
      <c r="L15" s="128">
        <v>0</v>
      </c>
      <c r="M15" s="128">
        <v>0</v>
      </c>
      <c r="N15" s="128">
        <v>0</v>
      </c>
      <c r="O15" s="119">
        <f t="shared" ref="O15:O39" si="4">SUM(B15:N15)</f>
        <v>0</v>
      </c>
      <c r="P15" s="21">
        <f t="shared" ref="P15:P50" si="5">-O15/$O$11</f>
        <v>0</v>
      </c>
      <c r="R15" s="98">
        <f t="shared" si="0"/>
        <v>0</v>
      </c>
      <c r="S15" s="98">
        <f t="shared" si="1"/>
        <v>0</v>
      </c>
    </row>
    <row r="16" spans="1:19" x14ac:dyDescent="0.25">
      <c r="A16" s="114" t="s">
        <v>10</v>
      </c>
      <c r="B16" s="128">
        <v>-1339.2</v>
      </c>
      <c r="C16" s="128">
        <v>-144</v>
      </c>
      <c r="D16" s="128">
        <v>-144</v>
      </c>
      <c r="E16" s="128">
        <v>-144</v>
      </c>
      <c r="F16" s="128">
        <v>-144</v>
      </c>
      <c r="G16" s="128">
        <v>0</v>
      </c>
      <c r="H16" s="128">
        <v>0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28">
        <v>0</v>
      </c>
      <c r="O16" s="119">
        <f t="shared" si="4"/>
        <v>-1915.2</v>
      </c>
      <c r="P16" s="21">
        <f t="shared" si="5"/>
        <v>1.3825792887240283E-3</v>
      </c>
      <c r="R16" s="98">
        <f t="shared" si="0"/>
        <v>-1915.2</v>
      </c>
      <c r="S16" s="98">
        <f t="shared" si="1"/>
        <v>0</v>
      </c>
    </row>
    <row r="17" spans="1:19" x14ac:dyDescent="0.25">
      <c r="A17" s="129" t="s">
        <v>11</v>
      </c>
      <c r="B17" s="128">
        <v>-379.07</v>
      </c>
      <c r="C17" s="128">
        <v>0</v>
      </c>
      <c r="D17" s="128">
        <v>0</v>
      </c>
      <c r="E17" s="128">
        <v>0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28">
        <v>0</v>
      </c>
      <c r="O17" s="119">
        <f t="shared" si="4"/>
        <v>-379.07</v>
      </c>
      <c r="P17" s="21">
        <f t="shared" si="5"/>
        <v>2.7364992218912774E-4</v>
      </c>
      <c r="R17" s="98">
        <f t="shared" si="0"/>
        <v>-379.07</v>
      </c>
      <c r="S17" s="98">
        <f t="shared" si="1"/>
        <v>0</v>
      </c>
    </row>
    <row r="18" spans="1:19" x14ac:dyDescent="0.25">
      <c r="A18" s="114" t="s">
        <v>12</v>
      </c>
      <c r="B18" s="128">
        <v>-20327.46</v>
      </c>
      <c r="C18" s="128">
        <v>-1323.64</v>
      </c>
      <c r="D18" s="128">
        <v>-284.63</v>
      </c>
      <c r="E18" s="128">
        <v>-630.97</v>
      </c>
      <c r="F18" s="128">
        <v>-284.63</v>
      </c>
      <c r="G18" s="128">
        <v>-364.17</v>
      </c>
      <c r="H18" s="128">
        <v>0</v>
      </c>
      <c r="I18" s="128">
        <v>0</v>
      </c>
      <c r="J18" s="128">
        <v>0</v>
      </c>
      <c r="K18" s="128">
        <v>0</v>
      </c>
      <c r="L18" s="128">
        <v>0</v>
      </c>
      <c r="M18" s="128">
        <v>0</v>
      </c>
      <c r="N18" s="128">
        <v>0</v>
      </c>
      <c r="O18" s="119">
        <f t="shared" si="4"/>
        <v>-23215.5</v>
      </c>
      <c r="P18" s="21">
        <f t="shared" si="5"/>
        <v>1.6759225917592251E-2</v>
      </c>
      <c r="R18" s="98">
        <f t="shared" si="0"/>
        <v>-23215.5</v>
      </c>
      <c r="S18" s="98">
        <f t="shared" si="1"/>
        <v>0</v>
      </c>
    </row>
    <row r="19" spans="1:19" x14ac:dyDescent="0.25">
      <c r="A19" s="114" t="s">
        <v>13</v>
      </c>
      <c r="B19" s="128">
        <v>-16720.169999999998</v>
      </c>
      <c r="C19" s="128">
        <v>-1180.78</v>
      </c>
      <c r="D19" s="128">
        <v>-241.21</v>
      </c>
      <c r="E19" s="128">
        <v>-432.2</v>
      </c>
      <c r="F19" s="128">
        <v>-198.96</v>
      </c>
      <c r="G19" s="128">
        <v>-224.15</v>
      </c>
      <c r="H19" s="128">
        <v>0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  <c r="N19" s="128">
        <v>0</v>
      </c>
      <c r="O19" s="119">
        <f t="shared" si="4"/>
        <v>-18997.469999999998</v>
      </c>
      <c r="P19" s="21">
        <f t="shared" si="5"/>
        <v>1.3714237970006298E-2</v>
      </c>
      <c r="R19" s="98">
        <f t="shared" si="0"/>
        <v>-18997.469999999998</v>
      </c>
      <c r="S19" s="98">
        <f t="shared" si="1"/>
        <v>0</v>
      </c>
    </row>
    <row r="20" spans="1:19" x14ac:dyDescent="0.25">
      <c r="A20" s="114" t="s">
        <v>14</v>
      </c>
      <c r="B20" s="128">
        <v>-14049.94</v>
      </c>
      <c r="C20" s="128">
        <v>-434.44</v>
      </c>
      <c r="D20" s="128">
        <v>-825.22</v>
      </c>
      <c r="E20" s="128">
        <v>-725.47</v>
      </c>
      <c r="F20" s="128">
        <v>-297.02999999999997</v>
      </c>
      <c r="G20" s="128">
        <v>0</v>
      </c>
      <c r="H20" s="128">
        <v>0</v>
      </c>
      <c r="I20" s="128">
        <v>0</v>
      </c>
      <c r="J20" s="128">
        <v>0</v>
      </c>
      <c r="K20" s="128">
        <v>0</v>
      </c>
      <c r="L20" s="128">
        <v>0</v>
      </c>
      <c r="M20" s="128">
        <v>0</v>
      </c>
      <c r="N20" s="128">
        <v>0</v>
      </c>
      <c r="O20" s="119">
        <f t="shared" si="4"/>
        <v>-16332.1</v>
      </c>
      <c r="P20" s="21">
        <f t="shared" si="5"/>
        <v>1.1790112364959119E-2</v>
      </c>
      <c r="R20" s="98">
        <f t="shared" si="0"/>
        <v>-16332.1</v>
      </c>
      <c r="S20" s="98">
        <f t="shared" si="1"/>
        <v>0</v>
      </c>
    </row>
    <row r="21" spans="1:19" x14ac:dyDescent="0.25">
      <c r="A21" s="114" t="s">
        <v>15</v>
      </c>
      <c r="B21" s="128">
        <v>0</v>
      </c>
      <c r="C21" s="128">
        <v>0</v>
      </c>
      <c r="D21" s="128">
        <v>0</v>
      </c>
      <c r="E21" s="128">
        <v>0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28">
        <v>0</v>
      </c>
      <c r="N21" s="128">
        <v>0</v>
      </c>
      <c r="O21" s="119">
        <f t="shared" si="4"/>
        <v>0</v>
      </c>
      <c r="P21" s="21">
        <f t="shared" si="5"/>
        <v>0</v>
      </c>
      <c r="R21" s="98">
        <f t="shared" si="0"/>
        <v>0</v>
      </c>
      <c r="S21" s="98">
        <f t="shared" si="1"/>
        <v>0</v>
      </c>
    </row>
    <row r="22" spans="1:19" x14ac:dyDescent="0.25">
      <c r="A22" s="114" t="s">
        <v>16</v>
      </c>
      <c r="B22" s="128">
        <v>0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19">
        <f t="shared" si="4"/>
        <v>0</v>
      </c>
      <c r="P22" s="21">
        <f t="shared" si="5"/>
        <v>0</v>
      </c>
      <c r="R22" s="98">
        <f t="shared" si="0"/>
        <v>0</v>
      </c>
      <c r="S22" s="98">
        <f t="shared" si="1"/>
        <v>0</v>
      </c>
    </row>
    <row r="23" spans="1:19" x14ac:dyDescent="0.25">
      <c r="A23" s="114" t="s">
        <v>17</v>
      </c>
      <c r="B23" s="128">
        <v>-26484.82</v>
      </c>
      <c r="C23" s="128">
        <v>-2608.13</v>
      </c>
      <c r="D23" s="128">
        <v>-530.58000000000004</v>
      </c>
      <c r="E23" s="128">
        <v>-1005.74</v>
      </c>
      <c r="F23" s="128">
        <v>-474.98</v>
      </c>
      <c r="G23" s="128">
        <v>-540.95000000000005</v>
      </c>
      <c r="H23" s="128">
        <v>0</v>
      </c>
      <c r="I23" s="128">
        <v>0</v>
      </c>
      <c r="J23" s="128">
        <v>0</v>
      </c>
      <c r="K23" s="128">
        <v>0</v>
      </c>
      <c r="L23" s="128">
        <v>0</v>
      </c>
      <c r="M23" s="128">
        <v>0</v>
      </c>
      <c r="N23" s="128">
        <v>0</v>
      </c>
      <c r="O23" s="119">
        <f t="shared" si="4"/>
        <v>-31645.200000000004</v>
      </c>
      <c r="P23" s="21">
        <f t="shared" si="5"/>
        <v>2.284461054069007E-2</v>
      </c>
      <c r="R23" s="98">
        <f t="shared" si="0"/>
        <v>-31645.200000000004</v>
      </c>
      <c r="S23" s="98">
        <f t="shared" si="1"/>
        <v>0</v>
      </c>
    </row>
    <row r="24" spans="1:19" x14ac:dyDescent="0.25">
      <c r="A24" s="114" t="s">
        <v>18</v>
      </c>
      <c r="B24" s="128">
        <v>-6484.53</v>
      </c>
      <c r="C24" s="128">
        <v>0</v>
      </c>
      <c r="D24" s="128">
        <v>0</v>
      </c>
      <c r="E24" s="128">
        <v>0</v>
      </c>
      <c r="F24" s="128">
        <v>0</v>
      </c>
      <c r="G24" s="128">
        <v>0</v>
      </c>
      <c r="H24" s="128">
        <v>0</v>
      </c>
      <c r="I24" s="128">
        <v>0</v>
      </c>
      <c r="J24" s="128">
        <v>0</v>
      </c>
      <c r="K24" s="128">
        <v>0</v>
      </c>
      <c r="L24" s="128">
        <v>0</v>
      </c>
      <c r="M24" s="128">
        <v>0</v>
      </c>
      <c r="N24" s="128">
        <v>0</v>
      </c>
      <c r="O24" s="119">
        <f t="shared" si="4"/>
        <v>-6484.53</v>
      </c>
      <c r="P24" s="21">
        <f t="shared" si="5"/>
        <v>4.681170047571858E-3</v>
      </c>
      <c r="R24" s="98">
        <f t="shared" si="0"/>
        <v>-6484.53</v>
      </c>
      <c r="S24" s="98">
        <f t="shared" si="1"/>
        <v>0</v>
      </c>
    </row>
    <row r="25" spans="1:19" x14ac:dyDescent="0.25">
      <c r="A25" s="114" t="s">
        <v>19</v>
      </c>
      <c r="B25" s="128">
        <v>-34868.28</v>
      </c>
      <c r="C25" s="128">
        <v>-2580</v>
      </c>
      <c r="D25" s="128">
        <v>-2216.5300000000002</v>
      </c>
      <c r="E25" s="128">
        <v>-180</v>
      </c>
      <c r="F25" s="128">
        <v>-3462.14</v>
      </c>
      <c r="G25" s="128">
        <v>-610.6</v>
      </c>
      <c r="H25" s="128">
        <v>0</v>
      </c>
      <c r="I25" s="128">
        <v>0</v>
      </c>
      <c r="J25" s="128">
        <v>0</v>
      </c>
      <c r="K25" s="128">
        <v>0</v>
      </c>
      <c r="L25" s="128">
        <v>0</v>
      </c>
      <c r="M25" s="128">
        <v>0</v>
      </c>
      <c r="N25" s="128">
        <v>0</v>
      </c>
      <c r="O25" s="119">
        <f t="shared" si="4"/>
        <v>-43917.549999999996</v>
      </c>
      <c r="P25" s="21">
        <f t="shared" si="5"/>
        <v>3.1703996993265426E-2</v>
      </c>
      <c r="R25" s="98">
        <f t="shared" si="0"/>
        <v>-43917.549999999996</v>
      </c>
      <c r="S25" s="98">
        <f t="shared" si="1"/>
        <v>0</v>
      </c>
    </row>
    <row r="26" spans="1:19" x14ac:dyDescent="0.25">
      <c r="A26" s="114" t="s">
        <v>20</v>
      </c>
      <c r="B26" s="128">
        <v>0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28">
        <v>0</v>
      </c>
      <c r="L26" s="128">
        <v>0</v>
      </c>
      <c r="M26" s="128">
        <v>0</v>
      </c>
      <c r="N26" s="128">
        <v>0</v>
      </c>
      <c r="O26" s="119">
        <f t="shared" si="4"/>
        <v>0</v>
      </c>
      <c r="P26" s="21">
        <f t="shared" si="5"/>
        <v>0</v>
      </c>
      <c r="R26" s="98">
        <f t="shared" si="0"/>
        <v>0</v>
      </c>
      <c r="S26" s="98">
        <f t="shared" si="1"/>
        <v>0</v>
      </c>
    </row>
    <row r="27" spans="1:19" x14ac:dyDescent="0.25">
      <c r="A27" s="114" t="s">
        <v>59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28">
        <v>0</v>
      </c>
      <c r="L27" s="128">
        <v>0</v>
      </c>
      <c r="M27" s="128">
        <v>0</v>
      </c>
      <c r="N27" s="128">
        <v>0</v>
      </c>
      <c r="O27" s="119">
        <f t="shared" si="4"/>
        <v>0</v>
      </c>
      <c r="P27" s="21">
        <f t="shared" si="5"/>
        <v>0</v>
      </c>
      <c r="R27" s="98">
        <f t="shared" si="0"/>
        <v>0</v>
      </c>
      <c r="S27" s="98">
        <f t="shared" si="1"/>
        <v>0</v>
      </c>
    </row>
    <row r="28" spans="1:19" x14ac:dyDescent="0.25">
      <c r="A28" s="114" t="s">
        <v>21</v>
      </c>
      <c r="B28" s="128">
        <v>-6400</v>
      </c>
      <c r="C28" s="128">
        <v>-270</v>
      </c>
      <c r="D28" s="128">
        <v>0</v>
      </c>
      <c r="E28" s="128">
        <v>0</v>
      </c>
      <c r="F28" s="128">
        <v>0</v>
      </c>
      <c r="G28" s="128">
        <v>0</v>
      </c>
      <c r="H28" s="128">
        <v>0</v>
      </c>
      <c r="I28" s="128">
        <v>0</v>
      </c>
      <c r="J28" s="128">
        <v>0</v>
      </c>
      <c r="K28" s="128">
        <v>0</v>
      </c>
      <c r="L28" s="128">
        <v>0</v>
      </c>
      <c r="M28" s="128">
        <v>0</v>
      </c>
      <c r="N28" s="128">
        <v>0</v>
      </c>
      <c r="O28" s="119">
        <f t="shared" si="4"/>
        <v>-6670</v>
      </c>
      <c r="P28" s="21">
        <f t="shared" si="5"/>
        <v>4.815060492788883E-3</v>
      </c>
      <c r="R28" s="98">
        <f t="shared" si="0"/>
        <v>-6670</v>
      </c>
      <c r="S28" s="98">
        <f t="shared" si="1"/>
        <v>0</v>
      </c>
    </row>
    <row r="29" spans="1:19" x14ac:dyDescent="0.25">
      <c r="A29" s="114" t="s">
        <v>22</v>
      </c>
      <c r="B29" s="128">
        <v>0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28">
        <v>0</v>
      </c>
      <c r="O29" s="119">
        <f t="shared" si="4"/>
        <v>0</v>
      </c>
      <c r="P29" s="21">
        <f t="shared" si="5"/>
        <v>0</v>
      </c>
      <c r="R29" s="98">
        <f t="shared" si="0"/>
        <v>0</v>
      </c>
      <c r="S29" s="98">
        <f t="shared" si="1"/>
        <v>0</v>
      </c>
    </row>
    <row r="30" spans="1:19" x14ac:dyDescent="0.25">
      <c r="A30" s="129" t="s">
        <v>23</v>
      </c>
      <c r="B30" s="128">
        <v>-655.74</v>
      </c>
      <c r="C30" s="128">
        <v>0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8">
        <v>0</v>
      </c>
      <c r="K30" s="128">
        <v>0</v>
      </c>
      <c r="L30" s="128">
        <v>0</v>
      </c>
      <c r="M30" s="128">
        <v>0</v>
      </c>
      <c r="N30" s="128">
        <v>0</v>
      </c>
      <c r="O30" s="119">
        <f t="shared" si="4"/>
        <v>-655.74</v>
      </c>
      <c r="P30" s="21">
        <f t="shared" si="5"/>
        <v>4.7337747639301085E-4</v>
      </c>
      <c r="R30" s="98">
        <f t="shared" si="0"/>
        <v>-655.74</v>
      </c>
      <c r="S30" s="98">
        <f t="shared" si="1"/>
        <v>0</v>
      </c>
    </row>
    <row r="31" spans="1:19" x14ac:dyDescent="0.25">
      <c r="A31" s="114" t="s">
        <v>24</v>
      </c>
      <c r="B31" s="128">
        <v>-59891.28</v>
      </c>
      <c r="C31" s="128">
        <v>-2963.5</v>
      </c>
      <c r="D31" s="128">
        <v>-299</v>
      </c>
      <c r="E31" s="128">
        <v>-1835</v>
      </c>
      <c r="F31" s="128">
        <v>-1734</v>
      </c>
      <c r="G31" s="128">
        <v>-4522</v>
      </c>
      <c r="H31" s="128">
        <v>0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28">
        <v>0</v>
      </c>
      <c r="O31" s="119">
        <f t="shared" si="4"/>
        <v>-71244.78</v>
      </c>
      <c r="P31" s="21">
        <f t="shared" si="5"/>
        <v>5.1431473087771448E-2</v>
      </c>
      <c r="R31" s="98">
        <f t="shared" si="0"/>
        <v>-71244.78</v>
      </c>
      <c r="S31" s="98">
        <f t="shared" si="1"/>
        <v>0</v>
      </c>
    </row>
    <row r="32" spans="1:19" x14ac:dyDescent="0.25">
      <c r="A32" s="130" t="s">
        <v>25</v>
      </c>
      <c r="B32" s="128">
        <v>-143039.1</v>
      </c>
      <c r="C32" s="128">
        <v>-13458.63</v>
      </c>
      <c r="D32" s="128">
        <v>-2189.79</v>
      </c>
      <c r="E32" s="128">
        <v>-4675.8500000000004</v>
      </c>
      <c r="F32" s="128">
        <v>-2190.08</v>
      </c>
      <c r="G32" s="128">
        <v>-2802.64</v>
      </c>
      <c r="H32" s="128">
        <v>0</v>
      </c>
      <c r="I32" s="128">
        <v>0</v>
      </c>
      <c r="J32" s="128">
        <v>0</v>
      </c>
      <c r="K32" s="128">
        <v>0</v>
      </c>
      <c r="L32" s="128">
        <v>0</v>
      </c>
      <c r="M32" s="128">
        <v>0</v>
      </c>
      <c r="N32" s="128">
        <v>0</v>
      </c>
      <c r="O32" s="119">
        <f t="shared" si="4"/>
        <v>-168356.09000000003</v>
      </c>
      <c r="P32" s="21">
        <f t="shared" si="5"/>
        <v>0.12153594567907192</v>
      </c>
      <c r="R32" s="98">
        <f t="shared" si="0"/>
        <v>-168356.09000000003</v>
      </c>
      <c r="S32" s="98">
        <f t="shared" si="1"/>
        <v>0</v>
      </c>
    </row>
    <row r="33" spans="1:19" x14ac:dyDescent="0.25">
      <c r="A33" s="114" t="s">
        <v>26</v>
      </c>
      <c r="B33" s="128">
        <v>-2987.23</v>
      </c>
      <c r="C33" s="128">
        <v>-330</v>
      </c>
      <c r="D33" s="128">
        <v>-330</v>
      </c>
      <c r="E33" s="128">
        <v>-347.23</v>
      </c>
      <c r="F33" s="128">
        <v>-344.73</v>
      </c>
      <c r="G33" s="128">
        <v>-342.58</v>
      </c>
      <c r="H33" s="128">
        <v>0</v>
      </c>
      <c r="I33" s="128">
        <v>0</v>
      </c>
      <c r="J33" s="128">
        <v>0</v>
      </c>
      <c r="K33" s="128">
        <v>0</v>
      </c>
      <c r="L33" s="128">
        <v>0</v>
      </c>
      <c r="M33" s="128">
        <v>0</v>
      </c>
      <c r="N33" s="128">
        <v>0</v>
      </c>
      <c r="O33" s="119">
        <f t="shared" si="4"/>
        <v>-4681.7700000000004</v>
      </c>
      <c r="P33" s="21">
        <f t="shared" si="5"/>
        <v>3.3797609840066282E-3</v>
      </c>
      <c r="R33" s="98">
        <f t="shared" si="0"/>
        <v>-4681.7700000000004</v>
      </c>
      <c r="S33" s="98">
        <f t="shared" si="1"/>
        <v>0</v>
      </c>
    </row>
    <row r="34" spans="1:19" x14ac:dyDescent="0.25">
      <c r="A34" s="114" t="s">
        <v>27</v>
      </c>
      <c r="B34" s="128">
        <v>0</v>
      </c>
      <c r="C34" s="128">
        <v>0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19">
        <f t="shared" si="4"/>
        <v>0</v>
      </c>
      <c r="P34" s="21">
        <f t="shared" si="5"/>
        <v>0</v>
      </c>
      <c r="R34" s="98">
        <f t="shared" si="0"/>
        <v>0</v>
      </c>
      <c r="S34" s="98">
        <f t="shared" si="1"/>
        <v>0</v>
      </c>
    </row>
    <row r="35" spans="1:19" x14ac:dyDescent="0.25">
      <c r="A35" s="129" t="s">
        <v>28</v>
      </c>
      <c r="B35" s="128">
        <v>-1661.72</v>
      </c>
      <c r="C35" s="128">
        <v>0</v>
      </c>
      <c r="D35" s="128">
        <v>-37.840000000000003</v>
      </c>
      <c r="E35" s="128">
        <v>-95.73</v>
      </c>
      <c r="F35" s="128">
        <v>-289.88</v>
      </c>
      <c r="G35" s="128">
        <v>0</v>
      </c>
      <c r="H35" s="128">
        <v>0</v>
      </c>
      <c r="I35" s="128">
        <v>0</v>
      </c>
      <c r="J35" s="128">
        <v>0</v>
      </c>
      <c r="K35" s="128">
        <v>0</v>
      </c>
      <c r="L35" s="128">
        <v>0</v>
      </c>
      <c r="M35" s="128">
        <v>0</v>
      </c>
      <c r="N35" s="128">
        <v>0</v>
      </c>
      <c r="O35" s="119">
        <f t="shared" si="4"/>
        <v>-2085.17</v>
      </c>
      <c r="P35" s="21">
        <f t="shared" si="5"/>
        <v>1.5052803130057863E-3</v>
      </c>
      <c r="R35" s="98">
        <f t="shared" si="0"/>
        <v>-2085.17</v>
      </c>
      <c r="S35" s="98">
        <f t="shared" si="1"/>
        <v>0</v>
      </c>
    </row>
    <row r="36" spans="1:19" x14ac:dyDescent="0.25">
      <c r="A36" s="114" t="s">
        <v>29</v>
      </c>
      <c r="B36" s="128">
        <v>-15567.38</v>
      </c>
      <c r="C36" s="128">
        <v>-1423.85</v>
      </c>
      <c r="D36" s="128">
        <v>-1154.04</v>
      </c>
      <c r="E36" s="128">
        <v>-260.70999999999998</v>
      </c>
      <c r="F36" s="128">
        <v>-765.6</v>
      </c>
      <c r="G36" s="128">
        <v>-751.88</v>
      </c>
      <c r="H36" s="128">
        <v>0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28">
        <v>0</v>
      </c>
      <c r="O36" s="119">
        <f t="shared" si="4"/>
        <v>-19923.46</v>
      </c>
      <c r="P36" s="21">
        <f t="shared" si="5"/>
        <v>1.4382708414641619E-2</v>
      </c>
      <c r="R36" s="98">
        <f t="shared" si="0"/>
        <v>-19923.46</v>
      </c>
      <c r="S36" s="98">
        <f t="shared" si="1"/>
        <v>0</v>
      </c>
    </row>
    <row r="37" spans="1:19" x14ac:dyDescent="0.25">
      <c r="A37" s="15" t="s">
        <v>276</v>
      </c>
      <c r="B37" s="128">
        <v>-15194.59</v>
      </c>
      <c r="C37" s="128">
        <v>-1465.96</v>
      </c>
      <c r="D37" s="128">
        <v>-213.47</v>
      </c>
      <c r="E37" s="128">
        <v>-473.23</v>
      </c>
      <c r="F37" s="128">
        <v>-213.47</v>
      </c>
      <c r="G37" s="128">
        <v>-273.13</v>
      </c>
      <c r="H37" s="128">
        <v>0</v>
      </c>
      <c r="I37" s="128">
        <v>0</v>
      </c>
      <c r="J37" s="128">
        <v>0</v>
      </c>
      <c r="K37" s="128">
        <v>0</v>
      </c>
      <c r="L37" s="128">
        <v>0</v>
      </c>
      <c r="M37" s="128">
        <v>0</v>
      </c>
      <c r="N37" s="128">
        <v>0</v>
      </c>
      <c r="O37" s="119">
        <f t="shared" si="4"/>
        <v>-17833.850000000002</v>
      </c>
      <c r="P37" s="21">
        <f t="shared" si="5"/>
        <v>1.2874222873961474E-2</v>
      </c>
      <c r="R37" s="98">
        <f t="shared" si="0"/>
        <v>-17833.850000000002</v>
      </c>
      <c r="S37" s="98">
        <f t="shared" si="1"/>
        <v>0</v>
      </c>
    </row>
    <row r="38" spans="1:19" x14ac:dyDescent="0.25">
      <c r="A38" s="114" t="s">
        <v>97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28">
        <v>0</v>
      </c>
      <c r="N38" s="128">
        <v>0</v>
      </c>
      <c r="O38" s="119">
        <f t="shared" si="4"/>
        <v>0</v>
      </c>
      <c r="P38" s="21">
        <f t="shared" si="5"/>
        <v>0</v>
      </c>
      <c r="R38" s="98">
        <f t="shared" si="0"/>
        <v>0</v>
      </c>
      <c r="S38" s="98">
        <f t="shared" si="1"/>
        <v>0</v>
      </c>
    </row>
    <row r="39" spans="1:19" x14ac:dyDescent="0.25">
      <c r="A39" s="114" t="s">
        <v>114</v>
      </c>
      <c r="B39" s="128">
        <v>0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28">
        <v>0</v>
      </c>
      <c r="O39" s="119">
        <f t="shared" si="4"/>
        <v>0</v>
      </c>
      <c r="P39" s="21">
        <f t="shared" si="5"/>
        <v>0</v>
      </c>
      <c r="R39" s="98">
        <f t="shared" si="0"/>
        <v>0</v>
      </c>
      <c r="S39" s="98">
        <f t="shared" si="1"/>
        <v>0</v>
      </c>
    </row>
    <row r="40" spans="1:19" x14ac:dyDescent="0.25">
      <c r="A40" s="131" t="s">
        <v>31</v>
      </c>
      <c r="B40" s="132">
        <f t="shared" ref="B40:N40" si="6">SUM(B14:B39)</f>
        <v>-415373.67</v>
      </c>
      <c r="C40" s="132">
        <f t="shared" ref="C40" si="7">SUM(C14:C39)</f>
        <v>-32637.929999999997</v>
      </c>
      <c r="D40" s="132">
        <f t="shared" si="6"/>
        <v>-16243.249999999998</v>
      </c>
      <c r="E40" s="132">
        <f t="shared" si="6"/>
        <v>-14707.489999999998</v>
      </c>
      <c r="F40" s="132">
        <f t="shared" si="6"/>
        <v>-15687.679999999998</v>
      </c>
      <c r="G40" s="132">
        <f t="shared" si="6"/>
        <v>-12968.999999999998</v>
      </c>
      <c r="H40" s="132">
        <f t="shared" si="6"/>
        <v>0</v>
      </c>
      <c r="I40" s="132">
        <f t="shared" si="6"/>
        <v>0</v>
      </c>
      <c r="J40" s="132">
        <f t="shared" si="6"/>
        <v>0</v>
      </c>
      <c r="K40" s="132">
        <f t="shared" si="6"/>
        <v>0</v>
      </c>
      <c r="L40" s="132">
        <f t="shared" si="6"/>
        <v>0</v>
      </c>
      <c r="M40" s="132"/>
      <c r="N40" s="132">
        <f t="shared" si="6"/>
        <v>0</v>
      </c>
      <c r="O40" s="132">
        <f>SUM(O14:O39)</f>
        <v>-507619.02</v>
      </c>
      <c r="P40" s="21">
        <f t="shared" si="5"/>
        <v>0.36644921867919189</v>
      </c>
      <c r="R40" s="98">
        <f t="shared" si="0"/>
        <v>-507619.01999999996</v>
      </c>
      <c r="S40" s="98">
        <f t="shared" si="1"/>
        <v>0</v>
      </c>
    </row>
    <row r="41" spans="1:19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25"/>
      <c r="P41" s="159"/>
      <c r="R41" s="98">
        <f t="shared" si="0"/>
        <v>0</v>
      </c>
      <c r="S41" s="98">
        <f t="shared" si="1"/>
        <v>0</v>
      </c>
    </row>
    <row r="42" spans="1:19" x14ac:dyDescent="0.25">
      <c r="A42" s="135" t="s">
        <v>32</v>
      </c>
      <c r="B42" s="165">
        <f t="shared" ref="B42:L42" si="8">B11+B40</f>
        <v>597320.4600000002</v>
      </c>
      <c r="C42" s="136">
        <f t="shared" ref="C42" si="9">C11+C40</f>
        <v>-32637.929999999997</v>
      </c>
      <c r="D42" s="165">
        <f t="shared" si="8"/>
        <v>45950.05</v>
      </c>
      <c r="E42" s="165">
        <f t="shared" si="8"/>
        <v>67363.69</v>
      </c>
      <c r="F42" s="165">
        <f t="shared" si="8"/>
        <v>212590.72</v>
      </c>
      <c r="G42" s="136">
        <f t="shared" si="8"/>
        <v>-12968.999999999998</v>
      </c>
      <c r="H42" s="165">
        <f t="shared" si="8"/>
        <v>0</v>
      </c>
      <c r="I42" s="165">
        <f t="shared" si="8"/>
        <v>0</v>
      </c>
      <c r="J42" s="165">
        <f t="shared" si="8"/>
        <v>0</v>
      </c>
      <c r="K42" s="165">
        <f t="shared" si="8"/>
        <v>0</v>
      </c>
      <c r="L42" s="165">
        <f t="shared" si="8"/>
        <v>0</v>
      </c>
      <c r="M42" s="165"/>
      <c r="N42" s="165">
        <f>N11+N40</f>
        <v>0</v>
      </c>
      <c r="O42" s="166">
        <f>SUM(B42:N42)</f>
        <v>877617.99000000022</v>
      </c>
      <c r="P42" s="21">
        <f>O42/$O$11</f>
        <v>0.63355078132080811</v>
      </c>
      <c r="R42" s="98">
        <f t="shared" si="0"/>
        <v>877617.99000000022</v>
      </c>
      <c r="S42" s="98">
        <f t="shared" si="1"/>
        <v>0</v>
      </c>
    </row>
    <row r="43" spans="1:19" x14ac:dyDescent="0.25">
      <c r="A43" s="13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62"/>
      <c r="R43" s="98">
        <f t="shared" si="0"/>
        <v>0</v>
      </c>
      <c r="S43" s="98">
        <f t="shared" si="1"/>
        <v>0</v>
      </c>
    </row>
    <row r="44" spans="1:19" x14ac:dyDescent="0.25">
      <c r="A44" s="126" t="s">
        <v>56</v>
      </c>
      <c r="B44" s="139">
        <f t="shared" ref="B44:N44" si="10">-B9*13.15%</f>
        <v>-76197.615825000015</v>
      </c>
      <c r="C44" s="139">
        <f t="shared" ref="C44" si="11">-C9*13.15%</f>
        <v>0</v>
      </c>
      <c r="D44" s="139">
        <f t="shared" si="10"/>
        <v>-4089.2094750000006</v>
      </c>
      <c r="E44" s="139">
        <f t="shared" si="10"/>
        <v>-5396.180085</v>
      </c>
      <c r="F44" s="139">
        <f t="shared" si="10"/>
        <v>-24460.87256</v>
      </c>
      <c r="G44" s="139">
        <f t="shared" si="10"/>
        <v>0</v>
      </c>
      <c r="H44" s="139">
        <f t="shared" si="10"/>
        <v>0</v>
      </c>
      <c r="I44" s="139">
        <f t="shared" si="10"/>
        <v>0</v>
      </c>
      <c r="J44" s="139">
        <f t="shared" si="10"/>
        <v>0</v>
      </c>
      <c r="K44" s="139">
        <f t="shared" si="10"/>
        <v>0</v>
      </c>
      <c r="L44" s="139">
        <f t="shared" si="10"/>
        <v>0</v>
      </c>
      <c r="M44" s="139"/>
      <c r="N44" s="139">
        <f t="shared" si="10"/>
        <v>0</v>
      </c>
      <c r="O44" s="119">
        <f t="shared" ref="O44" si="12">SUM(B44:N44)</f>
        <v>-110143.87794500001</v>
      </c>
      <c r="P44" s="21">
        <f t="shared" si="5"/>
        <v>7.951265895285313E-2</v>
      </c>
      <c r="R44" s="98">
        <f t="shared" si="0"/>
        <v>-110143.87794500001</v>
      </c>
      <c r="S44" s="98">
        <f t="shared" si="1"/>
        <v>0</v>
      </c>
    </row>
    <row r="45" spans="1:19" x14ac:dyDescent="0.25">
      <c r="A45" s="137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62"/>
      <c r="R45" s="98">
        <f t="shared" si="0"/>
        <v>0</v>
      </c>
      <c r="S45" s="98">
        <f t="shared" si="1"/>
        <v>0</v>
      </c>
    </row>
    <row r="46" spans="1:19" x14ac:dyDescent="0.25">
      <c r="A46" s="126" t="s">
        <v>33</v>
      </c>
      <c r="B46" s="139">
        <f t="shared" ref="B46:N46" si="13">-B9*1.22%</f>
        <v>-7069.2845100000004</v>
      </c>
      <c r="C46" s="139">
        <f t="shared" ref="C46" si="14">-C9*1.22%</f>
        <v>0</v>
      </c>
      <c r="D46" s="139">
        <f t="shared" si="13"/>
        <v>-379.37912999999998</v>
      </c>
      <c r="E46" s="139">
        <f t="shared" si="13"/>
        <v>-500.63419799999991</v>
      </c>
      <c r="F46" s="139">
        <f t="shared" si="13"/>
        <v>-2269.3737279999996</v>
      </c>
      <c r="G46" s="139">
        <f t="shared" si="13"/>
        <v>0</v>
      </c>
      <c r="H46" s="139">
        <f t="shared" si="13"/>
        <v>0</v>
      </c>
      <c r="I46" s="139">
        <f t="shared" si="13"/>
        <v>0</v>
      </c>
      <c r="J46" s="139">
        <f t="shared" si="13"/>
        <v>0</v>
      </c>
      <c r="K46" s="139">
        <f t="shared" si="13"/>
        <v>0</v>
      </c>
      <c r="L46" s="139">
        <f t="shared" si="13"/>
        <v>0</v>
      </c>
      <c r="M46" s="139"/>
      <c r="N46" s="139">
        <f t="shared" si="13"/>
        <v>0</v>
      </c>
      <c r="O46" s="119">
        <f t="shared" ref="O46" si="15">SUM(B46:N46)</f>
        <v>-10218.671566000001</v>
      </c>
      <c r="P46" s="21">
        <f t="shared" si="5"/>
        <v>7.37683984201375E-3</v>
      </c>
      <c r="R46" s="98">
        <f t="shared" si="0"/>
        <v>-10218.671566000001</v>
      </c>
      <c r="S46" s="98">
        <f t="shared" si="1"/>
        <v>0</v>
      </c>
    </row>
    <row r="47" spans="1:19" x14ac:dyDescent="0.2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62"/>
      <c r="R47" s="98">
        <f t="shared" si="0"/>
        <v>0</v>
      </c>
      <c r="S47" s="98">
        <f t="shared" si="1"/>
        <v>0</v>
      </c>
    </row>
    <row r="48" spans="1:19" x14ac:dyDescent="0.25">
      <c r="A48" s="113" t="s">
        <v>57</v>
      </c>
      <c r="B48" s="142">
        <f t="shared" ref="B48:L48" si="16">B40*5.56%</f>
        <v>-23094.776051999997</v>
      </c>
      <c r="C48" s="142">
        <f t="shared" ref="C48" si="17">C40*5.56%</f>
        <v>-1814.6689079999996</v>
      </c>
      <c r="D48" s="142">
        <f t="shared" si="16"/>
        <v>-903.12469999999985</v>
      </c>
      <c r="E48" s="142">
        <f t="shared" si="16"/>
        <v>-817.73644399999989</v>
      </c>
      <c r="F48" s="142">
        <f t="shared" si="16"/>
        <v>-872.23500799999988</v>
      </c>
      <c r="G48" s="142">
        <f t="shared" si="16"/>
        <v>-721.07639999999981</v>
      </c>
      <c r="H48" s="142">
        <f t="shared" si="16"/>
        <v>0</v>
      </c>
      <c r="I48" s="142">
        <f t="shared" si="16"/>
        <v>0</v>
      </c>
      <c r="J48" s="142">
        <f t="shared" si="16"/>
        <v>0</v>
      </c>
      <c r="K48" s="142">
        <f t="shared" si="16"/>
        <v>0</v>
      </c>
      <c r="L48" s="142">
        <f t="shared" si="16"/>
        <v>0</v>
      </c>
      <c r="M48" s="142"/>
      <c r="N48" s="142">
        <f>N40*5.56%</f>
        <v>0</v>
      </c>
      <c r="O48" s="119">
        <f t="shared" ref="O48" si="18">SUM(B48:N48)</f>
        <v>-28223.617511999993</v>
      </c>
      <c r="P48" s="21">
        <f t="shared" si="5"/>
        <v>2.0374576558563062E-2</v>
      </c>
      <c r="R48" s="98">
        <f t="shared" si="0"/>
        <v>-28223.617511999993</v>
      </c>
      <c r="S48" s="98">
        <f t="shared" si="1"/>
        <v>0</v>
      </c>
    </row>
    <row r="49" spans="1:19" x14ac:dyDescent="0.2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62"/>
      <c r="R49" s="98">
        <f t="shared" si="0"/>
        <v>0</v>
      </c>
      <c r="S49" s="98">
        <f t="shared" si="1"/>
        <v>0</v>
      </c>
    </row>
    <row r="50" spans="1:19" x14ac:dyDescent="0.25">
      <c r="A50" s="113" t="s">
        <v>58</v>
      </c>
      <c r="B50" s="142">
        <f t="shared" ref="B50:L50" si="19">B40*0.01%</f>
        <v>-41.537367000000003</v>
      </c>
      <c r="C50" s="142">
        <f t="shared" ref="C50" si="20">C40*0.01%</f>
        <v>-3.2637929999999997</v>
      </c>
      <c r="D50" s="142">
        <f t="shared" si="19"/>
        <v>-1.6243249999999998</v>
      </c>
      <c r="E50" s="142">
        <f t="shared" si="19"/>
        <v>-1.4707489999999999</v>
      </c>
      <c r="F50" s="142">
        <f t="shared" si="19"/>
        <v>-1.5687679999999999</v>
      </c>
      <c r="G50" s="142">
        <f t="shared" si="19"/>
        <v>-1.2968999999999999</v>
      </c>
      <c r="H50" s="142">
        <f t="shared" si="19"/>
        <v>0</v>
      </c>
      <c r="I50" s="142">
        <f t="shared" si="19"/>
        <v>0</v>
      </c>
      <c r="J50" s="142">
        <f t="shared" si="19"/>
        <v>0</v>
      </c>
      <c r="K50" s="142">
        <f t="shared" si="19"/>
        <v>0</v>
      </c>
      <c r="L50" s="142">
        <f t="shared" si="19"/>
        <v>0</v>
      </c>
      <c r="M50" s="142"/>
      <c r="N50" s="142">
        <f>N40*0.01%</f>
        <v>0</v>
      </c>
      <c r="O50" s="119">
        <f t="shared" ref="O50" si="21">SUM(B50:N50)</f>
        <v>-50.761901999999999</v>
      </c>
      <c r="P50" s="21">
        <f t="shared" si="5"/>
        <v>3.664492186791919E-5</v>
      </c>
      <c r="R50" s="98">
        <f t="shared" si="0"/>
        <v>-50.761901999999999</v>
      </c>
      <c r="S50" s="98">
        <f t="shared" si="1"/>
        <v>0</v>
      </c>
    </row>
    <row r="51" spans="1:19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62"/>
      <c r="R51" s="98">
        <f t="shared" si="0"/>
        <v>0</v>
      </c>
      <c r="S51" s="98">
        <f t="shared" si="1"/>
        <v>0</v>
      </c>
    </row>
    <row r="52" spans="1:19" x14ac:dyDescent="0.25">
      <c r="A52" s="135" t="s">
        <v>245</v>
      </c>
      <c r="B52" s="165">
        <f>B42+B48+B50+B44+B46</f>
        <v>490917.24624600017</v>
      </c>
      <c r="C52" s="136">
        <f>C42+C48+C50+C44+C46</f>
        <v>-34455.862700999998</v>
      </c>
      <c r="D52" s="165">
        <f t="shared" ref="D52:L52" si="22">D42+D48+D50+D44+D46</f>
        <v>40576.712370000001</v>
      </c>
      <c r="E52" s="165">
        <f t="shared" si="22"/>
        <v>60647.668524000008</v>
      </c>
      <c r="F52" s="165">
        <f t="shared" si="22"/>
        <v>184986.66993600002</v>
      </c>
      <c r="G52" s="136">
        <f t="shared" si="22"/>
        <v>-13691.373299999997</v>
      </c>
      <c r="H52" s="165">
        <f t="shared" si="22"/>
        <v>0</v>
      </c>
      <c r="I52" s="165">
        <f t="shared" si="22"/>
        <v>0</v>
      </c>
      <c r="J52" s="165">
        <f t="shared" si="22"/>
        <v>0</v>
      </c>
      <c r="K52" s="165">
        <f t="shared" si="22"/>
        <v>0</v>
      </c>
      <c r="L52" s="165">
        <f t="shared" si="22"/>
        <v>0</v>
      </c>
      <c r="M52" s="165"/>
      <c r="N52" s="165">
        <f>N42+N48+N50+N44+N46</f>
        <v>0</v>
      </c>
      <c r="O52" s="166">
        <f>SUM(B52:N52)</f>
        <v>728981.06107500021</v>
      </c>
      <c r="P52" s="21">
        <f>O52/$O$11</f>
        <v>0.5262500610455102</v>
      </c>
      <c r="R52" s="98">
        <f t="shared" si="0"/>
        <v>728981.06107500021</v>
      </c>
      <c r="S52" s="98">
        <f t="shared" si="1"/>
        <v>0</v>
      </c>
    </row>
    <row r="53" spans="1:19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63"/>
    </row>
    <row r="54" spans="1:19" x14ac:dyDescent="0.25">
      <c r="A54" s="144" t="s">
        <v>35</v>
      </c>
      <c r="B54" s="13"/>
      <c r="C54" s="13">
        <v>6</v>
      </c>
      <c r="D54" s="13">
        <v>1</v>
      </c>
      <c r="E54" s="13">
        <v>2</v>
      </c>
      <c r="F54" s="13">
        <v>1</v>
      </c>
      <c r="G54" s="13">
        <v>1</v>
      </c>
      <c r="H54" s="13"/>
      <c r="I54" s="13"/>
      <c r="J54" s="13"/>
      <c r="K54" s="13"/>
      <c r="L54" s="13"/>
      <c r="M54" s="13"/>
      <c r="N54" s="13"/>
      <c r="O54" s="145"/>
      <c r="P54" s="163"/>
    </row>
    <row r="55" spans="1:19" x14ac:dyDescent="0.25">
      <c r="A55" s="80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53"/>
    </row>
    <row r="56" spans="1:19" x14ac:dyDescent="0.25">
      <c r="A56" s="146" t="s">
        <v>36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64">
        <v>46203</v>
      </c>
    </row>
    <row r="57" spans="1:19" x14ac:dyDescent="0.25">
      <c r="B57" s="98">
        <f t="shared" ref="B57:O57" si="23">B11+B40+B44+B46+B48+B50</f>
        <v>490917.24624600017</v>
      </c>
      <c r="C57" s="98">
        <f t="shared" ref="C57" si="24">C11+C40+C44+C46+C48+C50</f>
        <v>-34455.862700999998</v>
      </c>
      <c r="D57" s="98">
        <f t="shared" si="23"/>
        <v>40576.712370000001</v>
      </c>
      <c r="E57" s="98">
        <f t="shared" si="23"/>
        <v>60647.668524000001</v>
      </c>
      <c r="F57" s="98">
        <f t="shared" si="23"/>
        <v>184986.66993600002</v>
      </c>
      <c r="G57" s="98">
        <f t="shared" si="23"/>
        <v>-13691.373299999997</v>
      </c>
      <c r="H57" s="98">
        <f t="shared" si="23"/>
        <v>0</v>
      </c>
      <c r="I57" s="98">
        <f t="shared" si="23"/>
        <v>0</v>
      </c>
      <c r="J57" s="98">
        <f t="shared" si="23"/>
        <v>0</v>
      </c>
      <c r="K57" s="98">
        <f t="shared" si="23"/>
        <v>0</v>
      </c>
      <c r="L57" s="98">
        <f t="shared" si="23"/>
        <v>0</v>
      </c>
      <c r="M57" s="98"/>
      <c r="N57" s="98">
        <f t="shared" si="23"/>
        <v>0</v>
      </c>
      <c r="O57" s="98">
        <f t="shared" si="23"/>
        <v>728981.06107500009</v>
      </c>
      <c r="P57" s="153"/>
    </row>
    <row r="58" spans="1:19" x14ac:dyDescent="0.25">
      <c r="P58" s="153"/>
    </row>
    <row r="59" spans="1:19" x14ac:dyDescent="0.25">
      <c r="B59" s="98">
        <f t="shared" ref="B59:O59" si="25">B57-B52</f>
        <v>0</v>
      </c>
      <c r="C59" s="98">
        <f t="shared" ref="C59" si="26">C57-C52</f>
        <v>0</v>
      </c>
      <c r="D59" s="98">
        <f t="shared" si="25"/>
        <v>0</v>
      </c>
      <c r="E59" s="98">
        <f t="shared" si="25"/>
        <v>0</v>
      </c>
      <c r="F59" s="98">
        <f t="shared" si="25"/>
        <v>0</v>
      </c>
      <c r="G59" s="98">
        <f t="shared" si="25"/>
        <v>0</v>
      </c>
      <c r="H59" s="98">
        <f t="shared" si="25"/>
        <v>0</v>
      </c>
      <c r="I59" s="98">
        <f t="shared" si="25"/>
        <v>0</v>
      </c>
      <c r="J59" s="98">
        <f t="shared" si="25"/>
        <v>0</v>
      </c>
      <c r="K59" s="98">
        <f t="shared" si="25"/>
        <v>0</v>
      </c>
      <c r="L59" s="98">
        <f t="shared" si="25"/>
        <v>0</v>
      </c>
      <c r="M59" s="98"/>
      <c r="N59" s="98">
        <f t="shared" si="25"/>
        <v>0</v>
      </c>
      <c r="O59" s="98">
        <f t="shared" si="25"/>
        <v>0</v>
      </c>
      <c r="P59" s="153"/>
    </row>
    <row r="60" spans="1:19" x14ac:dyDescent="0.25">
      <c r="P60" s="153"/>
    </row>
  </sheetData>
  <mergeCells count="3">
    <mergeCell ref="A1:P1"/>
    <mergeCell ref="A3:P3"/>
    <mergeCell ref="A5:P5"/>
  </mergeCells>
  <printOptions horizontalCentered="1" verticalCentered="1"/>
  <pageMargins left="0.19685039370078741" right="0.11811023622047245" top="0.19685039370078741" bottom="0" header="0.11811023622047245" footer="0"/>
  <pageSetup paperSize="9" scale="71" orientation="landscape" r:id="rId1"/>
  <headerFooter>
    <oddHeader>&amp;L&amp;"-,Negrito"&amp;16                                                                                                    BELA NOVA CONSTRUTORA LTDA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A1:R60"/>
  <sheetViews>
    <sheetView zoomScale="85" zoomScaleNormal="85" workbookViewId="0">
      <pane xSplit="1" topLeftCell="E1" activePane="topRight" state="frozen"/>
      <selection sqref="A1:N56"/>
      <selection pane="topRight" activeCell="F53" sqref="F53"/>
    </sheetView>
  </sheetViews>
  <sheetFormatPr defaultRowHeight="15" x14ac:dyDescent="0.25"/>
  <cols>
    <col min="1" max="1" width="51.42578125" customWidth="1"/>
    <col min="2" max="2" width="16.140625" bestFit="1" customWidth="1"/>
    <col min="3" max="3" width="16.28515625" customWidth="1"/>
    <col min="4" max="4" width="15.140625" customWidth="1"/>
    <col min="5" max="5" width="16.5703125" customWidth="1"/>
    <col min="6" max="6" width="18" customWidth="1"/>
    <col min="7" max="7" width="15.5703125" customWidth="1"/>
    <col min="8" max="8" width="18.140625" customWidth="1"/>
    <col min="9" max="9" width="16.140625" customWidth="1"/>
    <col min="10" max="10" width="14.7109375" customWidth="1"/>
    <col min="11" max="11" width="16.85546875" customWidth="1"/>
    <col min="12" max="12" width="16.7109375" hidden="1" customWidth="1"/>
    <col min="13" max="13" width="16.140625" bestFit="1" customWidth="1"/>
    <col min="14" max="14" width="11" bestFit="1" customWidth="1"/>
    <col min="16" max="16" width="17" bestFit="1" customWidth="1"/>
    <col min="18" max="18" width="16" bestFit="1" customWidth="1"/>
  </cols>
  <sheetData>
    <row r="1" spans="1:18" ht="15.75" x14ac:dyDescent="0.25">
      <c r="A1" s="214" t="s">
        <v>284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</row>
    <row r="2" spans="1:18" ht="11.25" customHeight="1" x14ac:dyDescent="0.25">
      <c r="A2" s="108"/>
      <c r="B2" s="109"/>
      <c r="C2" s="109"/>
    </row>
    <row r="3" spans="1:18" ht="15.75" x14ac:dyDescent="0.25">
      <c r="A3" s="214" t="s">
        <v>285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</row>
    <row r="4" spans="1:18" ht="10.5" customHeight="1" x14ac:dyDescent="0.25">
      <c r="A4" s="108"/>
      <c r="B4" s="109"/>
      <c r="C4" s="109"/>
    </row>
    <row r="5" spans="1:18" ht="16.5" customHeight="1" x14ac:dyDescent="0.25">
      <c r="A5" s="202" t="s">
        <v>294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P5" s="172">
        <f>'OBRA 251'!Q13+'OBRA 274'!R14+'OBRA 277'!Q14+'OBRA 283'!Q11+'OBRA 286'!Q11+'OBRA 287'!Q11+'OBRA 290'!P11+'OBRA 291'!Q11+'OBRA 292'!O11+'OBRA 293'!O11+'OBRA 295'!P11+'OBRA 296'!P11+'OBRA 298'!P12+'OBRA 299'!O11+'OBRA 300'!P12+'OBRA 301'!P11+'OBRA 302'!O11+'OBRA 303'!P11+'OBRA 304'!P11+'OBRA 305'!O11+'OBRA 306'!P11+'OBRA 307'!O11+'OBRA 308'!O11+'OBRA 309'!M11</f>
        <v>31904984.180000003</v>
      </c>
      <c r="Q5" s="107" t="s">
        <v>264</v>
      </c>
      <c r="R5" s="107"/>
    </row>
    <row r="6" spans="1:18" x14ac:dyDescent="0.25">
      <c r="A6" s="110"/>
      <c r="B6" s="109"/>
      <c r="C6" s="109"/>
      <c r="P6" s="172">
        <f>'OBRA 251'!Q54+'OBRA 274'!R55+'OBRA 277'!Q55+'OBRA 283'!Q52+'OBRA 286'!Q52+'OBRA 287'!Q52+'OBRA 290'!P52+'OBRA 291'!Q52+'OBRA 292'!O52+'OBRA 293'!O52+'OBRA 295'!P52+'OBRA 296'!P52+'OBRA 298'!P53+'OBRA 299'!O52+'OBRA 300'!P53+'OBRA 301'!P52+'OBRA 302'!O52+'OBRA 303'!P52+'OBRA 304'!P52+'OBRA 305'!O52+'OBRA 306'!P52+'OBRA 307'!O52+'OBRA 308'!O52+'OBRA 309'!M52</f>
        <v>803385.51784900087</v>
      </c>
      <c r="Q6" s="107" t="s">
        <v>265</v>
      </c>
      <c r="R6" s="107"/>
    </row>
    <row r="7" spans="1:18" x14ac:dyDescent="0.25">
      <c r="A7" s="111"/>
      <c r="B7" s="60" t="s">
        <v>242</v>
      </c>
      <c r="C7" s="60" t="s">
        <v>244</v>
      </c>
      <c r="D7" s="60" t="s">
        <v>247</v>
      </c>
      <c r="E7" s="60" t="s">
        <v>248</v>
      </c>
      <c r="F7" s="60" t="s">
        <v>249</v>
      </c>
      <c r="G7" s="60" t="s">
        <v>258</v>
      </c>
      <c r="H7" s="60" t="s">
        <v>259</v>
      </c>
      <c r="I7" s="60" t="s">
        <v>260</v>
      </c>
      <c r="J7" s="60" t="s">
        <v>261</v>
      </c>
      <c r="K7" s="60" t="s">
        <v>219</v>
      </c>
      <c r="L7" s="60" t="s">
        <v>220</v>
      </c>
      <c r="M7" s="113" t="s">
        <v>1</v>
      </c>
      <c r="N7" s="158" t="s">
        <v>2</v>
      </c>
    </row>
    <row r="8" spans="1:18" x14ac:dyDescent="0.25">
      <c r="A8" s="114" t="s">
        <v>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6"/>
      <c r="N8" s="159"/>
    </row>
    <row r="9" spans="1:18" x14ac:dyDescent="0.25">
      <c r="A9" s="117" t="s">
        <v>4</v>
      </c>
      <c r="B9" s="118">
        <v>0</v>
      </c>
      <c r="C9" s="118">
        <v>0</v>
      </c>
      <c r="D9" s="118">
        <v>20100.86</v>
      </c>
      <c r="E9" s="118">
        <v>31769.43</v>
      </c>
      <c r="F9" s="118">
        <v>63531.72</v>
      </c>
      <c r="G9" s="118">
        <v>45416.69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9">
        <f>B9+C9+D9+E9+F9+G9+H9+I9+J9+K9+L9</f>
        <v>160818.70000000001</v>
      </c>
      <c r="N9" s="21">
        <v>1</v>
      </c>
      <c r="P9" s="98">
        <f t="shared" ref="P9:P52" si="0">SUM(A9:L9)</f>
        <v>160818.70000000001</v>
      </c>
      <c r="Q9" s="98">
        <f>P9-M9</f>
        <v>0</v>
      </c>
    </row>
    <row r="10" spans="1:18" x14ac:dyDescent="0.25">
      <c r="A10" s="114" t="s">
        <v>5</v>
      </c>
      <c r="B10" s="118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9">
        <f>B10+C10+D10+E10+F10+G10+H10+I10+J10+K10+L10</f>
        <v>0</v>
      </c>
      <c r="N10" s="21"/>
      <c r="P10" s="98">
        <f t="shared" si="0"/>
        <v>0</v>
      </c>
      <c r="Q10" s="98">
        <f t="shared" ref="Q10:Q52" si="1">P10-M10</f>
        <v>0</v>
      </c>
    </row>
    <row r="11" spans="1:18" x14ac:dyDescent="0.25">
      <c r="A11" s="121" t="s">
        <v>6</v>
      </c>
      <c r="B11" s="122">
        <f t="shared" ref="B11:K11" si="2">SUM(B9:B10)</f>
        <v>0</v>
      </c>
      <c r="C11" s="122">
        <f t="shared" si="2"/>
        <v>0</v>
      </c>
      <c r="D11" s="122">
        <f t="shared" si="2"/>
        <v>20100.86</v>
      </c>
      <c r="E11" s="122">
        <f t="shared" si="2"/>
        <v>31769.43</v>
      </c>
      <c r="F11" s="122">
        <f t="shared" si="2"/>
        <v>63531.72</v>
      </c>
      <c r="G11" s="122">
        <f t="shared" si="2"/>
        <v>45416.69</v>
      </c>
      <c r="H11" s="122">
        <f t="shared" si="2"/>
        <v>0</v>
      </c>
      <c r="I11" s="122">
        <f t="shared" si="2"/>
        <v>0</v>
      </c>
      <c r="J11" s="122">
        <f t="shared" si="2"/>
        <v>0</v>
      </c>
      <c r="K11" s="122">
        <f t="shared" si="2"/>
        <v>0</v>
      </c>
      <c r="L11" s="122">
        <f>SUM(L9:L10)</f>
        <v>0</v>
      </c>
      <c r="M11" s="122">
        <f>SUM(M9:M10)</f>
        <v>160818.70000000001</v>
      </c>
      <c r="N11" s="21">
        <v>1</v>
      </c>
      <c r="P11" s="98">
        <f t="shared" si="0"/>
        <v>160818.70000000001</v>
      </c>
      <c r="Q11" s="98">
        <f t="shared" si="1"/>
        <v>0</v>
      </c>
    </row>
    <row r="12" spans="1:18" x14ac:dyDescent="0.25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5"/>
      <c r="N12" s="160"/>
      <c r="P12" s="98">
        <f t="shared" si="0"/>
        <v>0</v>
      </c>
      <c r="Q12" s="98">
        <f t="shared" si="1"/>
        <v>0</v>
      </c>
    </row>
    <row r="13" spans="1:18" x14ac:dyDescent="0.25">
      <c r="A13" s="126" t="s">
        <v>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7"/>
      <c r="N13" s="161"/>
      <c r="P13" s="98">
        <f t="shared" si="0"/>
        <v>0</v>
      </c>
      <c r="Q13" s="98">
        <f t="shared" si="1"/>
        <v>0</v>
      </c>
    </row>
    <row r="14" spans="1:18" x14ac:dyDescent="0.25">
      <c r="A14" s="114" t="s">
        <v>8</v>
      </c>
      <c r="B14" s="128">
        <v>0</v>
      </c>
      <c r="C14" s="128">
        <v>75.349999999999994</v>
      </c>
      <c r="D14" s="128">
        <v>-5998.58</v>
      </c>
      <c r="E14" s="128">
        <v>-7323.15</v>
      </c>
      <c r="F14" s="128">
        <v>-8030.91</v>
      </c>
      <c r="G14" s="128">
        <v>-6731.19</v>
      </c>
      <c r="H14" s="128">
        <v>-5408.78</v>
      </c>
      <c r="I14" s="128">
        <v>-2990.69</v>
      </c>
      <c r="J14" s="128">
        <v>0</v>
      </c>
      <c r="K14" s="128">
        <v>0</v>
      </c>
      <c r="L14" s="128">
        <v>0</v>
      </c>
      <c r="M14" s="119">
        <f>B14+C14+D14+E14+F14+G14+H14+I14+J14+K14+L14</f>
        <v>-36407.950000000004</v>
      </c>
      <c r="N14" s="21">
        <f>-M14/$M$11</f>
        <v>0.22639127166181547</v>
      </c>
      <c r="P14" s="98">
        <f t="shared" si="0"/>
        <v>-36407.950000000004</v>
      </c>
      <c r="Q14" s="98">
        <f t="shared" si="1"/>
        <v>0</v>
      </c>
    </row>
    <row r="15" spans="1:18" x14ac:dyDescent="0.25">
      <c r="A15" s="129" t="s">
        <v>9</v>
      </c>
      <c r="B15" s="128">
        <v>0</v>
      </c>
      <c r="C15" s="128">
        <v>0</v>
      </c>
      <c r="D15" s="128">
        <v>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0</v>
      </c>
      <c r="L15" s="128">
        <v>0</v>
      </c>
      <c r="M15" s="119">
        <f t="shared" ref="M15:M39" si="3">B15+C15+D15+E15+F15+G15+H15+I15+J15+K15+L15</f>
        <v>0</v>
      </c>
      <c r="N15" s="21">
        <f t="shared" ref="N15:N52" si="4">-M15/$M$11</f>
        <v>0</v>
      </c>
      <c r="P15" s="98">
        <f t="shared" si="0"/>
        <v>0</v>
      </c>
      <c r="Q15" s="98">
        <f t="shared" si="1"/>
        <v>0</v>
      </c>
    </row>
    <row r="16" spans="1:18" x14ac:dyDescent="0.25">
      <c r="A16" s="114" t="s">
        <v>10</v>
      </c>
      <c r="B16" s="128">
        <v>0</v>
      </c>
      <c r="C16" s="128">
        <v>0</v>
      </c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28">
        <v>0</v>
      </c>
      <c r="J16" s="128">
        <v>0</v>
      </c>
      <c r="K16" s="128">
        <v>0</v>
      </c>
      <c r="L16" s="128">
        <v>0</v>
      </c>
      <c r="M16" s="119">
        <f t="shared" si="3"/>
        <v>0</v>
      </c>
      <c r="N16" s="21">
        <f t="shared" si="4"/>
        <v>0</v>
      </c>
      <c r="P16" s="98">
        <f t="shared" si="0"/>
        <v>0</v>
      </c>
      <c r="Q16" s="98">
        <f t="shared" si="1"/>
        <v>0</v>
      </c>
    </row>
    <row r="17" spans="1:17" x14ac:dyDescent="0.25">
      <c r="A17" s="129" t="s">
        <v>11</v>
      </c>
      <c r="B17" s="128">
        <v>0</v>
      </c>
      <c r="C17" s="128">
        <v>-131.07</v>
      </c>
      <c r="D17" s="128">
        <v>0</v>
      </c>
      <c r="E17" s="128">
        <v>0</v>
      </c>
      <c r="F17" s="128">
        <v>0</v>
      </c>
      <c r="G17" s="128">
        <v>-10.3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19">
        <f t="shared" si="3"/>
        <v>-141.37</v>
      </c>
      <c r="N17" s="21">
        <f t="shared" si="4"/>
        <v>8.7906443715811649E-4</v>
      </c>
      <c r="P17" s="98">
        <f t="shared" si="0"/>
        <v>-141.37</v>
      </c>
      <c r="Q17" s="98">
        <f t="shared" si="1"/>
        <v>0</v>
      </c>
    </row>
    <row r="18" spans="1:17" x14ac:dyDescent="0.25">
      <c r="A18" s="114" t="s">
        <v>12</v>
      </c>
      <c r="B18" s="128">
        <v>0</v>
      </c>
      <c r="C18" s="128">
        <v>-1879.88</v>
      </c>
      <c r="D18" s="128">
        <v>-1892.44</v>
      </c>
      <c r="E18" s="128">
        <v>-1721.15</v>
      </c>
      <c r="F18" s="128">
        <v>-2383.44</v>
      </c>
      <c r="G18" s="128">
        <v>-1620.22</v>
      </c>
      <c r="H18" s="128">
        <v>-1343.69</v>
      </c>
      <c r="I18" s="128">
        <v>0</v>
      </c>
      <c r="J18" s="128">
        <v>0</v>
      </c>
      <c r="K18" s="128">
        <v>0</v>
      </c>
      <c r="L18" s="128">
        <v>0</v>
      </c>
      <c r="M18" s="119">
        <f t="shared" si="3"/>
        <v>-10840.82</v>
      </c>
      <c r="N18" s="21">
        <f t="shared" si="4"/>
        <v>6.7410195456125435E-2</v>
      </c>
      <c r="P18" s="98">
        <f t="shared" si="0"/>
        <v>-10840.82</v>
      </c>
      <c r="Q18" s="98">
        <f t="shared" si="1"/>
        <v>0</v>
      </c>
    </row>
    <row r="19" spans="1:17" x14ac:dyDescent="0.25">
      <c r="A19" s="114" t="s">
        <v>13</v>
      </c>
      <c r="B19" s="128">
        <v>0</v>
      </c>
      <c r="C19" s="128">
        <v>-928.16</v>
      </c>
      <c r="D19" s="128">
        <v>-1016.73</v>
      </c>
      <c r="E19" s="128">
        <v>-1085.19</v>
      </c>
      <c r="F19" s="128">
        <v>-1314.39</v>
      </c>
      <c r="G19" s="128">
        <v>-1762.14</v>
      </c>
      <c r="H19" s="128">
        <v>-1625.05</v>
      </c>
      <c r="I19" s="128">
        <v>-130.32</v>
      </c>
      <c r="J19" s="128">
        <v>0</v>
      </c>
      <c r="K19" s="128">
        <v>0</v>
      </c>
      <c r="L19" s="128">
        <v>0</v>
      </c>
      <c r="M19" s="119">
        <f t="shared" si="3"/>
        <v>-7861.9800000000005</v>
      </c>
      <c r="N19" s="21">
        <f t="shared" si="4"/>
        <v>4.8887225179658836E-2</v>
      </c>
      <c r="P19" s="98">
        <f t="shared" si="0"/>
        <v>-7861.9800000000005</v>
      </c>
      <c r="Q19" s="98">
        <f t="shared" si="1"/>
        <v>0</v>
      </c>
    </row>
    <row r="20" spans="1:17" x14ac:dyDescent="0.25">
      <c r="A20" s="114" t="s">
        <v>14</v>
      </c>
      <c r="B20" s="128">
        <v>0</v>
      </c>
      <c r="C20" s="128">
        <v>-130.32</v>
      </c>
      <c r="D20" s="128">
        <v>-147.16</v>
      </c>
      <c r="E20" s="128">
        <v>-879.34</v>
      </c>
      <c r="F20" s="128">
        <v>-1254.69</v>
      </c>
      <c r="G20" s="128">
        <v>-1313.05</v>
      </c>
      <c r="H20" s="128">
        <v>-2699.72</v>
      </c>
      <c r="I20" s="128">
        <v>0</v>
      </c>
      <c r="J20" s="128">
        <v>0</v>
      </c>
      <c r="K20" s="128">
        <v>0</v>
      </c>
      <c r="L20" s="128">
        <v>0</v>
      </c>
      <c r="M20" s="119">
        <f t="shared" si="3"/>
        <v>-6424.2800000000007</v>
      </c>
      <c r="N20" s="21">
        <f t="shared" si="4"/>
        <v>3.9947344431959721E-2</v>
      </c>
      <c r="P20" s="98">
        <f t="shared" si="0"/>
        <v>-6424.2800000000007</v>
      </c>
      <c r="Q20" s="98">
        <f t="shared" si="1"/>
        <v>0</v>
      </c>
    </row>
    <row r="21" spans="1:17" x14ac:dyDescent="0.25">
      <c r="A21" s="114" t="s">
        <v>15</v>
      </c>
      <c r="B21" s="128">
        <v>0</v>
      </c>
      <c r="C21" s="128">
        <v>0</v>
      </c>
      <c r="D21" s="128">
        <v>0</v>
      </c>
      <c r="E21" s="128">
        <v>0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19">
        <f t="shared" si="3"/>
        <v>0</v>
      </c>
      <c r="N21" s="21">
        <f t="shared" si="4"/>
        <v>0</v>
      </c>
      <c r="P21" s="98">
        <f t="shared" si="0"/>
        <v>0</v>
      </c>
      <c r="Q21" s="98">
        <f t="shared" si="1"/>
        <v>0</v>
      </c>
    </row>
    <row r="22" spans="1:17" x14ac:dyDescent="0.25">
      <c r="A22" s="114" t="s">
        <v>16</v>
      </c>
      <c r="B22" s="128">
        <v>0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19">
        <f t="shared" si="3"/>
        <v>0</v>
      </c>
      <c r="N22" s="21">
        <f t="shared" si="4"/>
        <v>0</v>
      </c>
      <c r="P22" s="98">
        <f t="shared" si="0"/>
        <v>0</v>
      </c>
      <c r="Q22" s="98">
        <f t="shared" si="1"/>
        <v>0</v>
      </c>
    </row>
    <row r="23" spans="1:17" x14ac:dyDescent="0.25">
      <c r="A23" s="114" t="s">
        <v>17</v>
      </c>
      <c r="B23" s="128">
        <v>0</v>
      </c>
      <c r="C23" s="128">
        <v>-1770.22</v>
      </c>
      <c r="D23" s="128">
        <v>-1844.68</v>
      </c>
      <c r="E23" s="128">
        <v>-1997.33</v>
      </c>
      <c r="F23" s="128">
        <v>-2396.5300000000002</v>
      </c>
      <c r="G23" s="128">
        <v>-2854.86</v>
      </c>
      <c r="H23" s="128">
        <v>-2570.19</v>
      </c>
      <c r="I23" s="128">
        <v>-273.27</v>
      </c>
      <c r="J23" s="128">
        <v>0</v>
      </c>
      <c r="K23" s="128">
        <v>0</v>
      </c>
      <c r="L23" s="128">
        <v>0</v>
      </c>
      <c r="M23" s="119">
        <f t="shared" si="3"/>
        <v>-13707.080000000002</v>
      </c>
      <c r="N23" s="21">
        <f t="shared" si="4"/>
        <v>8.5233122764952096E-2</v>
      </c>
      <c r="P23" s="98">
        <f t="shared" si="0"/>
        <v>-13707.080000000002</v>
      </c>
      <c r="Q23" s="98">
        <f t="shared" si="1"/>
        <v>0</v>
      </c>
    </row>
    <row r="24" spans="1:17" x14ac:dyDescent="0.25">
      <c r="A24" s="114" t="s">
        <v>18</v>
      </c>
      <c r="B24" s="128">
        <v>0</v>
      </c>
      <c r="C24" s="128">
        <v>0</v>
      </c>
      <c r="D24" s="128">
        <v>0</v>
      </c>
      <c r="E24" s="128">
        <v>0</v>
      </c>
      <c r="F24" s="128">
        <v>0</v>
      </c>
      <c r="G24" s="128">
        <v>0</v>
      </c>
      <c r="H24" s="128">
        <v>-1027.4100000000001</v>
      </c>
      <c r="I24" s="128">
        <v>0</v>
      </c>
      <c r="J24" s="128">
        <v>0</v>
      </c>
      <c r="K24" s="128">
        <v>0</v>
      </c>
      <c r="L24" s="128">
        <v>0</v>
      </c>
      <c r="M24" s="119">
        <f t="shared" si="3"/>
        <v>-1027.4100000000001</v>
      </c>
      <c r="N24" s="21">
        <f t="shared" si="4"/>
        <v>6.3886227161393545E-3</v>
      </c>
      <c r="P24" s="98">
        <f t="shared" si="0"/>
        <v>-1027.4100000000001</v>
      </c>
      <c r="Q24" s="98">
        <f t="shared" si="1"/>
        <v>0</v>
      </c>
    </row>
    <row r="25" spans="1:17" x14ac:dyDescent="0.25">
      <c r="A25" s="114" t="s">
        <v>19</v>
      </c>
      <c r="B25" s="128">
        <v>0</v>
      </c>
      <c r="C25" s="128">
        <v>-750</v>
      </c>
      <c r="D25" s="128">
        <v>-2330</v>
      </c>
      <c r="E25" s="128">
        <v>-2999.25</v>
      </c>
      <c r="F25" s="128">
        <v>-3270.4</v>
      </c>
      <c r="G25" s="128">
        <v>-3649.95</v>
      </c>
      <c r="H25" s="128">
        <v>-4395.51</v>
      </c>
      <c r="I25" s="128">
        <v>-2738.1</v>
      </c>
      <c r="J25" s="128">
        <v>0</v>
      </c>
      <c r="K25" s="128">
        <v>0</v>
      </c>
      <c r="L25" s="128">
        <v>0</v>
      </c>
      <c r="M25" s="119">
        <f t="shared" si="3"/>
        <v>-20133.21</v>
      </c>
      <c r="N25" s="21">
        <f t="shared" si="4"/>
        <v>0.12519197083423755</v>
      </c>
      <c r="P25" s="98">
        <f t="shared" si="0"/>
        <v>-20133.21</v>
      </c>
      <c r="Q25" s="98">
        <f t="shared" si="1"/>
        <v>0</v>
      </c>
    </row>
    <row r="26" spans="1:17" x14ac:dyDescent="0.25">
      <c r="A26" s="114" t="s">
        <v>20</v>
      </c>
      <c r="B26" s="128">
        <v>0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28">
        <v>0</v>
      </c>
      <c r="L26" s="128">
        <v>0</v>
      </c>
      <c r="M26" s="119">
        <f t="shared" si="3"/>
        <v>0</v>
      </c>
      <c r="N26" s="21">
        <f t="shared" si="4"/>
        <v>0</v>
      </c>
      <c r="P26" s="98">
        <f t="shared" si="0"/>
        <v>0</v>
      </c>
      <c r="Q26" s="98">
        <f t="shared" si="1"/>
        <v>0</v>
      </c>
    </row>
    <row r="27" spans="1:17" x14ac:dyDescent="0.25">
      <c r="A27" s="114" t="s">
        <v>59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28">
        <v>0</v>
      </c>
      <c r="L27" s="128">
        <v>0</v>
      </c>
      <c r="M27" s="119">
        <f t="shared" si="3"/>
        <v>0</v>
      </c>
      <c r="N27" s="21">
        <f t="shared" si="4"/>
        <v>0</v>
      </c>
      <c r="P27" s="98">
        <f t="shared" si="0"/>
        <v>0</v>
      </c>
      <c r="Q27" s="98">
        <f t="shared" si="1"/>
        <v>0</v>
      </c>
    </row>
    <row r="28" spans="1:17" x14ac:dyDescent="0.25">
      <c r="A28" s="114" t="s">
        <v>21</v>
      </c>
      <c r="B28" s="128">
        <v>0</v>
      </c>
      <c r="C28" s="128">
        <v>0</v>
      </c>
      <c r="D28" s="128">
        <v>-135</v>
      </c>
      <c r="E28" s="128">
        <v>-270</v>
      </c>
      <c r="F28" s="128">
        <v>0</v>
      </c>
      <c r="G28" s="128">
        <v>-270</v>
      </c>
      <c r="H28" s="128">
        <v>-135</v>
      </c>
      <c r="I28" s="128">
        <v>0</v>
      </c>
      <c r="J28" s="128">
        <v>0</v>
      </c>
      <c r="K28" s="128">
        <v>0</v>
      </c>
      <c r="L28" s="128">
        <v>0</v>
      </c>
      <c r="M28" s="119">
        <f t="shared" si="3"/>
        <v>-810</v>
      </c>
      <c r="N28" s="21">
        <f t="shared" si="4"/>
        <v>5.036727693980861E-3</v>
      </c>
      <c r="P28" s="98">
        <f t="shared" si="0"/>
        <v>-810</v>
      </c>
      <c r="Q28" s="98">
        <f t="shared" si="1"/>
        <v>0</v>
      </c>
    </row>
    <row r="29" spans="1:17" x14ac:dyDescent="0.25">
      <c r="A29" s="114" t="s">
        <v>22</v>
      </c>
      <c r="B29" s="128">
        <v>0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19">
        <f t="shared" si="3"/>
        <v>0</v>
      </c>
      <c r="N29" s="21">
        <f t="shared" si="4"/>
        <v>0</v>
      </c>
      <c r="P29" s="98">
        <f t="shared" si="0"/>
        <v>0</v>
      </c>
      <c r="Q29" s="98">
        <f t="shared" si="1"/>
        <v>0</v>
      </c>
    </row>
    <row r="30" spans="1:17" x14ac:dyDescent="0.25">
      <c r="A30" s="129" t="s">
        <v>23</v>
      </c>
      <c r="B30" s="128">
        <v>-45.34</v>
      </c>
      <c r="C30" s="128">
        <v>-475.02</v>
      </c>
      <c r="D30" s="128">
        <v>-56.21</v>
      </c>
      <c r="E30" s="128">
        <v>0</v>
      </c>
      <c r="F30" s="128">
        <v>-18.059999999999999</v>
      </c>
      <c r="G30" s="128">
        <v>-5.42</v>
      </c>
      <c r="H30" s="128">
        <v>-33.619999999999997</v>
      </c>
      <c r="I30" s="128">
        <v>0</v>
      </c>
      <c r="J30" s="128">
        <v>0</v>
      </c>
      <c r="K30" s="128">
        <v>0</v>
      </c>
      <c r="L30" s="128">
        <v>0</v>
      </c>
      <c r="M30" s="119">
        <f t="shared" si="3"/>
        <v>-633.66999999999996</v>
      </c>
      <c r="N30" s="21">
        <f t="shared" si="4"/>
        <v>3.940275602277595E-3</v>
      </c>
      <c r="P30" s="98">
        <f t="shared" si="0"/>
        <v>-633.66999999999996</v>
      </c>
      <c r="Q30" s="98">
        <f t="shared" si="1"/>
        <v>0</v>
      </c>
    </row>
    <row r="31" spans="1:17" x14ac:dyDescent="0.25">
      <c r="A31" s="114" t="s">
        <v>24</v>
      </c>
      <c r="B31" s="128">
        <v>0</v>
      </c>
      <c r="C31" s="128">
        <v>-5972</v>
      </c>
      <c r="D31" s="128">
        <v>-3772</v>
      </c>
      <c r="E31" s="128">
        <v>-5105</v>
      </c>
      <c r="F31" s="128">
        <v>-11168</v>
      </c>
      <c r="G31" s="128">
        <v>-8985</v>
      </c>
      <c r="H31" s="128">
        <v>-3265</v>
      </c>
      <c r="I31" s="128">
        <v>0</v>
      </c>
      <c r="J31" s="128">
        <v>0</v>
      </c>
      <c r="K31" s="128">
        <v>0</v>
      </c>
      <c r="L31" s="128">
        <v>0</v>
      </c>
      <c r="M31" s="119">
        <f t="shared" si="3"/>
        <v>-38267</v>
      </c>
      <c r="N31" s="21">
        <f t="shared" si="4"/>
        <v>0.23795118353773534</v>
      </c>
      <c r="P31" s="98">
        <f t="shared" si="0"/>
        <v>-38267</v>
      </c>
      <c r="Q31" s="98">
        <f t="shared" si="1"/>
        <v>0</v>
      </c>
    </row>
    <row r="32" spans="1:17" x14ac:dyDescent="0.25">
      <c r="A32" s="130" t="s">
        <v>25</v>
      </c>
      <c r="B32" s="128">
        <v>0</v>
      </c>
      <c r="C32" s="128">
        <v>-11672.94</v>
      </c>
      <c r="D32" s="128">
        <v>-12912.27</v>
      </c>
      <c r="E32" s="128">
        <v>-12667.96</v>
      </c>
      <c r="F32" s="128">
        <v>-15199.68</v>
      </c>
      <c r="G32" s="128">
        <v>-14457.99</v>
      </c>
      <c r="H32" s="128">
        <v>-10734.51</v>
      </c>
      <c r="I32" s="128">
        <v>1907.68</v>
      </c>
      <c r="J32" s="128">
        <v>0</v>
      </c>
      <c r="K32" s="128">
        <v>0</v>
      </c>
      <c r="L32" s="128">
        <v>0</v>
      </c>
      <c r="M32" s="119">
        <f t="shared" si="3"/>
        <v>-75737.67</v>
      </c>
      <c r="N32" s="21">
        <f t="shared" si="4"/>
        <v>0.47095064193405367</v>
      </c>
      <c r="P32" s="98">
        <f t="shared" si="0"/>
        <v>-75737.67</v>
      </c>
      <c r="Q32" s="98">
        <f t="shared" si="1"/>
        <v>0</v>
      </c>
    </row>
    <row r="33" spans="1:17" x14ac:dyDescent="0.25">
      <c r="A33" s="114" t="s">
        <v>26</v>
      </c>
      <c r="B33" s="128">
        <v>0</v>
      </c>
      <c r="C33" s="128">
        <v>0</v>
      </c>
      <c r="D33" s="128">
        <v>0</v>
      </c>
      <c r="E33" s="128">
        <v>0</v>
      </c>
      <c r="F33" s="128">
        <v>0</v>
      </c>
      <c r="G33" s="128">
        <v>0</v>
      </c>
      <c r="H33" s="128">
        <v>-330</v>
      </c>
      <c r="I33" s="128">
        <v>-330</v>
      </c>
      <c r="J33" s="128">
        <v>0</v>
      </c>
      <c r="K33" s="128">
        <v>0</v>
      </c>
      <c r="L33" s="128">
        <v>0</v>
      </c>
      <c r="M33" s="119">
        <f t="shared" si="3"/>
        <v>-660</v>
      </c>
      <c r="N33" s="21">
        <f t="shared" si="4"/>
        <v>4.1040003432436644E-3</v>
      </c>
      <c r="P33" s="98">
        <f t="shared" si="0"/>
        <v>-660</v>
      </c>
      <c r="Q33" s="98">
        <f t="shared" si="1"/>
        <v>0</v>
      </c>
    </row>
    <row r="34" spans="1:17" x14ac:dyDescent="0.25">
      <c r="A34" s="114" t="s">
        <v>27</v>
      </c>
      <c r="B34" s="128">
        <v>0</v>
      </c>
      <c r="C34" s="128">
        <v>0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19">
        <f t="shared" si="3"/>
        <v>0</v>
      </c>
      <c r="N34" s="21">
        <f t="shared" si="4"/>
        <v>0</v>
      </c>
      <c r="P34" s="98">
        <f t="shared" si="0"/>
        <v>0</v>
      </c>
      <c r="Q34" s="98">
        <f t="shared" si="1"/>
        <v>0</v>
      </c>
    </row>
    <row r="35" spans="1:17" x14ac:dyDescent="0.25">
      <c r="A35" s="129" t="s">
        <v>28</v>
      </c>
      <c r="B35" s="128">
        <v>-202.48</v>
      </c>
      <c r="C35" s="128">
        <v>0</v>
      </c>
      <c r="D35" s="128">
        <v>-141.41</v>
      </c>
      <c r="E35" s="128">
        <v>0</v>
      </c>
      <c r="F35" s="128">
        <v>0</v>
      </c>
      <c r="G35" s="128">
        <v>0</v>
      </c>
      <c r="H35" s="128">
        <v>-1220.47</v>
      </c>
      <c r="I35" s="128">
        <v>0</v>
      </c>
      <c r="J35" s="128">
        <v>0</v>
      </c>
      <c r="K35" s="128">
        <v>0</v>
      </c>
      <c r="L35" s="128">
        <v>0</v>
      </c>
      <c r="M35" s="119">
        <f t="shared" si="3"/>
        <v>-1564.3600000000001</v>
      </c>
      <c r="N35" s="21">
        <f t="shared" si="4"/>
        <v>9.7274757226616052E-3</v>
      </c>
      <c r="P35" s="98">
        <f t="shared" si="0"/>
        <v>-1564.3600000000001</v>
      </c>
      <c r="Q35" s="98">
        <f t="shared" si="1"/>
        <v>0</v>
      </c>
    </row>
    <row r="36" spans="1:17" x14ac:dyDescent="0.25">
      <c r="A36" s="114" t="s">
        <v>29</v>
      </c>
      <c r="B36" s="128">
        <v>0</v>
      </c>
      <c r="C36" s="128">
        <v>697.11</v>
      </c>
      <c r="D36" s="128">
        <v>-1529.99</v>
      </c>
      <c r="E36" s="128">
        <v>-1489.28</v>
      </c>
      <c r="F36" s="128">
        <v>-644.54999999999995</v>
      </c>
      <c r="G36" s="128">
        <v>-1579.93</v>
      </c>
      <c r="H36" s="128">
        <v>-1386.73</v>
      </c>
      <c r="I36" s="128">
        <v>-1251.1600000000001</v>
      </c>
      <c r="J36" s="128">
        <v>0</v>
      </c>
      <c r="K36" s="128">
        <v>0</v>
      </c>
      <c r="L36" s="128">
        <v>0</v>
      </c>
      <c r="M36" s="119">
        <f t="shared" si="3"/>
        <v>-7184.5300000000007</v>
      </c>
      <c r="N36" s="21">
        <f t="shared" si="4"/>
        <v>4.467471755461274E-2</v>
      </c>
      <c r="P36" s="98">
        <f t="shared" si="0"/>
        <v>-7184.5300000000007</v>
      </c>
      <c r="Q36" s="98">
        <f t="shared" si="1"/>
        <v>0</v>
      </c>
    </row>
    <row r="37" spans="1:17" x14ac:dyDescent="0.25">
      <c r="A37" s="15" t="s">
        <v>276</v>
      </c>
      <c r="B37" s="128">
        <v>0</v>
      </c>
      <c r="C37" s="128">
        <v>-1409.91</v>
      </c>
      <c r="D37" s="128">
        <v>-1419.33</v>
      </c>
      <c r="E37" s="128">
        <v>-1290.8599999999999</v>
      </c>
      <c r="F37" s="128">
        <v>-1787.58</v>
      </c>
      <c r="G37" s="128">
        <v>-1504.49</v>
      </c>
      <c r="H37" s="128">
        <v>-1007.77</v>
      </c>
      <c r="I37" s="128">
        <v>0</v>
      </c>
      <c r="J37" s="128">
        <v>0</v>
      </c>
      <c r="K37" s="128">
        <v>0</v>
      </c>
      <c r="L37" s="128">
        <v>0</v>
      </c>
      <c r="M37" s="119">
        <f t="shared" si="3"/>
        <v>-8419.9399999999987</v>
      </c>
      <c r="N37" s="21">
        <f t="shared" si="4"/>
        <v>5.2356722197107665E-2</v>
      </c>
      <c r="P37" s="98">
        <f t="shared" si="0"/>
        <v>-8419.9399999999987</v>
      </c>
      <c r="Q37" s="98">
        <f t="shared" si="1"/>
        <v>0</v>
      </c>
    </row>
    <row r="38" spans="1:17" x14ac:dyDescent="0.25">
      <c r="A38" s="114" t="s">
        <v>97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19">
        <f t="shared" si="3"/>
        <v>0</v>
      </c>
      <c r="N38" s="21">
        <f t="shared" si="4"/>
        <v>0</v>
      </c>
      <c r="P38" s="98">
        <f t="shared" si="0"/>
        <v>0</v>
      </c>
      <c r="Q38" s="98">
        <f t="shared" si="1"/>
        <v>0</v>
      </c>
    </row>
    <row r="39" spans="1:17" x14ac:dyDescent="0.25">
      <c r="A39" s="114" t="s">
        <v>114</v>
      </c>
      <c r="B39" s="128">
        <v>0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19">
        <f t="shared" si="3"/>
        <v>0</v>
      </c>
      <c r="N39" s="21">
        <f t="shared" si="4"/>
        <v>0</v>
      </c>
      <c r="P39" s="98">
        <f t="shared" si="0"/>
        <v>0</v>
      </c>
      <c r="Q39" s="98">
        <f t="shared" si="1"/>
        <v>0</v>
      </c>
    </row>
    <row r="40" spans="1:17" x14ac:dyDescent="0.25">
      <c r="A40" s="131" t="s">
        <v>31</v>
      </c>
      <c r="B40" s="132">
        <f>SUM(B14:B39)</f>
        <v>-247.82</v>
      </c>
      <c r="C40" s="132">
        <f>SUM(C14:C39)</f>
        <v>-24347.06</v>
      </c>
      <c r="D40" s="132">
        <f>SUM(D14:D39)</f>
        <v>-33195.800000000003</v>
      </c>
      <c r="E40" s="132">
        <f>SUM(E14:E39)</f>
        <v>-36828.509999999995</v>
      </c>
      <c r="F40" s="132">
        <f t="shared" ref="F40:L40" si="5">SUM(F14:F39)</f>
        <v>-47468.23000000001</v>
      </c>
      <c r="G40" s="132">
        <f t="shared" si="5"/>
        <v>-44744.539999999994</v>
      </c>
      <c r="H40" s="132">
        <f t="shared" si="5"/>
        <v>-37183.449999999997</v>
      </c>
      <c r="I40" s="132">
        <f t="shared" si="5"/>
        <v>-5805.86</v>
      </c>
      <c r="J40" s="132">
        <f t="shared" si="5"/>
        <v>0</v>
      </c>
      <c r="K40" s="132">
        <f t="shared" si="5"/>
        <v>0</v>
      </c>
      <c r="L40" s="132">
        <f t="shared" si="5"/>
        <v>0</v>
      </c>
      <c r="M40" s="132">
        <f>SUM(M14:M39)</f>
        <v>-229821.27</v>
      </c>
      <c r="N40" s="21">
        <f t="shared" si="4"/>
        <v>1.4290705620677195</v>
      </c>
      <c r="P40" s="98">
        <f t="shared" si="0"/>
        <v>-229821.27000000002</v>
      </c>
      <c r="Q40" s="98">
        <f t="shared" si="1"/>
        <v>0</v>
      </c>
    </row>
    <row r="41" spans="1:17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25"/>
      <c r="N41" s="159"/>
      <c r="P41" s="98">
        <f t="shared" si="0"/>
        <v>0</v>
      </c>
      <c r="Q41" s="98">
        <f t="shared" si="1"/>
        <v>0</v>
      </c>
    </row>
    <row r="42" spans="1:17" x14ac:dyDescent="0.25">
      <c r="A42" s="135" t="s">
        <v>32</v>
      </c>
      <c r="B42" s="136">
        <f t="shared" ref="B42:K42" si="6">B11+B40</f>
        <v>-247.82</v>
      </c>
      <c r="C42" s="136">
        <f t="shared" si="6"/>
        <v>-24347.06</v>
      </c>
      <c r="D42" s="136">
        <f>D11+D40</f>
        <v>-13094.940000000002</v>
      </c>
      <c r="E42" s="136">
        <f>E11+E40</f>
        <v>-5059.0799999999945</v>
      </c>
      <c r="F42" s="165">
        <f>F11+F40</f>
        <v>16063.489999999991</v>
      </c>
      <c r="G42" s="165">
        <f t="shared" si="6"/>
        <v>672.15000000000873</v>
      </c>
      <c r="H42" s="136">
        <f t="shared" si="6"/>
        <v>-37183.449999999997</v>
      </c>
      <c r="I42" s="136">
        <f t="shared" si="6"/>
        <v>-5805.86</v>
      </c>
      <c r="J42" s="136">
        <f t="shared" si="6"/>
        <v>0</v>
      </c>
      <c r="K42" s="136">
        <f t="shared" si="6"/>
        <v>0</v>
      </c>
      <c r="L42" s="136">
        <f>L11+L40</f>
        <v>0</v>
      </c>
      <c r="M42" s="157">
        <f>B42+C42+D42+E42+F42+G42+H42+I42+J42+K42+L42</f>
        <v>-69002.569999999992</v>
      </c>
      <c r="N42" s="21">
        <f t="shared" si="4"/>
        <v>0.42907056206771965</v>
      </c>
      <c r="P42" s="98">
        <f t="shared" si="0"/>
        <v>-69002.569999999992</v>
      </c>
      <c r="Q42" s="98">
        <f t="shared" si="1"/>
        <v>0</v>
      </c>
    </row>
    <row r="43" spans="1:17" x14ac:dyDescent="0.25">
      <c r="A43" s="13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62"/>
      <c r="P43" s="98">
        <f t="shared" si="0"/>
        <v>0</v>
      </c>
      <c r="Q43" s="98">
        <f t="shared" si="1"/>
        <v>0</v>
      </c>
    </row>
    <row r="44" spans="1:17" x14ac:dyDescent="0.25">
      <c r="A44" s="126" t="s">
        <v>56</v>
      </c>
      <c r="B44" s="139">
        <v>0</v>
      </c>
      <c r="C44" s="139">
        <f t="shared" ref="C44:L44" si="7">-C9*13.15%</f>
        <v>0</v>
      </c>
      <c r="D44" s="139">
        <f t="shared" si="7"/>
        <v>-2643.2630900000004</v>
      </c>
      <c r="E44" s="139">
        <f t="shared" si="7"/>
        <v>-4177.6800450000001</v>
      </c>
      <c r="F44" s="139">
        <f t="shared" si="7"/>
        <v>-8354.4211800000012</v>
      </c>
      <c r="G44" s="139">
        <f t="shared" si="7"/>
        <v>-5972.2947350000004</v>
      </c>
      <c r="H44" s="139">
        <f t="shared" si="7"/>
        <v>0</v>
      </c>
      <c r="I44" s="139">
        <f t="shared" si="7"/>
        <v>0</v>
      </c>
      <c r="J44" s="139">
        <f t="shared" si="7"/>
        <v>0</v>
      </c>
      <c r="K44" s="139">
        <f t="shared" si="7"/>
        <v>0</v>
      </c>
      <c r="L44" s="139">
        <f t="shared" si="7"/>
        <v>0</v>
      </c>
      <c r="M44" s="119">
        <f>B44+C44+D44+E44+F44+G44+H44+I44+J44+K44+L44</f>
        <v>-21147.659050000002</v>
      </c>
      <c r="N44" s="21">
        <f t="shared" si="4"/>
        <v>0.13150000000000001</v>
      </c>
      <c r="P44" s="98">
        <f t="shared" si="0"/>
        <v>-21147.659050000002</v>
      </c>
      <c r="Q44" s="98">
        <f t="shared" si="1"/>
        <v>0</v>
      </c>
    </row>
    <row r="45" spans="1:17" x14ac:dyDescent="0.25">
      <c r="A45" s="137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62"/>
      <c r="P45" s="98">
        <f t="shared" si="0"/>
        <v>0</v>
      </c>
      <c r="Q45" s="98">
        <f t="shared" si="1"/>
        <v>0</v>
      </c>
    </row>
    <row r="46" spans="1:17" x14ac:dyDescent="0.25">
      <c r="A46" s="126" t="s">
        <v>33</v>
      </c>
      <c r="B46" s="139">
        <f t="shared" ref="B46:L46" si="8">-B9*1.22%</f>
        <v>0</v>
      </c>
      <c r="C46" s="139">
        <f t="shared" si="8"/>
        <v>0</v>
      </c>
      <c r="D46" s="139">
        <f t="shared" si="8"/>
        <v>-245.230492</v>
      </c>
      <c r="E46" s="139">
        <f t="shared" si="8"/>
        <v>-387.58704599999999</v>
      </c>
      <c r="F46" s="139">
        <f t="shared" si="8"/>
        <v>-775.08698399999992</v>
      </c>
      <c r="G46" s="139">
        <f t="shared" si="8"/>
        <v>-554.083618</v>
      </c>
      <c r="H46" s="139">
        <f t="shared" si="8"/>
        <v>0</v>
      </c>
      <c r="I46" s="139">
        <f t="shared" si="8"/>
        <v>0</v>
      </c>
      <c r="J46" s="139">
        <f t="shared" si="8"/>
        <v>0</v>
      </c>
      <c r="K46" s="139">
        <f t="shared" si="8"/>
        <v>0</v>
      </c>
      <c r="L46" s="139">
        <f t="shared" si="8"/>
        <v>0</v>
      </c>
      <c r="M46" s="119">
        <f>B46+C46+D46+E46+F46+G46+H46+I46+J46+K46+L46</f>
        <v>-1961.9881399999999</v>
      </c>
      <c r="N46" s="21">
        <f t="shared" si="4"/>
        <v>1.2199999999999999E-2</v>
      </c>
      <c r="P46" s="98">
        <f t="shared" si="0"/>
        <v>-1961.9881399999999</v>
      </c>
      <c r="Q46" s="98">
        <f t="shared" si="1"/>
        <v>0</v>
      </c>
    </row>
    <row r="47" spans="1:17" x14ac:dyDescent="0.2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62"/>
      <c r="P47" s="98">
        <f t="shared" si="0"/>
        <v>0</v>
      </c>
      <c r="Q47" s="98">
        <f t="shared" si="1"/>
        <v>0</v>
      </c>
    </row>
    <row r="48" spans="1:17" x14ac:dyDescent="0.25">
      <c r="A48" s="113" t="s">
        <v>57</v>
      </c>
      <c r="B48" s="142">
        <f t="shared" ref="B48:K48" si="9">B40*5.56%</f>
        <v>-13.778791999999999</v>
      </c>
      <c r="C48" s="142">
        <f t="shared" si="9"/>
        <v>-1353.6965359999999</v>
      </c>
      <c r="D48" s="142">
        <f t="shared" si="9"/>
        <v>-1845.6864800000001</v>
      </c>
      <c r="E48" s="142">
        <f t="shared" si="9"/>
        <v>-2047.6651559999996</v>
      </c>
      <c r="F48" s="142">
        <f t="shared" si="9"/>
        <v>-2639.2335880000005</v>
      </c>
      <c r="G48" s="142">
        <f t="shared" si="9"/>
        <v>-2487.7964239999997</v>
      </c>
      <c r="H48" s="142">
        <f t="shared" si="9"/>
        <v>-2067.3998199999996</v>
      </c>
      <c r="I48" s="142">
        <f t="shared" si="9"/>
        <v>-322.80581599999994</v>
      </c>
      <c r="J48" s="142">
        <f t="shared" si="9"/>
        <v>0</v>
      </c>
      <c r="K48" s="142">
        <f t="shared" si="9"/>
        <v>0</v>
      </c>
      <c r="L48" s="142">
        <f>L40*5.56%</f>
        <v>0</v>
      </c>
      <c r="M48" s="119">
        <f>B48+C48+D48+E48+F48+G48+H48+I48+J48+K48+L48</f>
        <v>-12778.062612000002</v>
      </c>
      <c r="N48" s="21">
        <f t="shared" si="4"/>
        <v>7.9456323250965216E-2</v>
      </c>
      <c r="P48" s="98">
        <f t="shared" si="0"/>
        <v>-12778.062612000002</v>
      </c>
      <c r="Q48" s="98">
        <f t="shared" si="1"/>
        <v>0</v>
      </c>
    </row>
    <row r="49" spans="1:17" x14ac:dyDescent="0.2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62"/>
      <c r="P49" s="98">
        <f t="shared" si="0"/>
        <v>0</v>
      </c>
      <c r="Q49" s="98">
        <f t="shared" si="1"/>
        <v>0</v>
      </c>
    </row>
    <row r="50" spans="1:17" x14ac:dyDescent="0.25">
      <c r="A50" s="113" t="s">
        <v>58</v>
      </c>
      <c r="B50" s="142">
        <f t="shared" ref="B50:K50" si="10">B40*0.01%</f>
        <v>-2.4782000000000002E-2</v>
      </c>
      <c r="C50" s="142">
        <f t="shared" si="10"/>
        <v>-2.4347060000000003</v>
      </c>
      <c r="D50" s="142">
        <f t="shared" si="10"/>
        <v>-3.3195800000000006</v>
      </c>
      <c r="E50" s="142">
        <f t="shared" si="10"/>
        <v>-3.6828509999999994</v>
      </c>
      <c r="F50" s="142">
        <f t="shared" si="10"/>
        <v>-4.7468230000000009</v>
      </c>
      <c r="G50" s="142">
        <f t="shared" si="10"/>
        <v>-4.4744539999999997</v>
      </c>
      <c r="H50" s="142">
        <f t="shared" si="10"/>
        <v>-3.7183449999999998</v>
      </c>
      <c r="I50" s="142">
        <f t="shared" si="10"/>
        <v>-0.58058600000000005</v>
      </c>
      <c r="J50" s="142">
        <f t="shared" si="10"/>
        <v>0</v>
      </c>
      <c r="K50" s="142">
        <f t="shared" si="10"/>
        <v>0</v>
      </c>
      <c r="L50" s="142">
        <f>L40*0.01%</f>
        <v>0</v>
      </c>
      <c r="M50" s="119">
        <f>B50+C50+D50+E50+F50+G50+H50+I50+J50+K50+L50</f>
        <v>-22.982127000000002</v>
      </c>
      <c r="N50" s="21">
        <f t="shared" si="4"/>
        <v>1.4290705620677196E-4</v>
      </c>
      <c r="P50" s="98">
        <f t="shared" si="0"/>
        <v>-22.982127000000002</v>
      </c>
      <c r="Q50" s="98">
        <f t="shared" si="1"/>
        <v>0</v>
      </c>
    </row>
    <row r="51" spans="1:17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62"/>
      <c r="P51" s="98">
        <f t="shared" si="0"/>
        <v>0</v>
      </c>
      <c r="Q51" s="98">
        <f t="shared" si="1"/>
        <v>0</v>
      </c>
    </row>
    <row r="52" spans="1:17" x14ac:dyDescent="0.25">
      <c r="A52" s="135" t="s">
        <v>246</v>
      </c>
      <c r="B52" s="136">
        <f>B42+B48+B50+B44+B46</f>
        <v>-261.62357400000002</v>
      </c>
      <c r="C52" s="136">
        <f>C42+C48+C50+C44+C46</f>
        <v>-25703.191242000001</v>
      </c>
      <c r="D52" s="136">
        <f>D42+D48+D50+D44+D46</f>
        <v>-17832.439642000001</v>
      </c>
      <c r="E52" s="136">
        <f>E42+E48+E50+E44+E46</f>
        <v>-11675.695097999993</v>
      </c>
      <c r="F52" s="165">
        <f>F42+F48+F50+F44+F46</f>
        <v>4290.0014249999895</v>
      </c>
      <c r="G52" s="136">
        <f t="shared" ref="G52:K52" si="11">G42+G48+G50+G44+G46</f>
        <v>-8346.4992309999907</v>
      </c>
      <c r="H52" s="136">
        <f t="shared" si="11"/>
        <v>-39254.568164999997</v>
      </c>
      <c r="I52" s="136">
        <f t="shared" si="11"/>
        <v>-6129.2464019999998</v>
      </c>
      <c r="J52" s="136">
        <f t="shared" si="11"/>
        <v>0</v>
      </c>
      <c r="K52" s="136">
        <f t="shared" si="11"/>
        <v>0</v>
      </c>
      <c r="L52" s="136">
        <f>L42+L48+L50+L44+L46</f>
        <v>0</v>
      </c>
      <c r="M52" s="157">
        <f>B52+C52+D52+E52+F52+G52+H52+I52+J52+K52+L52</f>
        <v>-104913.26192899999</v>
      </c>
      <c r="N52" s="21">
        <f t="shared" si="4"/>
        <v>0.65236979237489157</v>
      </c>
      <c r="P52" s="98">
        <f t="shared" si="0"/>
        <v>-104913.26192899999</v>
      </c>
      <c r="Q52" s="98">
        <f t="shared" si="1"/>
        <v>0</v>
      </c>
    </row>
    <row r="53" spans="1:17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63"/>
    </row>
    <row r="54" spans="1:17" x14ac:dyDescent="0.25">
      <c r="A54" s="144" t="s">
        <v>35</v>
      </c>
      <c r="B54" s="13"/>
      <c r="C54" s="13">
        <v>6</v>
      </c>
      <c r="D54" s="13">
        <v>6</v>
      </c>
      <c r="E54" s="13">
        <v>6</v>
      </c>
      <c r="F54" s="13">
        <v>7</v>
      </c>
      <c r="G54" s="13">
        <v>9</v>
      </c>
      <c r="H54" s="13">
        <v>7</v>
      </c>
      <c r="I54" s="13">
        <v>1</v>
      </c>
      <c r="J54" s="13"/>
      <c r="K54" s="13"/>
      <c r="L54" s="13"/>
      <c r="M54" s="145"/>
      <c r="N54" s="163"/>
    </row>
    <row r="55" spans="1:17" x14ac:dyDescent="0.25">
      <c r="A55" s="80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53"/>
    </row>
    <row r="56" spans="1:17" x14ac:dyDescent="0.25">
      <c r="A56" s="146" t="s">
        <v>36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64">
        <v>45991</v>
      </c>
    </row>
    <row r="57" spans="1:17" x14ac:dyDescent="0.25">
      <c r="B57" s="98">
        <f t="shared" ref="B57:M57" si="12">B11+B40+B44+B46+B48+B50</f>
        <v>-261.62357400000002</v>
      </c>
      <c r="C57" s="98">
        <f t="shared" si="12"/>
        <v>-25703.191242000001</v>
      </c>
      <c r="D57" s="98">
        <f t="shared" si="12"/>
        <v>-17832.439642000001</v>
      </c>
      <c r="E57" s="98">
        <f t="shared" si="12"/>
        <v>-11675.695097999995</v>
      </c>
      <c r="F57" s="98">
        <f t="shared" si="12"/>
        <v>4290.0014249999886</v>
      </c>
      <c r="G57" s="98">
        <f t="shared" si="12"/>
        <v>-8346.4992309999907</v>
      </c>
      <c r="H57" s="98">
        <f t="shared" si="12"/>
        <v>-39254.568164999997</v>
      </c>
      <c r="I57" s="98">
        <f t="shared" si="12"/>
        <v>-6129.2464019999998</v>
      </c>
      <c r="J57" s="98">
        <f t="shared" si="12"/>
        <v>0</v>
      </c>
      <c r="K57" s="98">
        <f t="shared" si="12"/>
        <v>0</v>
      </c>
      <c r="L57" s="98">
        <f t="shared" si="12"/>
        <v>0</v>
      </c>
      <c r="M57" s="98">
        <f t="shared" si="12"/>
        <v>-104913.26192899997</v>
      </c>
      <c r="N57" s="153"/>
    </row>
    <row r="58" spans="1:17" x14ac:dyDescent="0.25">
      <c r="N58" s="153"/>
    </row>
    <row r="59" spans="1:17" x14ac:dyDescent="0.25">
      <c r="B59" s="98">
        <f t="shared" ref="B59:M59" si="13">B57-B52</f>
        <v>0</v>
      </c>
      <c r="C59" s="98">
        <f t="shared" si="13"/>
        <v>0</v>
      </c>
      <c r="D59" s="98">
        <f t="shared" si="13"/>
        <v>0</v>
      </c>
      <c r="E59" s="98">
        <f t="shared" si="13"/>
        <v>0</v>
      </c>
      <c r="F59" s="98">
        <f t="shared" si="13"/>
        <v>0</v>
      </c>
      <c r="G59" s="98">
        <f t="shared" si="13"/>
        <v>0</v>
      </c>
      <c r="H59" s="98">
        <f t="shared" si="13"/>
        <v>0</v>
      </c>
      <c r="I59" s="98">
        <f t="shared" si="13"/>
        <v>0</v>
      </c>
      <c r="J59" s="98">
        <f t="shared" si="13"/>
        <v>0</v>
      </c>
      <c r="K59" s="98">
        <f t="shared" si="13"/>
        <v>0</v>
      </c>
      <c r="L59" s="98">
        <f t="shared" si="13"/>
        <v>0</v>
      </c>
      <c r="M59" s="98">
        <f t="shared" si="13"/>
        <v>0</v>
      </c>
      <c r="N59" s="153"/>
    </row>
    <row r="60" spans="1:17" x14ac:dyDescent="0.25">
      <c r="N60" s="153"/>
    </row>
  </sheetData>
  <mergeCells count="3">
    <mergeCell ref="A1:N1"/>
    <mergeCell ref="A3:N3"/>
    <mergeCell ref="A5:N5"/>
  </mergeCells>
  <printOptions horizontalCentered="1" verticalCentered="1"/>
  <pageMargins left="0.11811023622047245" right="0.11811023622047245" top="0.39370078740157483" bottom="0" header="0.39370078740157483" footer="0"/>
  <pageSetup paperSize="9" scale="65" orientation="landscape" r:id="rId1"/>
  <headerFooter>
    <oddHeader>&amp;C&amp;"-,Negrito"&amp;14 BELA NOVA CONSTRUTORA LTDA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9"/>
  </sheetPr>
  <dimension ref="A1:T60"/>
  <sheetViews>
    <sheetView topLeftCell="A13" zoomScale="85" zoomScaleNormal="85" workbookViewId="0">
      <pane xSplit="1" topLeftCell="B1" activePane="topRight" state="frozen"/>
      <selection activeCell="E21" sqref="E21"/>
      <selection pane="topRight" activeCell="F12" sqref="F12"/>
    </sheetView>
  </sheetViews>
  <sheetFormatPr defaultRowHeight="15" x14ac:dyDescent="0.25"/>
  <cols>
    <col min="1" max="1" width="61.5703125" bestFit="1" customWidth="1"/>
    <col min="2" max="2" width="16.28515625" bestFit="1" customWidth="1"/>
    <col min="3" max="3" width="15.5703125" customWidth="1"/>
    <col min="4" max="4" width="19.140625" customWidth="1"/>
    <col min="5" max="6" width="16.140625" customWidth="1"/>
    <col min="7" max="8" width="16.85546875" customWidth="1"/>
    <col min="9" max="13" width="16.85546875" hidden="1" customWidth="1"/>
    <col min="14" max="14" width="16.7109375" hidden="1" customWidth="1"/>
    <col min="15" max="15" width="18" bestFit="1" customWidth="1"/>
    <col min="16" max="16" width="11" bestFit="1" customWidth="1"/>
    <col min="18" max="18" width="17" bestFit="1" customWidth="1"/>
    <col min="20" max="20" width="16" bestFit="1" customWidth="1"/>
  </cols>
  <sheetData>
    <row r="1" spans="1:20" ht="15.75" x14ac:dyDescent="0.25">
      <c r="A1" s="203" t="s">
        <v>235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20" ht="7.5" customHeight="1" x14ac:dyDescent="0.25">
      <c r="A2" s="108"/>
    </row>
    <row r="3" spans="1:20" ht="15.75" x14ac:dyDescent="0.25">
      <c r="A3" s="203" t="s">
        <v>286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</row>
    <row r="4" spans="1:20" ht="10.5" customHeight="1" x14ac:dyDescent="0.25">
      <c r="A4" s="108"/>
    </row>
    <row r="5" spans="1:20" ht="16.5" customHeight="1" x14ac:dyDescent="0.25">
      <c r="A5" s="209" t="s">
        <v>287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R5" s="172">
        <f>'OBRA 251'!Q13+'OBRA 274'!R14+'OBRA 277'!Q14+'OBRA 283'!Q11+'OBRA 286'!Q11+'OBRA 287'!Q11+'OBRA 290'!P11+'OBRA 291'!Q11+'OBRA 292'!O11+'OBRA 293'!O11+'OBRA 295'!P11+'OBRA 296'!P11+'OBRA 298'!P12+'OBRA 299'!O11+'OBRA 300'!P12+'OBRA 301'!P11+'OBRA 302'!O11+'OBRA 303'!P11+'OBRA 304'!P11+'OBRA 305'!O11+'OBRA 306'!P11+'OBRA 307'!O11+'OBRA 308'!O11+'OBRA 310'!O11</f>
        <v>33503080.410000004</v>
      </c>
      <c r="S5" s="107" t="s">
        <v>264</v>
      </c>
      <c r="T5" s="107"/>
    </row>
    <row r="6" spans="1:20" ht="10.5" customHeight="1" x14ac:dyDescent="0.25">
      <c r="A6" s="110"/>
      <c r="R6" s="172">
        <f>'OBRA 251'!Q54+'OBRA 274'!R55+'OBRA 277'!Q55+'OBRA 283'!Q52+'OBRA 286'!Q52+'OBRA 287'!Q52+'OBRA 290'!P52+'OBRA 291'!Q52+'OBRA 292'!O52+'OBRA 293'!O52+'OBRA 295'!P52+'OBRA 296'!P52+'OBRA 298'!P53+'OBRA 299'!O52+'OBRA 300'!P53+'OBRA 301'!P52+'OBRA 302'!O52+'OBRA 303'!P52+'OBRA 304'!P52+'OBRA 305'!O52+'OBRA 306'!P52+'OBRA 307'!O52+'OBRA 308'!O52+'OBRA 310'!O52</f>
        <v>1962586.048040001</v>
      </c>
      <c r="S6" s="107" t="s">
        <v>265</v>
      </c>
      <c r="T6" s="107"/>
    </row>
    <row r="7" spans="1:20" x14ac:dyDescent="0.25">
      <c r="A7" s="111"/>
      <c r="B7" s="60" t="s">
        <v>316</v>
      </c>
      <c r="C7" s="60" t="s">
        <v>304</v>
      </c>
      <c r="D7" s="60" t="s">
        <v>305</v>
      </c>
      <c r="E7" s="60" t="s">
        <v>306</v>
      </c>
      <c r="F7" s="60" t="s">
        <v>307</v>
      </c>
      <c r="G7" s="60" t="s">
        <v>308</v>
      </c>
      <c r="H7" s="60" t="s">
        <v>309</v>
      </c>
      <c r="I7" s="60" t="s">
        <v>310</v>
      </c>
      <c r="J7" s="60" t="s">
        <v>311</v>
      </c>
      <c r="K7" s="60" t="s">
        <v>312</v>
      </c>
      <c r="L7" s="60" t="s">
        <v>313</v>
      </c>
      <c r="M7" s="60" t="s">
        <v>314</v>
      </c>
      <c r="N7" s="60" t="s">
        <v>225</v>
      </c>
      <c r="O7" s="113" t="s">
        <v>1</v>
      </c>
      <c r="P7" s="158" t="s">
        <v>2</v>
      </c>
    </row>
    <row r="8" spans="1:20" x14ac:dyDescent="0.25">
      <c r="A8" s="114" t="s">
        <v>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6"/>
      <c r="P8" s="159"/>
    </row>
    <row r="9" spans="1:20" x14ac:dyDescent="0.25">
      <c r="A9" s="117" t="s">
        <v>4</v>
      </c>
      <c r="B9" s="118">
        <v>334482.65999999997</v>
      </c>
      <c r="C9" s="118">
        <v>53891.98</v>
      </c>
      <c r="D9" s="118">
        <v>135362.16</v>
      </c>
      <c r="E9" s="118">
        <v>158098.67000000001</v>
      </c>
      <c r="F9" s="118">
        <v>81367.960000000006</v>
      </c>
      <c r="G9" s="118">
        <v>116254.03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  <c r="O9" s="119">
        <f>SUM(B9:N9)</f>
        <v>879457.46</v>
      </c>
      <c r="P9" s="21">
        <v>1</v>
      </c>
      <c r="R9" s="98">
        <f t="shared" ref="R9:R52" si="0">SUM(A9:N9)</f>
        <v>879457.46</v>
      </c>
      <c r="S9" s="98">
        <f>R9-O9</f>
        <v>0</v>
      </c>
    </row>
    <row r="10" spans="1:20" x14ac:dyDescent="0.25">
      <c r="A10" s="114" t="s">
        <v>5</v>
      </c>
      <c r="B10" s="118">
        <v>334482.67</v>
      </c>
      <c r="C10" s="118">
        <v>53891.98</v>
      </c>
      <c r="D10" s="118">
        <v>135362.16</v>
      </c>
      <c r="E10" s="118">
        <v>158098.67000000001</v>
      </c>
      <c r="F10" s="118">
        <v>81367.960000000006</v>
      </c>
      <c r="G10" s="118">
        <v>116254.03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  <c r="O10" s="119">
        <f>SUM(B10:N10)</f>
        <v>879457.47</v>
      </c>
      <c r="P10" s="21"/>
      <c r="R10" s="98">
        <f t="shared" si="0"/>
        <v>879457.47</v>
      </c>
      <c r="S10" s="98">
        <f t="shared" ref="S10:S52" si="1">R10-O10</f>
        <v>0</v>
      </c>
    </row>
    <row r="11" spans="1:20" x14ac:dyDescent="0.25">
      <c r="A11" s="121" t="s">
        <v>6</v>
      </c>
      <c r="B11" s="122">
        <f t="shared" ref="B11:G11" si="2">SUM(B9:B10)</f>
        <v>668965.32999999996</v>
      </c>
      <c r="C11" s="122">
        <f t="shared" ref="C11" si="3">SUM(C9:C10)</f>
        <v>107783.96</v>
      </c>
      <c r="D11" s="122">
        <f t="shared" si="2"/>
        <v>270724.32</v>
      </c>
      <c r="E11" s="122">
        <f t="shared" si="2"/>
        <v>316197.34000000003</v>
      </c>
      <c r="F11" s="122">
        <f t="shared" si="2"/>
        <v>162735.92000000001</v>
      </c>
      <c r="G11" s="122">
        <f t="shared" si="2"/>
        <v>232508.06</v>
      </c>
      <c r="H11" s="122"/>
      <c r="I11" s="122"/>
      <c r="J11" s="122"/>
      <c r="K11" s="122"/>
      <c r="L11" s="122"/>
      <c r="M11" s="122"/>
      <c r="N11" s="122">
        <f>SUM(N9:N10)</f>
        <v>0</v>
      </c>
      <c r="O11" s="122">
        <f>SUM(O9:O10)</f>
        <v>1758914.93</v>
      </c>
      <c r="P11" s="21">
        <v>1</v>
      </c>
      <c r="R11" s="98">
        <f t="shared" si="0"/>
        <v>1758914.93</v>
      </c>
      <c r="S11" s="98">
        <f t="shared" si="1"/>
        <v>0</v>
      </c>
    </row>
    <row r="12" spans="1:20" x14ac:dyDescent="0.25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5"/>
      <c r="P12" s="160"/>
      <c r="R12" s="98">
        <f t="shared" si="0"/>
        <v>0</v>
      </c>
      <c r="S12" s="98">
        <f t="shared" si="1"/>
        <v>0</v>
      </c>
    </row>
    <row r="13" spans="1:20" x14ac:dyDescent="0.25">
      <c r="A13" s="126" t="s">
        <v>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/>
      <c r="P13" s="161"/>
      <c r="R13" s="98">
        <f t="shared" si="0"/>
        <v>0</v>
      </c>
      <c r="S13" s="98">
        <f t="shared" si="1"/>
        <v>0</v>
      </c>
    </row>
    <row r="14" spans="1:20" x14ac:dyDescent="0.25">
      <c r="A14" s="114" t="s">
        <v>8</v>
      </c>
      <c r="B14" s="128">
        <v>-28009.37</v>
      </c>
      <c r="C14" s="128">
        <v>-4233.41</v>
      </c>
      <c r="D14" s="128">
        <v>-5130.7700000000004</v>
      </c>
      <c r="E14" s="128">
        <v>-11962.29</v>
      </c>
      <c r="F14" s="128">
        <v>-9925.64</v>
      </c>
      <c r="G14" s="128">
        <v>-7583.32</v>
      </c>
      <c r="H14" s="128">
        <v>0</v>
      </c>
      <c r="I14" s="128">
        <v>0</v>
      </c>
      <c r="J14" s="128">
        <v>0</v>
      </c>
      <c r="K14" s="128">
        <v>0</v>
      </c>
      <c r="L14" s="128">
        <v>0</v>
      </c>
      <c r="M14" s="128">
        <v>0</v>
      </c>
      <c r="N14" s="128">
        <v>0</v>
      </c>
      <c r="O14" s="119">
        <f>SUM(B14:N14)</f>
        <v>-66844.800000000003</v>
      </c>
      <c r="P14" s="21">
        <f>-O14/$O$11</f>
        <v>3.8003429762234156E-2</v>
      </c>
      <c r="R14" s="98">
        <f t="shared" si="0"/>
        <v>-66844.800000000003</v>
      </c>
      <c r="S14" s="98">
        <f t="shared" si="1"/>
        <v>0</v>
      </c>
    </row>
    <row r="15" spans="1:20" x14ac:dyDescent="0.25">
      <c r="A15" s="129" t="s">
        <v>9</v>
      </c>
      <c r="B15" s="128">
        <v>0</v>
      </c>
      <c r="C15" s="128">
        <v>0</v>
      </c>
      <c r="D15" s="128">
        <v>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0</v>
      </c>
      <c r="L15" s="128">
        <v>0</v>
      </c>
      <c r="M15" s="128">
        <v>0</v>
      </c>
      <c r="N15" s="128">
        <v>0</v>
      </c>
      <c r="O15" s="119">
        <f t="shared" ref="O15:O39" si="4">SUM(B15:N15)</f>
        <v>0</v>
      </c>
      <c r="P15" s="21">
        <f t="shared" ref="P15:P50" si="5">-O15/$O$11</f>
        <v>0</v>
      </c>
      <c r="R15" s="98">
        <f t="shared" si="0"/>
        <v>0</v>
      </c>
      <c r="S15" s="98">
        <f t="shared" si="1"/>
        <v>0</v>
      </c>
    </row>
    <row r="16" spans="1:20" x14ac:dyDescent="0.25">
      <c r="A16" s="114" t="s">
        <v>10</v>
      </c>
      <c r="B16" s="128">
        <v>-648</v>
      </c>
      <c r="C16" s="128">
        <v>-144</v>
      </c>
      <c r="D16" s="128">
        <v>-144</v>
      </c>
      <c r="E16" s="128">
        <v>-144</v>
      </c>
      <c r="F16" s="128">
        <v>-144</v>
      </c>
      <c r="G16" s="128">
        <v>-144</v>
      </c>
      <c r="H16" s="128">
        <v>0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28">
        <v>0</v>
      </c>
      <c r="O16" s="119">
        <f t="shared" si="4"/>
        <v>-1368</v>
      </c>
      <c r="P16" s="21">
        <f t="shared" si="5"/>
        <v>7.7775222477644219E-4</v>
      </c>
      <c r="R16" s="98">
        <f t="shared" si="0"/>
        <v>-1368</v>
      </c>
      <c r="S16" s="98">
        <f t="shared" si="1"/>
        <v>0</v>
      </c>
    </row>
    <row r="17" spans="1:19" x14ac:dyDescent="0.25">
      <c r="A17" s="129" t="s">
        <v>11</v>
      </c>
      <c r="B17" s="128">
        <v>-874.01</v>
      </c>
      <c r="C17" s="128">
        <v>-1377.82</v>
      </c>
      <c r="D17" s="128">
        <v>0</v>
      </c>
      <c r="E17" s="128">
        <f>-26.45</f>
        <v>-26.45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28">
        <v>0</v>
      </c>
      <c r="O17" s="119">
        <f t="shared" si="4"/>
        <v>-2278.2799999999997</v>
      </c>
      <c r="P17" s="21">
        <f t="shared" si="5"/>
        <v>1.2952758323564856E-3</v>
      </c>
      <c r="R17" s="98">
        <f t="shared" si="0"/>
        <v>-2278.2799999999997</v>
      </c>
      <c r="S17" s="98">
        <f t="shared" si="1"/>
        <v>0</v>
      </c>
    </row>
    <row r="18" spans="1:19" x14ac:dyDescent="0.25">
      <c r="A18" s="114" t="s">
        <v>12</v>
      </c>
      <c r="B18" s="128">
        <v>-11296.81</v>
      </c>
      <c r="C18" s="128">
        <v>-1261.94</v>
      </c>
      <c r="D18" s="128">
        <v>-3216.55</v>
      </c>
      <c r="E18" s="128">
        <v>-2585.58</v>
      </c>
      <c r="F18" s="128">
        <v>-1954.61</v>
      </c>
      <c r="G18" s="128">
        <v>-1326.92</v>
      </c>
      <c r="H18" s="128">
        <v>0</v>
      </c>
      <c r="I18" s="128">
        <v>0</v>
      </c>
      <c r="J18" s="128">
        <v>0</v>
      </c>
      <c r="K18" s="128">
        <v>0</v>
      </c>
      <c r="L18" s="128">
        <v>0</v>
      </c>
      <c r="M18" s="128">
        <v>0</v>
      </c>
      <c r="N18" s="128">
        <v>0</v>
      </c>
      <c r="O18" s="119">
        <f t="shared" si="4"/>
        <v>-21642.409999999996</v>
      </c>
      <c r="P18" s="21">
        <f t="shared" si="5"/>
        <v>1.2304409741976547E-2</v>
      </c>
      <c r="R18" s="98">
        <f t="shared" si="0"/>
        <v>-21642.409999999996</v>
      </c>
      <c r="S18" s="98">
        <f t="shared" si="1"/>
        <v>0</v>
      </c>
    </row>
    <row r="19" spans="1:19" x14ac:dyDescent="0.25">
      <c r="A19" s="114" t="s">
        <v>13</v>
      </c>
      <c r="B19" s="128">
        <v>-10991.42</v>
      </c>
      <c r="C19" s="128">
        <v>-1429.48</v>
      </c>
      <c r="D19" s="128">
        <v>-2840.67</v>
      </c>
      <c r="E19" s="128">
        <v>-2119.5700000000002</v>
      </c>
      <c r="F19" s="128">
        <v>-1563.19</v>
      </c>
      <c r="G19" s="128">
        <v>-940.13</v>
      </c>
      <c r="H19" s="128">
        <v>0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  <c r="N19" s="128">
        <v>0</v>
      </c>
      <c r="O19" s="119">
        <f t="shared" si="4"/>
        <v>-19884.46</v>
      </c>
      <c r="P19" s="21">
        <f t="shared" si="5"/>
        <v>1.1304958335875857E-2</v>
      </c>
      <c r="R19" s="98">
        <f t="shared" si="0"/>
        <v>-19884.46</v>
      </c>
      <c r="S19" s="98">
        <f t="shared" si="1"/>
        <v>0</v>
      </c>
    </row>
    <row r="20" spans="1:19" x14ac:dyDescent="0.25">
      <c r="A20" s="114" t="s">
        <v>14</v>
      </c>
      <c r="B20" s="128">
        <v>-11620.42</v>
      </c>
      <c r="C20" s="128">
        <v>-810.84</v>
      </c>
      <c r="D20" s="128">
        <v>-5506.74</v>
      </c>
      <c r="E20" s="128">
        <v>-5061.38</v>
      </c>
      <c r="F20" s="128">
        <v>-3358.74</v>
      </c>
      <c r="G20" s="128">
        <v>-1703.63</v>
      </c>
      <c r="H20" s="128">
        <v>0</v>
      </c>
      <c r="I20" s="128">
        <v>0</v>
      </c>
      <c r="J20" s="128">
        <v>0</v>
      </c>
      <c r="K20" s="128">
        <v>0</v>
      </c>
      <c r="L20" s="128">
        <v>0</v>
      </c>
      <c r="M20" s="128">
        <v>0</v>
      </c>
      <c r="N20" s="128">
        <v>0</v>
      </c>
      <c r="O20" s="119">
        <f t="shared" si="4"/>
        <v>-28061.750000000004</v>
      </c>
      <c r="P20" s="21">
        <f t="shared" si="5"/>
        <v>1.5954012056740005E-2</v>
      </c>
      <c r="R20" s="98">
        <f t="shared" si="0"/>
        <v>-28061.750000000004</v>
      </c>
      <c r="S20" s="98">
        <f t="shared" si="1"/>
        <v>0</v>
      </c>
    </row>
    <row r="21" spans="1:19" x14ac:dyDescent="0.25">
      <c r="A21" s="114" t="s">
        <v>15</v>
      </c>
      <c r="B21" s="128">
        <v>0</v>
      </c>
      <c r="C21" s="128">
        <v>0</v>
      </c>
      <c r="D21" s="128">
        <v>2664.75</v>
      </c>
      <c r="E21" s="128">
        <v>0</v>
      </c>
      <c r="F21" s="128">
        <v>0</v>
      </c>
      <c r="G21" s="128">
        <v>-560.39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28">
        <v>0</v>
      </c>
      <c r="N21" s="128">
        <v>0</v>
      </c>
      <c r="O21" s="119">
        <f t="shared" si="4"/>
        <v>2104.36</v>
      </c>
      <c r="P21" s="21">
        <f>O21/$O$11</f>
        <v>1.196396689861516E-3</v>
      </c>
      <c r="R21" s="98">
        <f t="shared" si="0"/>
        <v>2104.36</v>
      </c>
      <c r="S21" s="98">
        <f t="shared" si="1"/>
        <v>0</v>
      </c>
    </row>
    <row r="22" spans="1:19" x14ac:dyDescent="0.25">
      <c r="A22" s="114" t="s">
        <v>16</v>
      </c>
      <c r="B22" s="128">
        <v>0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19">
        <f t="shared" si="4"/>
        <v>0</v>
      </c>
      <c r="P22" s="21">
        <f t="shared" si="5"/>
        <v>0</v>
      </c>
      <c r="R22" s="98">
        <f t="shared" si="0"/>
        <v>0</v>
      </c>
      <c r="S22" s="98">
        <f t="shared" si="1"/>
        <v>0</v>
      </c>
    </row>
    <row r="23" spans="1:19" x14ac:dyDescent="0.25">
      <c r="A23" s="114" t="s">
        <v>17</v>
      </c>
      <c r="B23" s="128">
        <v>-16067.39</v>
      </c>
      <c r="C23" s="128">
        <v>-3742.93</v>
      </c>
      <c r="D23" s="128">
        <v>-6842.95</v>
      </c>
      <c r="E23" s="128">
        <v>-4721.75</v>
      </c>
      <c r="F23" s="128">
        <v>-3516.13</v>
      </c>
      <c r="G23" s="128">
        <v>-2606.96</v>
      </c>
      <c r="H23" s="128">
        <v>0</v>
      </c>
      <c r="I23" s="128">
        <v>0</v>
      </c>
      <c r="J23" s="128">
        <v>0</v>
      </c>
      <c r="K23" s="128">
        <v>0</v>
      </c>
      <c r="L23" s="128">
        <v>0</v>
      </c>
      <c r="M23" s="128">
        <v>0</v>
      </c>
      <c r="N23" s="128">
        <v>0</v>
      </c>
      <c r="O23" s="119">
        <f t="shared" si="4"/>
        <v>-37498.11</v>
      </c>
      <c r="P23" s="21">
        <f t="shared" si="5"/>
        <v>2.1318887775885784E-2</v>
      </c>
      <c r="R23" s="98">
        <f t="shared" si="0"/>
        <v>-37498.11</v>
      </c>
      <c r="S23" s="98">
        <f t="shared" si="1"/>
        <v>0</v>
      </c>
    </row>
    <row r="24" spans="1:19" x14ac:dyDescent="0.25">
      <c r="A24" s="114" t="s">
        <v>18</v>
      </c>
      <c r="B24" s="128">
        <v>-6495.19</v>
      </c>
      <c r="C24" s="128">
        <v>-1031.1500000000001</v>
      </c>
      <c r="D24" s="128">
        <v>-539.27</v>
      </c>
      <c r="E24" s="128">
        <v>-539.27</v>
      </c>
      <c r="F24" s="128">
        <v>-539.27</v>
      </c>
      <c r="G24" s="128">
        <v>0</v>
      </c>
      <c r="H24" s="128">
        <v>0</v>
      </c>
      <c r="I24" s="128">
        <v>0</v>
      </c>
      <c r="J24" s="128">
        <v>0</v>
      </c>
      <c r="K24" s="128">
        <v>0</v>
      </c>
      <c r="L24" s="128">
        <v>0</v>
      </c>
      <c r="M24" s="128">
        <v>0</v>
      </c>
      <c r="N24" s="128">
        <v>0</v>
      </c>
      <c r="O24" s="119">
        <f t="shared" si="4"/>
        <v>-9144.1500000000015</v>
      </c>
      <c r="P24" s="21">
        <f t="shared" si="5"/>
        <v>5.1987448875654273E-3</v>
      </c>
      <c r="R24" s="98">
        <f t="shared" si="0"/>
        <v>-9144.1500000000015</v>
      </c>
      <c r="S24" s="98">
        <f t="shared" si="1"/>
        <v>0</v>
      </c>
    </row>
    <row r="25" spans="1:19" x14ac:dyDescent="0.25">
      <c r="A25" s="114" t="s">
        <v>19</v>
      </c>
      <c r="B25" s="128">
        <v>-22407.42</v>
      </c>
      <c r="C25" s="128">
        <v>-7353.31</v>
      </c>
      <c r="D25" s="128">
        <v>-7229.35</v>
      </c>
      <c r="E25" s="128">
        <v>-8270</v>
      </c>
      <c r="F25" s="128">
        <v>-8270</v>
      </c>
      <c r="G25" s="128">
        <v>-7887.28</v>
      </c>
      <c r="H25" s="128">
        <v>0</v>
      </c>
      <c r="I25" s="128">
        <v>0</v>
      </c>
      <c r="J25" s="128">
        <v>0</v>
      </c>
      <c r="K25" s="128">
        <v>0</v>
      </c>
      <c r="L25" s="128">
        <v>0</v>
      </c>
      <c r="M25" s="128">
        <v>0</v>
      </c>
      <c r="N25" s="128">
        <v>0</v>
      </c>
      <c r="O25" s="119">
        <f t="shared" si="4"/>
        <v>-61417.36</v>
      </c>
      <c r="P25" s="21">
        <f t="shared" si="5"/>
        <v>3.4917754663666423E-2</v>
      </c>
      <c r="R25" s="98">
        <f t="shared" si="0"/>
        <v>-61417.36</v>
      </c>
      <c r="S25" s="98">
        <f t="shared" si="1"/>
        <v>0</v>
      </c>
    </row>
    <row r="26" spans="1:19" x14ac:dyDescent="0.25">
      <c r="A26" s="114" t="s">
        <v>20</v>
      </c>
      <c r="B26" s="128">
        <v>0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28">
        <v>0</v>
      </c>
      <c r="L26" s="128">
        <v>0</v>
      </c>
      <c r="M26" s="128">
        <v>0</v>
      </c>
      <c r="N26" s="128">
        <v>0</v>
      </c>
      <c r="O26" s="119">
        <f t="shared" si="4"/>
        <v>0</v>
      </c>
      <c r="P26" s="21">
        <f t="shared" si="5"/>
        <v>0</v>
      </c>
      <c r="R26" s="98">
        <f t="shared" si="0"/>
        <v>0</v>
      </c>
      <c r="S26" s="98">
        <f t="shared" si="1"/>
        <v>0</v>
      </c>
    </row>
    <row r="27" spans="1:19" x14ac:dyDescent="0.25">
      <c r="A27" s="114" t="s">
        <v>59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28">
        <v>0</v>
      </c>
      <c r="L27" s="128">
        <v>0</v>
      </c>
      <c r="M27" s="128">
        <v>0</v>
      </c>
      <c r="N27" s="128">
        <v>0</v>
      </c>
      <c r="O27" s="119">
        <f t="shared" si="4"/>
        <v>0</v>
      </c>
      <c r="P27" s="21">
        <f t="shared" si="5"/>
        <v>0</v>
      </c>
      <c r="R27" s="98">
        <f t="shared" si="0"/>
        <v>0</v>
      </c>
      <c r="S27" s="98">
        <f t="shared" si="1"/>
        <v>0</v>
      </c>
    </row>
    <row r="28" spans="1:19" x14ac:dyDescent="0.25">
      <c r="A28" s="114" t="s">
        <v>21</v>
      </c>
      <c r="B28" s="128">
        <v>-270</v>
      </c>
      <c r="C28" s="128">
        <v>-135</v>
      </c>
      <c r="D28" s="128">
        <v>-405</v>
      </c>
      <c r="E28" s="128">
        <v>-270</v>
      </c>
      <c r="F28" s="128">
        <v>-135</v>
      </c>
      <c r="G28" s="128">
        <v>0</v>
      </c>
      <c r="H28" s="128">
        <v>0</v>
      </c>
      <c r="I28" s="128">
        <v>0</v>
      </c>
      <c r="J28" s="128">
        <v>0</v>
      </c>
      <c r="K28" s="128">
        <v>0</v>
      </c>
      <c r="L28" s="128">
        <v>0</v>
      </c>
      <c r="M28" s="128">
        <v>0</v>
      </c>
      <c r="N28" s="128">
        <v>0</v>
      </c>
      <c r="O28" s="119">
        <f t="shared" si="4"/>
        <v>-1215</v>
      </c>
      <c r="P28" s="21">
        <f t="shared" si="5"/>
        <v>6.9076677858434011E-4</v>
      </c>
      <c r="R28" s="98">
        <f t="shared" si="0"/>
        <v>-1215</v>
      </c>
      <c r="S28" s="98">
        <f t="shared" si="1"/>
        <v>0</v>
      </c>
    </row>
    <row r="29" spans="1:19" x14ac:dyDescent="0.25">
      <c r="A29" s="114" t="s">
        <v>22</v>
      </c>
      <c r="B29" s="128">
        <v>0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28">
        <v>0</v>
      </c>
      <c r="O29" s="119">
        <f t="shared" si="4"/>
        <v>0</v>
      </c>
      <c r="P29" s="21">
        <f t="shared" si="5"/>
        <v>0</v>
      </c>
      <c r="R29" s="98">
        <f t="shared" si="0"/>
        <v>0</v>
      </c>
      <c r="S29" s="98">
        <f t="shared" si="1"/>
        <v>0</v>
      </c>
    </row>
    <row r="30" spans="1:19" x14ac:dyDescent="0.25">
      <c r="A30" s="129" t="s">
        <v>23</v>
      </c>
      <c r="B30" s="128">
        <v>-758.81</v>
      </c>
      <c r="C30" s="128">
        <v>0</v>
      </c>
      <c r="D30" s="128">
        <v>0</v>
      </c>
      <c r="E30" s="128">
        <f>-9.52</f>
        <v>-9.52</v>
      </c>
      <c r="F30" s="128">
        <v>0</v>
      </c>
      <c r="G30" s="128">
        <v>-314.47000000000003</v>
      </c>
      <c r="H30" s="128">
        <v>0</v>
      </c>
      <c r="I30" s="128">
        <v>0</v>
      </c>
      <c r="J30" s="128">
        <v>0</v>
      </c>
      <c r="K30" s="128">
        <v>0</v>
      </c>
      <c r="L30" s="128">
        <v>0</v>
      </c>
      <c r="M30" s="128">
        <v>0</v>
      </c>
      <c r="N30" s="128">
        <v>0</v>
      </c>
      <c r="O30" s="119">
        <f t="shared" si="4"/>
        <v>-1082.8</v>
      </c>
      <c r="P30" s="21">
        <f t="shared" si="5"/>
        <v>6.1560680481573943E-4</v>
      </c>
      <c r="R30" s="98">
        <f t="shared" si="0"/>
        <v>-1082.8</v>
      </c>
      <c r="S30" s="98">
        <f t="shared" si="1"/>
        <v>0</v>
      </c>
    </row>
    <row r="31" spans="1:19" x14ac:dyDescent="0.25">
      <c r="A31" s="114" t="s">
        <v>24</v>
      </c>
      <c r="B31" s="128">
        <v>-43306.65</v>
      </c>
      <c r="C31" s="128">
        <v>-405.96</v>
      </c>
      <c r="D31" s="128">
        <v>-16744</v>
      </c>
      <c r="E31" s="128">
        <v>-12460</v>
      </c>
      <c r="F31" s="128">
        <v>-10938</v>
      </c>
      <c r="G31" s="128">
        <v>-3538</v>
      </c>
      <c r="H31" s="128">
        <v>0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28">
        <v>0</v>
      </c>
      <c r="O31" s="119">
        <f t="shared" si="4"/>
        <v>-87392.61</v>
      </c>
      <c r="P31" s="21">
        <f t="shared" si="5"/>
        <v>4.9685524017923942E-2</v>
      </c>
      <c r="R31" s="98">
        <f t="shared" si="0"/>
        <v>-87392.61</v>
      </c>
      <c r="S31" s="98">
        <f t="shared" si="1"/>
        <v>0</v>
      </c>
    </row>
    <row r="32" spans="1:19" x14ac:dyDescent="0.25">
      <c r="A32" s="130" t="s">
        <v>25</v>
      </c>
      <c r="B32" s="128">
        <v>-82728.160000000003</v>
      </c>
      <c r="C32" s="128">
        <v>-11402.83</v>
      </c>
      <c r="D32" s="128">
        <v>-31049.95</v>
      </c>
      <c r="E32" s="128">
        <v>-22173.89</v>
      </c>
      <c r="F32" s="128">
        <v>-16179.82</v>
      </c>
      <c r="G32" s="128">
        <v>-10103.950000000001</v>
      </c>
      <c r="H32" s="128">
        <v>0</v>
      </c>
      <c r="I32" s="128">
        <v>0</v>
      </c>
      <c r="J32" s="128">
        <v>0</v>
      </c>
      <c r="K32" s="128">
        <v>0</v>
      </c>
      <c r="L32" s="128">
        <v>0</v>
      </c>
      <c r="M32" s="128">
        <v>0</v>
      </c>
      <c r="N32" s="128">
        <v>0</v>
      </c>
      <c r="O32" s="119">
        <f t="shared" si="4"/>
        <v>-173638.60000000003</v>
      </c>
      <c r="P32" s="21">
        <f t="shared" si="5"/>
        <v>9.8719157497855814E-2</v>
      </c>
      <c r="R32" s="98">
        <f t="shared" si="0"/>
        <v>-173638.60000000003</v>
      </c>
      <c r="S32" s="98">
        <f t="shared" si="1"/>
        <v>0</v>
      </c>
    </row>
    <row r="33" spans="1:19" x14ac:dyDescent="0.25">
      <c r="A33" s="114" t="s">
        <v>26</v>
      </c>
      <c r="B33" s="128">
        <v>-1337.23</v>
      </c>
      <c r="C33" s="128">
        <v>-347.23</v>
      </c>
      <c r="D33" s="128">
        <v>-347.07</v>
      </c>
      <c r="E33" s="128">
        <v>-347.07</v>
      </c>
      <c r="F33" s="128">
        <v>-347.23</v>
      </c>
      <c r="G33" s="128">
        <v>-342.58</v>
      </c>
      <c r="H33" s="128">
        <v>0</v>
      </c>
      <c r="I33" s="128">
        <v>0</v>
      </c>
      <c r="J33" s="128">
        <v>0</v>
      </c>
      <c r="K33" s="128">
        <v>0</v>
      </c>
      <c r="L33" s="128">
        <v>0</v>
      </c>
      <c r="M33" s="128">
        <v>0</v>
      </c>
      <c r="N33" s="128">
        <v>0</v>
      </c>
      <c r="O33" s="119">
        <f t="shared" si="4"/>
        <v>-3068.41</v>
      </c>
      <c r="P33" s="21">
        <f t="shared" si="5"/>
        <v>1.7444902807209669E-3</v>
      </c>
      <c r="R33" s="98">
        <f t="shared" si="0"/>
        <v>-3068.41</v>
      </c>
      <c r="S33" s="98">
        <f t="shared" si="1"/>
        <v>0</v>
      </c>
    </row>
    <row r="34" spans="1:19" x14ac:dyDescent="0.25">
      <c r="A34" s="114" t="s">
        <v>27</v>
      </c>
      <c r="B34" s="128">
        <v>0</v>
      </c>
      <c r="C34" s="128">
        <v>0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19">
        <f t="shared" si="4"/>
        <v>0</v>
      </c>
      <c r="P34" s="21">
        <f t="shared" si="5"/>
        <v>0</v>
      </c>
      <c r="R34" s="98">
        <f t="shared" si="0"/>
        <v>0</v>
      </c>
      <c r="S34" s="98">
        <f t="shared" si="1"/>
        <v>0</v>
      </c>
    </row>
    <row r="35" spans="1:19" x14ac:dyDescent="0.25">
      <c r="A35" s="129" t="s">
        <v>28</v>
      </c>
      <c r="B35" s="128">
        <v>-999.22</v>
      </c>
      <c r="C35" s="128">
        <v>0</v>
      </c>
      <c r="D35" s="128">
        <v>-199.08</v>
      </c>
      <c r="E35" s="128">
        <v>-286.92</v>
      </c>
      <c r="F35" s="128">
        <v>-1525.11</v>
      </c>
      <c r="G35" s="128">
        <v>0</v>
      </c>
      <c r="H35" s="128">
        <v>0</v>
      </c>
      <c r="I35" s="128">
        <v>0</v>
      </c>
      <c r="J35" s="128">
        <v>0</v>
      </c>
      <c r="K35" s="128">
        <v>0</v>
      </c>
      <c r="L35" s="128">
        <v>0</v>
      </c>
      <c r="M35" s="128">
        <v>0</v>
      </c>
      <c r="N35" s="128">
        <v>0</v>
      </c>
      <c r="O35" s="119">
        <f t="shared" si="4"/>
        <v>-3010.33</v>
      </c>
      <c r="P35" s="21">
        <f t="shared" si="5"/>
        <v>1.7114699231076515E-3</v>
      </c>
      <c r="R35" s="98">
        <f t="shared" si="0"/>
        <v>-3010.33</v>
      </c>
      <c r="S35" s="98">
        <f t="shared" si="1"/>
        <v>0</v>
      </c>
    </row>
    <row r="36" spans="1:19" x14ac:dyDescent="0.25">
      <c r="A36" s="114" t="s">
        <v>29</v>
      </c>
      <c r="B36" s="128">
        <v>-4672.4799999999996</v>
      </c>
      <c r="C36" s="128">
        <v>-1548.28</v>
      </c>
      <c r="D36" s="128">
        <v>-1599.15</v>
      </c>
      <c r="E36" s="128">
        <v>-3544.88</v>
      </c>
      <c r="F36" s="128">
        <v>-2183.96</v>
      </c>
      <c r="G36" s="128">
        <v>-1667.14</v>
      </c>
      <c r="H36" s="128">
        <v>0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28">
        <v>0</v>
      </c>
      <c r="O36" s="119">
        <f t="shared" si="4"/>
        <v>-15215.89</v>
      </c>
      <c r="P36" s="21">
        <f t="shared" si="5"/>
        <v>8.650725365097674E-3</v>
      </c>
      <c r="R36" s="98">
        <f t="shared" si="0"/>
        <v>-15215.89</v>
      </c>
      <c r="S36" s="98">
        <f t="shared" si="1"/>
        <v>0</v>
      </c>
    </row>
    <row r="37" spans="1:19" x14ac:dyDescent="0.25">
      <c r="A37" s="15" t="s">
        <v>276</v>
      </c>
      <c r="B37" s="128">
        <v>-7949.28</v>
      </c>
      <c r="C37" s="128">
        <v>-1419.68</v>
      </c>
      <c r="D37" s="128">
        <v>-2885.64</v>
      </c>
      <c r="E37" s="128">
        <v>-2152.66</v>
      </c>
      <c r="F37" s="128">
        <v>-1679.43</v>
      </c>
      <c r="G37" s="128">
        <v>-995.19</v>
      </c>
      <c r="H37" s="128">
        <v>0</v>
      </c>
      <c r="I37" s="128">
        <v>0</v>
      </c>
      <c r="J37" s="128">
        <v>0</v>
      </c>
      <c r="K37" s="128">
        <v>0</v>
      </c>
      <c r="L37" s="128">
        <v>0</v>
      </c>
      <c r="M37" s="128">
        <v>0</v>
      </c>
      <c r="N37" s="128">
        <v>0</v>
      </c>
      <c r="O37" s="119">
        <f t="shared" si="4"/>
        <v>-17081.879999999997</v>
      </c>
      <c r="P37" s="21">
        <f t="shared" si="5"/>
        <v>9.7116010039212056E-3</v>
      </c>
      <c r="R37" s="98">
        <f t="shared" si="0"/>
        <v>-17081.879999999997</v>
      </c>
      <c r="S37" s="98">
        <f t="shared" si="1"/>
        <v>0</v>
      </c>
    </row>
    <row r="38" spans="1:19" x14ac:dyDescent="0.25">
      <c r="A38" s="114" t="s">
        <v>97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28">
        <v>0</v>
      </c>
      <c r="N38" s="128">
        <v>0</v>
      </c>
      <c r="O38" s="119">
        <f t="shared" si="4"/>
        <v>0</v>
      </c>
      <c r="P38" s="21">
        <f t="shared" si="5"/>
        <v>0</v>
      </c>
      <c r="R38" s="98">
        <f t="shared" si="0"/>
        <v>0</v>
      </c>
      <c r="S38" s="98">
        <f t="shared" si="1"/>
        <v>0</v>
      </c>
    </row>
    <row r="39" spans="1:19" x14ac:dyDescent="0.25">
      <c r="A39" s="114" t="s">
        <v>114</v>
      </c>
      <c r="B39" s="128">
        <v>0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28">
        <v>0</v>
      </c>
      <c r="O39" s="119">
        <f t="shared" si="4"/>
        <v>0</v>
      </c>
      <c r="P39" s="21">
        <f t="shared" si="5"/>
        <v>0</v>
      </c>
      <c r="R39" s="98">
        <f t="shared" si="0"/>
        <v>0</v>
      </c>
      <c r="S39" s="98">
        <f t="shared" si="1"/>
        <v>0</v>
      </c>
    </row>
    <row r="40" spans="1:19" x14ac:dyDescent="0.25">
      <c r="A40" s="131" t="s">
        <v>31</v>
      </c>
      <c r="B40" s="132">
        <f t="shared" ref="B40:N40" si="6">SUM(B14:B39)</f>
        <v>-250431.86000000002</v>
      </c>
      <c r="C40" s="132">
        <f t="shared" ref="C40" si="7">SUM(C14:C39)</f>
        <v>-36643.86</v>
      </c>
      <c r="D40" s="132">
        <f t="shared" si="6"/>
        <v>-82015.44</v>
      </c>
      <c r="E40" s="132">
        <f t="shared" si="6"/>
        <v>-76675.230000000025</v>
      </c>
      <c r="F40" s="132">
        <f t="shared" si="6"/>
        <v>-62260.130000000005</v>
      </c>
      <c r="G40" s="132">
        <f t="shared" si="6"/>
        <v>-39713.960000000006</v>
      </c>
      <c r="H40" s="132"/>
      <c r="I40" s="132"/>
      <c r="J40" s="132"/>
      <c r="K40" s="132"/>
      <c r="L40" s="132"/>
      <c r="M40" s="132"/>
      <c r="N40" s="132">
        <f t="shared" si="6"/>
        <v>0</v>
      </c>
      <c r="O40" s="132">
        <f>SUM(O14:O39)</f>
        <v>-547740.48</v>
      </c>
      <c r="P40" s="21">
        <f t="shared" si="5"/>
        <v>0.31140817026324291</v>
      </c>
      <c r="R40" s="98">
        <f t="shared" si="0"/>
        <v>-547740.4800000001</v>
      </c>
      <c r="S40" s="98">
        <f t="shared" si="1"/>
        <v>0</v>
      </c>
    </row>
    <row r="41" spans="1:19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25"/>
      <c r="P41" s="159"/>
      <c r="R41" s="98">
        <f t="shared" si="0"/>
        <v>0</v>
      </c>
      <c r="S41" s="98">
        <f t="shared" si="1"/>
        <v>0</v>
      </c>
    </row>
    <row r="42" spans="1:19" x14ac:dyDescent="0.25">
      <c r="A42" s="135" t="s">
        <v>32</v>
      </c>
      <c r="B42" s="165">
        <f t="shared" ref="B42:G42" si="8">B11+B40</f>
        <v>418533.47</v>
      </c>
      <c r="C42" s="165">
        <f t="shared" ref="C42" si="9">C11+C40</f>
        <v>71140.100000000006</v>
      </c>
      <c r="D42" s="165">
        <f t="shared" si="8"/>
        <v>188708.88</v>
      </c>
      <c r="E42" s="165">
        <f t="shared" si="8"/>
        <v>239522.11</v>
      </c>
      <c r="F42" s="165">
        <f t="shared" si="8"/>
        <v>100475.79000000001</v>
      </c>
      <c r="G42" s="165">
        <f t="shared" si="8"/>
        <v>192794.09999999998</v>
      </c>
      <c r="H42" s="165"/>
      <c r="I42" s="165"/>
      <c r="J42" s="165"/>
      <c r="K42" s="165"/>
      <c r="L42" s="165"/>
      <c r="M42" s="165"/>
      <c r="N42" s="165">
        <f>N11+N40</f>
        <v>0</v>
      </c>
      <c r="O42" s="166">
        <f>SUM(B42:N42)</f>
        <v>1211174.45</v>
      </c>
      <c r="P42" s="21">
        <f>O42/$O$11</f>
        <v>0.68859182973675703</v>
      </c>
      <c r="R42" s="98">
        <f t="shared" si="0"/>
        <v>1211174.45</v>
      </c>
      <c r="S42" s="98">
        <f t="shared" si="1"/>
        <v>0</v>
      </c>
    </row>
    <row r="43" spans="1:19" x14ac:dyDescent="0.25">
      <c r="A43" s="13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62"/>
      <c r="R43" s="98">
        <f t="shared" si="0"/>
        <v>0</v>
      </c>
      <c r="S43" s="98">
        <f t="shared" si="1"/>
        <v>0</v>
      </c>
    </row>
    <row r="44" spans="1:19" x14ac:dyDescent="0.25">
      <c r="A44" s="126" t="s">
        <v>56</v>
      </c>
      <c r="B44" s="139">
        <f t="shared" ref="B44:N44" si="10">-B9*13.15%</f>
        <v>-43984.469789999996</v>
      </c>
      <c r="C44" s="139">
        <f t="shared" ref="C44" si="11">-C9*13.15%</f>
        <v>-7086.7953700000007</v>
      </c>
      <c r="D44" s="139">
        <f t="shared" si="10"/>
        <v>-17800.124040000002</v>
      </c>
      <c r="E44" s="139">
        <f t="shared" si="10"/>
        <v>-20789.975105000001</v>
      </c>
      <c r="F44" s="139">
        <f t="shared" si="10"/>
        <v>-10699.886740000002</v>
      </c>
      <c r="G44" s="139">
        <f t="shared" si="10"/>
        <v>-15287.404945</v>
      </c>
      <c r="H44" s="139"/>
      <c r="I44" s="139"/>
      <c r="J44" s="139"/>
      <c r="K44" s="139"/>
      <c r="L44" s="139"/>
      <c r="M44" s="139"/>
      <c r="N44" s="139">
        <f t="shared" si="10"/>
        <v>0</v>
      </c>
      <c r="O44" s="119">
        <f t="shared" ref="O44" si="12">SUM(B44:N44)</f>
        <v>-115648.65599000001</v>
      </c>
      <c r="P44" s="21">
        <f t="shared" si="5"/>
        <v>6.5749999626190006E-2</v>
      </c>
      <c r="R44" s="98">
        <f t="shared" si="0"/>
        <v>-115648.65599000001</v>
      </c>
      <c r="S44" s="98">
        <f t="shared" si="1"/>
        <v>0</v>
      </c>
    </row>
    <row r="45" spans="1:19" x14ac:dyDescent="0.25">
      <c r="A45" s="137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62"/>
      <c r="R45" s="98">
        <f t="shared" si="0"/>
        <v>0</v>
      </c>
      <c r="S45" s="98">
        <f t="shared" si="1"/>
        <v>0</v>
      </c>
    </row>
    <row r="46" spans="1:19" x14ac:dyDescent="0.25">
      <c r="A46" s="126" t="s">
        <v>33</v>
      </c>
      <c r="B46" s="139">
        <f t="shared" ref="B46:N46" si="13">-B9*1.22%</f>
        <v>-4080.6884519999994</v>
      </c>
      <c r="C46" s="139">
        <f t="shared" ref="C46" si="14">-C9*1.22%</f>
        <v>-657.48215600000003</v>
      </c>
      <c r="D46" s="139">
        <f t="shared" si="13"/>
        <v>-1651.4183519999999</v>
      </c>
      <c r="E46" s="139">
        <f t="shared" si="13"/>
        <v>-1928.803774</v>
      </c>
      <c r="F46" s="139">
        <f t="shared" si="13"/>
        <v>-992.68911200000002</v>
      </c>
      <c r="G46" s="139">
        <f t="shared" si="13"/>
        <v>-1418.2991659999998</v>
      </c>
      <c r="H46" s="139"/>
      <c r="I46" s="139"/>
      <c r="J46" s="139"/>
      <c r="K46" s="139"/>
      <c r="L46" s="139"/>
      <c r="M46" s="139"/>
      <c r="N46" s="139">
        <f t="shared" si="13"/>
        <v>0</v>
      </c>
      <c r="O46" s="119">
        <f t="shared" ref="O46" si="15">SUM(B46:N46)</f>
        <v>-10729.381011999998</v>
      </c>
      <c r="P46" s="21">
        <f t="shared" si="5"/>
        <v>6.0999999653195275E-3</v>
      </c>
      <c r="R46" s="98">
        <f t="shared" si="0"/>
        <v>-10729.381011999998</v>
      </c>
      <c r="S46" s="98">
        <f t="shared" si="1"/>
        <v>0</v>
      </c>
    </row>
    <row r="47" spans="1:19" x14ac:dyDescent="0.2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62"/>
      <c r="R47" s="98">
        <f t="shared" si="0"/>
        <v>0</v>
      </c>
      <c r="S47" s="98">
        <f t="shared" si="1"/>
        <v>0</v>
      </c>
    </row>
    <row r="48" spans="1:19" x14ac:dyDescent="0.25">
      <c r="A48" s="113" t="s">
        <v>57</v>
      </c>
      <c r="B48" s="142">
        <f t="shared" ref="B48:G48" si="16">B40*5.56%</f>
        <v>-13924.011415999999</v>
      </c>
      <c r="C48" s="142">
        <f t="shared" ref="C48" si="17">C40*5.56%</f>
        <v>-2037.3986159999999</v>
      </c>
      <c r="D48" s="142">
        <f t="shared" si="16"/>
        <v>-4560.0584639999997</v>
      </c>
      <c r="E48" s="142">
        <f t="shared" si="16"/>
        <v>-4263.142788000001</v>
      </c>
      <c r="F48" s="142">
        <f t="shared" si="16"/>
        <v>-3461.6632279999999</v>
      </c>
      <c r="G48" s="142">
        <f t="shared" si="16"/>
        <v>-2208.096176</v>
      </c>
      <c r="H48" s="142"/>
      <c r="I48" s="142"/>
      <c r="J48" s="142"/>
      <c r="K48" s="142"/>
      <c r="L48" s="142"/>
      <c r="M48" s="142"/>
      <c r="N48" s="142">
        <f>N40*5.56%</f>
        <v>0</v>
      </c>
      <c r="O48" s="119">
        <f t="shared" ref="O48" si="18">SUM(B48:N48)</f>
        <v>-30454.370688000003</v>
      </c>
      <c r="P48" s="21">
        <f t="shared" si="5"/>
        <v>1.7314294266636308E-2</v>
      </c>
      <c r="R48" s="98">
        <f t="shared" si="0"/>
        <v>-30454.370688000003</v>
      </c>
      <c r="S48" s="98">
        <f t="shared" si="1"/>
        <v>0</v>
      </c>
    </row>
    <row r="49" spans="1:19" x14ac:dyDescent="0.2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62"/>
      <c r="R49" s="98">
        <f t="shared" si="0"/>
        <v>0</v>
      </c>
      <c r="S49" s="98">
        <f t="shared" si="1"/>
        <v>0</v>
      </c>
    </row>
    <row r="50" spans="1:19" x14ac:dyDescent="0.25">
      <c r="A50" s="113" t="s">
        <v>58</v>
      </c>
      <c r="B50" s="142">
        <f t="shared" ref="B50:G50" si="19">B40*0.01%</f>
        <v>-25.043186000000002</v>
      </c>
      <c r="C50" s="142">
        <f t="shared" ref="C50" si="20">C40*0.01%</f>
        <v>-3.6643860000000004</v>
      </c>
      <c r="D50" s="142">
        <f t="shared" si="19"/>
        <v>-8.2015440000000002</v>
      </c>
      <c r="E50" s="142">
        <f t="shared" si="19"/>
        <v>-7.6675230000000028</v>
      </c>
      <c r="F50" s="142">
        <f t="shared" si="19"/>
        <v>-6.2260130000000009</v>
      </c>
      <c r="G50" s="142">
        <f t="shared" si="19"/>
        <v>-3.9713960000000008</v>
      </c>
      <c r="H50" s="142"/>
      <c r="I50" s="142"/>
      <c r="J50" s="142"/>
      <c r="K50" s="142"/>
      <c r="L50" s="142"/>
      <c r="M50" s="142"/>
      <c r="N50" s="142">
        <f>N40*0.01%</f>
        <v>0</v>
      </c>
      <c r="O50" s="119">
        <f t="shared" ref="O50" si="21">SUM(B50:N50)</f>
        <v>-54.774048000000008</v>
      </c>
      <c r="P50" s="21">
        <f t="shared" si="5"/>
        <v>3.1140817026324298E-5</v>
      </c>
      <c r="R50" s="98">
        <f t="shared" si="0"/>
        <v>-54.774048000000008</v>
      </c>
      <c r="S50" s="98">
        <f t="shared" si="1"/>
        <v>0</v>
      </c>
    </row>
    <row r="51" spans="1:19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62"/>
      <c r="R51" s="98">
        <f t="shared" si="0"/>
        <v>0</v>
      </c>
      <c r="S51" s="98">
        <f t="shared" si="1"/>
        <v>0</v>
      </c>
    </row>
    <row r="52" spans="1:19" x14ac:dyDescent="0.25">
      <c r="A52" s="135" t="s">
        <v>268</v>
      </c>
      <c r="B52" s="165">
        <f t="shared" ref="B52:G52" si="22">B42+B48+B50+B44+B46</f>
        <v>356519.25715599995</v>
      </c>
      <c r="C52" s="165">
        <f t="shared" ref="C52" si="23">C42+C48+C50+C44+C46</f>
        <v>61354.759471999998</v>
      </c>
      <c r="D52" s="165">
        <f t="shared" si="22"/>
        <v>164689.07759999999</v>
      </c>
      <c r="E52" s="165">
        <f t="shared" si="22"/>
        <v>212532.52080999999</v>
      </c>
      <c r="F52" s="165">
        <f t="shared" si="22"/>
        <v>85315.324907000002</v>
      </c>
      <c r="G52" s="165">
        <f t="shared" si="22"/>
        <v>173876.32831699998</v>
      </c>
      <c r="H52" s="165"/>
      <c r="I52" s="165"/>
      <c r="J52" s="165"/>
      <c r="K52" s="165"/>
      <c r="L52" s="165"/>
      <c r="M52" s="165"/>
      <c r="N52" s="165">
        <f>N42+N48+N50+N44+N46</f>
        <v>0</v>
      </c>
      <c r="O52" s="166">
        <f>SUM(B52:N52)</f>
        <v>1054287.2682620001</v>
      </c>
      <c r="P52" s="21">
        <f>O52/$O$11</f>
        <v>0.59939639506158493</v>
      </c>
      <c r="R52" s="98">
        <f t="shared" si="0"/>
        <v>1054287.2682620001</v>
      </c>
      <c r="S52" s="98">
        <f t="shared" si="1"/>
        <v>0</v>
      </c>
    </row>
    <row r="53" spans="1:19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63"/>
    </row>
    <row r="54" spans="1:19" x14ac:dyDescent="0.25">
      <c r="A54" s="144" t="s">
        <v>35</v>
      </c>
      <c r="B54" s="13"/>
      <c r="C54" s="13">
        <v>10</v>
      </c>
      <c r="D54" s="13">
        <v>14</v>
      </c>
      <c r="E54" s="13">
        <v>9</v>
      </c>
      <c r="F54" s="13">
        <v>7</v>
      </c>
      <c r="G54" s="13">
        <v>5</v>
      </c>
      <c r="H54" s="13"/>
      <c r="I54" s="13"/>
      <c r="J54" s="13"/>
      <c r="K54" s="13"/>
      <c r="L54" s="13"/>
      <c r="M54" s="13"/>
      <c r="N54" s="13"/>
      <c r="O54" s="145"/>
      <c r="P54" s="163"/>
    </row>
    <row r="55" spans="1:19" x14ac:dyDescent="0.25">
      <c r="A55" s="80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53"/>
    </row>
    <row r="56" spans="1:19" x14ac:dyDescent="0.25">
      <c r="A56" s="146" t="s">
        <v>36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64">
        <v>46203</v>
      </c>
    </row>
    <row r="57" spans="1:19" x14ac:dyDescent="0.25">
      <c r="B57" s="98">
        <f t="shared" ref="B57:O57" si="24">B11+B40+B44+B46+B48+B50</f>
        <v>356519.25715599995</v>
      </c>
      <c r="C57" s="98">
        <f t="shared" ref="C57" si="25">C11+C40+C44+C46+C48+C50</f>
        <v>61354.759472000012</v>
      </c>
      <c r="D57" s="98">
        <f t="shared" si="24"/>
        <v>164689.07759999999</v>
      </c>
      <c r="E57" s="98">
        <f t="shared" si="24"/>
        <v>212532.52080999999</v>
      </c>
      <c r="F57" s="98">
        <f t="shared" si="24"/>
        <v>85315.324906999987</v>
      </c>
      <c r="G57" s="98">
        <f t="shared" si="24"/>
        <v>173876.32831699998</v>
      </c>
      <c r="H57" s="98"/>
      <c r="I57" s="98"/>
      <c r="J57" s="98"/>
      <c r="K57" s="98"/>
      <c r="L57" s="98"/>
      <c r="M57" s="98"/>
      <c r="N57" s="98">
        <f t="shared" si="24"/>
        <v>0</v>
      </c>
      <c r="O57" s="98">
        <f t="shared" si="24"/>
        <v>1054287.2682619998</v>
      </c>
      <c r="P57" s="153"/>
    </row>
    <row r="58" spans="1:19" x14ac:dyDescent="0.25">
      <c r="P58" s="153"/>
    </row>
    <row r="59" spans="1:19" x14ac:dyDescent="0.25">
      <c r="B59" s="98">
        <f t="shared" ref="B59:O59" si="26">B57-B52</f>
        <v>0</v>
      </c>
      <c r="C59" s="98">
        <f t="shared" ref="C59" si="27">C57-C52</f>
        <v>0</v>
      </c>
      <c r="D59" s="98">
        <f t="shared" si="26"/>
        <v>0</v>
      </c>
      <c r="E59" s="98">
        <f t="shared" si="26"/>
        <v>0</v>
      </c>
      <c r="F59" s="98">
        <f t="shared" si="26"/>
        <v>0</v>
      </c>
      <c r="G59" s="98">
        <f t="shared" si="26"/>
        <v>0</v>
      </c>
      <c r="H59" s="98"/>
      <c r="I59" s="98"/>
      <c r="J59" s="98"/>
      <c r="K59" s="98"/>
      <c r="L59" s="98"/>
      <c r="M59" s="98"/>
      <c r="N59" s="98">
        <f t="shared" si="26"/>
        <v>0</v>
      </c>
      <c r="O59" s="98">
        <f t="shared" si="26"/>
        <v>0</v>
      </c>
      <c r="P59" s="153"/>
    </row>
    <row r="60" spans="1:19" x14ac:dyDescent="0.25">
      <c r="P60" s="153"/>
    </row>
  </sheetData>
  <mergeCells count="3">
    <mergeCell ref="A1:P1"/>
    <mergeCell ref="A3:P3"/>
    <mergeCell ref="A5:P5"/>
  </mergeCells>
  <printOptions horizontalCentered="1" verticalCentered="1"/>
  <pageMargins left="0.51181102362204722" right="0.51181102362204722" top="0.31496062992125984" bottom="0" header="0.19685039370078741" footer="0"/>
  <pageSetup paperSize="9" scale="71" orientation="landscape" r:id="rId1"/>
  <headerFooter>
    <oddHeader>&amp;L&amp;"-,Negrito"&amp;14                                                                                                                                                      BELA NOVA CONSTRUTORA LTDA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9"/>
  </sheetPr>
  <dimension ref="A1:T60"/>
  <sheetViews>
    <sheetView topLeftCell="A34" zoomScale="85" zoomScaleNormal="85" workbookViewId="0">
      <pane xSplit="1" topLeftCell="H1" activePane="topRight" state="frozen"/>
      <selection activeCell="E21" sqref="E21"/>
      <selection pane="topRight" activeCell="H55" sqref="H55"/>
    </sheetView>
  </sheetViews>
  <sheetFormatPr defaultRowHeight="15" x14ac:dyDescent="0.25"/>
  <cols>
    <col min="1" max="1" width="61.5703125" bestFit="1" customWidth="1"/>
    <col min="2" max="2" width="19.140625" customWidth="1"/>
    <col min="3" max="3" width="17.85546875" customWidth="1"/>
    <col min="4" max="4" width="18.42578125" customWidth="1"/>
    <col min="5" max="5" width="17" customWidth="1"/>
    <col min="6" max="6" width="16.140625" customWidth="1"/>
    <col min="7" max="7" width="16.5703125" customWidth="1"/>
    <col min="8" max="8" width="19.140625" customWidth="1"/>
    <col min="9" max="10" width="19.140625" hidden="1" customWidth="1"/>
    <col min="11" max="11" width="16.140625" hidden="1" customWidth="1"/>
    <col min="12" max="12" width="14.7109375" hidden="1" customWidth="1"/>
    <col min="13" max="13" width="16.85546875" hidden="1" customWidth="1"/>
    <col min="14" max="14" width="16.7109375" hidden="1" customWidth="1"/>
    <col min="15" max="15" width="16.140625" bestFit="1" customWidth="1"/>
    <col min="16" max="16" width="11" bestFit="1" customWidth="1"/>
    <col min="18" max="18" width="17" bestFit="1" customWidth="1"/>
    <col min="20" max="20" width="16" bestFit="1" customWidth="1"/>
  </cols>
  <sheetData>
    <row r="1" spans="1:20" ht="15.75" x14ac:dyDescent="0.25">
      <c r="A1" s="203" t="s">
        <v>288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20" ht="6.75" customHeight="1" x14ac:dyDescent="0.25">
      <c r="A2" s="108"/>
    </row>
    <row r="3" spans="1:20" ht="15.75" x14ac:dyDescent="0.25">
      <c r="A3" s="203" t="s">
        <v>289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</row>
    <row r="4" spans="1:20" ht="10.5" customHeight="1" x14ac:dyDescent="0.25">
      <c r="A4" s="108"/>
    </row>
    <row r="5" spans="1:20" ht="15" customHeight="1" x14ac:dyDescent="0.25">
      <c r="A5" s="209" t="s">
        <v>290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R5" s="177"/>
      <c r="S5" s="86"/>
      <c r="T5" s="86"/>
    </row>
    <row r="6" spans="1:20" ht="12" customHeight="1" x14ac:dyDescent="0.25">
      <c r="A6" s="110"/>
      <c r="R6" s="177"/>
      <c r="S6" s="86"/>
      <c r="T6" s="86"/>
    </row>
    <row r="7" spans="1:20" x14ac:dyDescent="0.25">
      <c r="A7" s="111"/>
      <c r="B7" s="60" t="s">
        <v>317</v>
      </c>
      <c r="C7" s="60" t="s">
        <v>304</v>
      </c>
      <c r="D7" s="60" t="s">
        <v>305</v>
      </c>
      <c r="E7" s="60" t="s">
        <v>306</v>
      </c>
      <c r="F7" s="60" t="s">
        <v>307</v>
      </c>
      <c r="G7" s="60" t="s">
        <v>308</v>
      </c>
      <c r="H7" s="60" t="s">
        <v>309</v>
      </c>
      <c r="I7" s="60" t="s">
        <v>310</v>
      </c>
      <c r="J7" s="60" t="s">
        <v>311</v>
      </c>
      <c r="K7" s="60" t="s">
        <v>312</v>
      </c>
      <c r="L7" s="60" t="s">
        <v>313</v>
      </c>
      <c r="M7" s="60" t="s">
        <v>314</v>
      </c>
      <c r="N7" s="60" t="s">
        <v>225</v>
      </c>
      <c r="O7" s="113" t="s">
        <v>1</v>
      </c>
      <c r="P7" s="158" t="s">
        <v>2</v>
      </c>
    </row>
    <row r="8" spans="1:20" x14ac:dyDescent="0.25">
      <c r="A8" s="114" t="s">
        <v>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6"/>
      <c r="P8" s="159"/>
    </row>
    <row r="9" spans="1:20" x14ac:dyDescent="0.25">
      <c r="A9" s="117" t="s">
        <v>4</v>
      </c>
      <c r="B9" s="118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  <c r="O9" s="119">
        <f>SUM(B9:N9)</f>
        <v>0</v>
      </c>
      <c r="P9" s="21">
        <v>1</v>
      </c>
      <c r="R9" s="98">
        <f t="shared" ref="R9:R52" si="0">SUM(A9:N9)</f>
        <v>0</v>
      </c>
      <c r="S9" s="98">
        <f>R9-O9</f>
        <v>0</v>
      </c>
    </row>
    <row r="10" spans="1:20" x14ac:dyDescent="0.25">
      <c r="A10" s="114" t="s">
        <v>5</v>
      </c>
      <c r="B10" s="118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  <c r="O10" s="119">
        <f>SUM(B10:N10)</f>
        <v>0</v>
      </c>
      <c r="P10" s="21"/>
      <c r="R10" s="98">
        <f t="shared" si="0"/>
        <v>0</v>
      </c>
      <c r="S10" s="98">
        <f t="shared" ref="S10:S52" si="1">R10-O10</f>
        <v>0</v>
      </c>
    </row>
    <row r="11" spans="1:20" x14ac:dyDescent="0.25">
      <c r="A11" s="121" t="s">
        <v>6</v>
      </c>
      <c r="B11" s="122">
        <f t="shared" ref="B11" si="2">SUM(B9:B10)</f>
        <v>0</v>
      </c>
      <c r="C11" s="122">
        <f t="shared" ref="C11:N11" si="3">SUM(C9:C10)</f>
        <v>0</v>
      </c>
      <c r="D11" s="122">
        <f t="shared" si="3"/>
        <v>0</v>
      </c>
      <c r="E11" s="122">
        <f t="shared" si="3"/>
        <v>0</v>
      </c>
      <c r="F11" s="122">
        <f t="shared" si="3"/>
        <v>0</v>
      </c>
      <c r="G11" s="122">
        <f t="shared" si="3"/>
        <v>0</v>
      </c>
      <c r="H11" s="122">
        <f t="shared" si="3"/>
        <v>0</v>
      </c>
      <c r="I11" s="122">
        <f t="shared" si="3"/>
        <v>0</v>
      </c>
      <c r="J11" s="122">
        <f t="shared" si="3"/>
        <v>0</v>
      </c>
      <c r="K11" s="122">
        <f t="shared" si="3"/>
        <v>0</v>
      </c>
      <c r="L11" s="122">
        <f t="shared" si="3"/>
        <v>0</v>
      </c>
      <c r="M11" s="122">
        <f t="shared" si="3"/>
        <v>0</v>
      </c>
      <c r="N11" s="122">
        <f t="shared" si="3"/>
        <v>0</v>
      </c>
      <c r="O11" s="122">
        <f>SUM(O9:O10)</f>
        <v>0</v>
      </c>
      <c r="P11" s="21">
        <v>1</v>
      </c>
      <c r="R11" s="98">
        <f t="shared" si="0"/>
        <v>0</v>
      </c>
      <c r="S11" s="98">
        <f t="shared" si="1"/>
        <v>0</v>
      </c>
    </row>
    <row r="12" spans="1:20" x14ac:dyDescent="0.25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5"/>
      <c r="P12" s="160"/>
      <c r="R12" s="98">
        <f t="shared" si="0"/>
        <v>0</v>
      </c>
      <c r="S12" s="98">
        <f t="shared" si="1"/>
        <v>0</v>
      </c>
    </row>
    <row r="13" spans="1:20" x14ac:dyDescent="0.25">
      <c r="A13" s="126" t="s">
        <v>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/>
      <c r="P13" s="161"/>
      <c r="R13" s="98">
        <f t="shared" si="0"/>
        <v>0</v>
      </c>
      <c r="S13" s="98">
        <f t="shared" si="1"/>
        <v>0</v>
      </c>
    </row>
    <row r="14" spans="1:20" x14ac:dyDescent="0.25">
      <c r="A14" s="114" t="s">
        <v>8</v>
      </c>
      <c r="B14" s="128">
        <v>-13648.28</v>
      </c>
      <c r="C14" s="128">
        <v>-1295.97</v>
      </c>
      <c r="D14" s="128">
        <v>-1836.4</v>
      </c>
      <c r="E14" s="128">
        <v>-2303.33</v>
      </c>
      <c r="F14" s="128">
        <v>-3074.92</v>
      </c>
      <c r="G14" s="128">
        <v>-2719.32</v>
      </c>
      <c r="H14" s="128">
        <v>-1911.92</v>
      </c>
      <c r="I14" s="128">
        <v>0</v>
      </c>
      <c r="J14" s="128">
        <v>0</v>
      </c>
      <c r="K14" s="128">
        <v>0</v>
      </c>
      <c r="L14" s="128">
        <v>0</v>
      </c>
      <c r="M14" s="128">
        <v>0</v>
      </c>
      <c r="N14" s="128">
        <v>0</v>
      </c>
      <c r="O14" s="119">
        <f>SUM(B14:N14)</f>
        <v>-26790.14</v>
      </c>
      <c r="P14" s="21"/>
      <c r="R14" s="98">
        <f t="shared" si="0"/>
        <v>-26790.14</v>
      </c>
      <c r="S14" s="98">
        <f t="shared" si="1"/>
        <v>0</v>
      </c>
    </row>
    <row r="15" spans="1:20" x14ac:dyDescent="0.25">
      <c r="A15" s="129" t="s">
        <v>9</v>
      </c>
      <c r="B15" s="128">
        <v>0</v>
      </c>
      <c r="C15" s="128">
        <v>0</v>
      </c>
      <c r="D15" s="128">
        <v>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0</v>
      </c>
      <c r="L15" s="128">
        <v>0</v>
      </c>
      <c r="M15" s="128">
        <v>0</v>
      </c>
      <c r="N15" s="128">
        <v>0</v>
      </c>
      <c r="O15" s="119">
        <f t="shared" ref="O15:O39" si="4">SUM(B15:N15)</f>
        <v>0</v>
      </c>
      <c r="P15" s="21"/>
      <c r="R15" s="98">
        <f t="shared" si="0"/>
        <v>0</v>
      </c>
      <c r="S15" s="98">
        <f t="shared" si="1"/>
        <v>0</v>
      </c>
    </row>
    <row r="16" spans="1:20" x14ac:dyDescent="0.25">
      <c r="A16" s="114" t="s">
        <v>10</v>
      </c>
      <c r="B16" s="128">
        <v>0</v>
      </c>
      <c r="C16" s="128">
        <v>0</v>
      </c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28">
        <v>0</v>
      </c>
      <c r="O16" s="119">
        <f t="shared" si="4"/>
        <v>0</v>
      </c>
      <c r="P16" s="21"/>
      <c r="R16" s="98">
        <f t="shared" si="0"/>
        <v>0</v>
      </c>
      <c r="S16" s="98">
        <f t="shared" si="1"/>
        <v>0</v>
      </c>
    </row>
    <row r="17" spans="1:19" x14ac:dyDescent="0.25">
      <c r="A17" s="129" t="s">
        <v>11</v>
      </c>
      <c r="B17" s="128">
        <v>0</v>
      </c>
      <c r="C17" s="128">
        <v>0</v>
      </c>
      <c r="D17" s="128">
        <v>0</v>
      </c>
      <c r="E17" s="128">
        <v>0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28">
        <v>0</v>
      </c>
      <c r="O17" s="119">
        <f t="shared" si="4"/>
        <v>0</v>
      </c>
      <c r="P17" s="21"/>
      <c r="R17" s="98">
        <f t="shared" si="0"/>
        <v>0</v>
      </c>
      <c r="S17" s="98">
        <f t="shared" si="1"/>
        <v>0</v>
      </c>
    </row>
    <row r="18" spans="1:19" x14ac:dyDescent="0.25">
      <c r="A18" s="114" t="s">
        <v>12</v>
      </c>
      <c r="B18" s="128">
        <v>-8778.08</v>
      </c>
      <c r="C18" s="128">
        <v>-569.26</v>
      </c>
      <c r="D18" s="128">
        <v>-1261.94</v>
      </c>
      <c r="E18" s="128">
        <v>-1892.91</v>
      </c>
      <c r="F18" s="128">
        <v>-1546.57</v>
      </c>
      <c r="G18" s="128">
        <v>-1262.04</v>
      </c>
      <c r="H18" s="128">
        <v>-1561.33</v>
      </c>
      <c r="I18" s="128">
        <v>0</v>
      </c>
      <c r="J18" s="128">
        <v>0</v>
      </c>
      <c r="K18" s="128">
        <v>0</v>
      </c>
      <c r="L18" s="128">
        <v>0</v>
      </c>
      <c r="M18" s="128">
        <v>0</v>
      </c>
      <c r="N18" s="128">
        <v>0</v>
      </c>
      <c r="O18" s="119">
        <f t="shared" si="4"/>
        <v>-16872.129999999997</v>
      </c>
      <c r="P18" s="21"/>
      <c r="R18" s="98">
        <f t="shared" si="0"/>
        <v>-16872.129999999997</v>
      </c>
      <c r="S18" s="98">
        <f t="shared" si="1"/>
        <v>0</v>
      </c>
    </row>
    <row r="19" spans="1:19" x14ac:dyDescent="0.25">
      <c r="A19" s="114" t="s">
        <v>13</v>
      </c>
      <c r="B19" s="128">
        <v>-7470.24</v>
      </c>
      <c r="C19" s="128">
        <v>-870.48</v>
      </c>
      <c r="D19" s="128">
        <v>-1210.75</v>
      </c>
      <c r="E19" s="128">
        <v>-1282.1500000000001</v>
      </c>
      <c r="F19" s="128">
        <v>-1075.3599999999999</v>
      </c>
      <c r="G19" s="128">
        <v>-1002.42</v>
      </c>
      <c r="H19" s="128">
        <v>-1274.97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  <c r="N19" s="128">
        <v>0</v>
      </c>
      <c r="O19" s="119">
        <f t="shared" si="4"/>
        <v>-14186.369999999999</v>
      </c>
      <c r="P19" s="21"/>
      <c r="R19" s="98">
        <f t="shared" si="0"/>
        <v>-14186.369999999999</v>
      </c>
      <c r="S19" s="98">
        <f t="shared" si="1"/>
        <v>0</v>
      </c>
    </row>
    <row r="20" spans="1:19" x14ac:dyDescent="0.25">
      <c r="A20" s="114" t="s">
        <v>14</v>
      </c>
      <c r="B20" s="128">
        <v>-12858.31</v>
      </c>
      <c r="C20" s="128">
        <v>-1212.6500000000001</v>
      </c>
      <c r="D20" s="128">
        <v>-3287.79</v>
      </c>
      <c r="E20" s="128">
        <v>-2408.39</v>
      </c>
      <c r="F20" s="128">
        <v>-1634.37</v>
      </c>
      <c r="G20" s="128">
        <v>-2848.77</v>
      </c>
      <c r="H20" s="128">
        <v>-3933.81</v>
      </c>
      <c r="I20" s="128">
        <v>0</v>
      </c>
      <c r="J20" s="128">
        <v>0</v>
      </c>
      <c r="K20" s="128">
        <v>0</v>
      </c>
      <c r="L20" s="128">
        <v>0</v>
      </c>
      <c r="M20" s="128">
        <v>0</v>
      </c>
      <c r="N20" s="128">
        <v>0</v>
      </c>
      <c r="O20" s="119">
        <f t="shared" si="4"/>
        <v>-28184.09</v>
      </c>
      <c r="P20" s="21"/>
      <c r="R20" s="98">
        <f t="shared" si="0"/>
        <v>-28184.09</v>
      </c>
      <c r="S20" s="98">
        <f t="shared" si="1"/>
        <v>0</v>
      </c>
    </row>
    <row r="21" spans="1:19" x14ac:dyDescent="0.25">
      <c r="A21" s="114" t="s">
        <v>15</v>
      </c>
      <c r="B21" s="128">
        <v>-194.66</v>
      </c>
      <c r="C21" s="128">
        <v>0</v>
      </c>
      <c r="D21" s="128">
        <v>0</v>
      </c>
      <c r="E21" s="128">
        <v>0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28">
        <v>0</v>
      </c>
      <c r="N21" s="128">
        <v>0</v>
      </c>
      <c r="O21" s="119">
        <f t="shared" si="4"/>
        <v>-194.66</v>
      </c>
      <c r="P21" s="21"/>
      <c r="R21" s="98">
        <f t="shared" si="0"/>
        <v>-194.66</v>
      </c>
      <c r="S21" s="98">
        <f t="shared" si="1"/>
        <v>0</v>
      </c>
    </row>
    <row r="22" spans="1:19" x14ac:dyDescent="0.25">
      <c r="A22" s="114" t="s">
        <v>16</v>
      </c>
      <c r="B22" s="128">
        <v>0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19">
        <f t="shared" si="4"/>
        <v>0</v>
      </c>
      <c r="P22" s="21"/>
      <c r="R22" s="98">
        <f t="shared" si="0"/>
        <v>0</v>
      </c>
      <c r="S22" s="98">
        <f t="shared" si="1"/>
        <v>0</v>
      </c>
    </row>
    <row r="23" spans="1:19" x14ac:dyDescent="0.25">
      <c r="A23" s="114" t="s">
        <v>17</v>
      </c>
      <c r="B23" s="128">
        <v>-11968.63</v>
      </c>
      <c r="C23" s="128">
        <v>-1832.2</v>
      </c>
      <c r="D23" s="128">
        <v>-2658.17</v>
      </c>
      <c r="E23" s="128">
        <v>-3001.02</v>
      </c>
      <c r="F23" s="128">
        <v>-2465.3200000000002</v>
      </c>
      <c r="G23" s="128">
        <v>-2282.52</v>
      </c>
      <c r="H23" s="128">
        <v>-2892.52</v>
      </c>
      <c r="I23" s="128">
        <v>0</v>
      </c>
      <c r="J23" s="128">
        <v>0</v>
      </c>
      <c r="K23" s="128">
        <v>0</v>
      </c>
      <c r="L23" s="128">
        <v>0</v>
      </c>
      <c r="M23" s="128">
        <v>0</v>
      </c>
      <c r="N23" s="128">
        <v>0</v>
      </c>
      <c r="O23" s="119">
        <f t="shared" si="4"/>
        <v>-27100.38</v>
      </c>
      <c r="P23" s="21"/>
      <c r="R23" s="98">
        <f t="shared" si="0"/>
        <v>-27100.38</v>
      </c>
      <c r="S23" s="98">
        <f t="shared" si="1"/>
        <v>0</v>
      </c>
    </row>
    <row r="24" spans="1:19" x14ac:dyDescent="0.25">
      <c r="A24" s="114" t="s">
        <v>18</v>
      </c>
      <c r="B24" s="128">
        <v>0</v>
      </c>
      <c r="C24" s="128">
        <v>0</v>
      </c>
      <c r="D24" s="128">
        <v>-1372.88</v>
      </c>
      <c r="E24" s="128">
        <v>0</v>
      </c>
      <c r="F24" s="128">
        <v>0</v>
      </c>
      <c r="G24" s="128">
        <v>0</v>
      </c>
      <c r="H24" s="128">
        <v>0</v>
      </c>
      <c r="I24" s="128">
        <v>0</v>
      </c>
      <c r="J24" s="128">
        <v>0</v>
      </c>
      <c r="K24" s="128">
        <v>0</v>
      </c>
      <c r="L24" s="128">
        <v>0</v>
      </c>
      <c r="M24" s="128">
        <v>0</v>
      </c>
      <c r="N24" s="128">
        <v>0</v>
      </c>
      <c r="O24" s="119">
        <f t="shared" si="4"/>
        <v>-1372.88</v>
      </c>
      <c r="P24" s="21"/>
      <c r="R24" s="98">
        <f t="shared" si="0"/>
        <v>-1372.88</v>
      </c>
      <c r="S24" s="98">
        <f t="shared" si="1"/>
        <v>0</v>
      </c>
    </row>
    <row r="25" spans="1:19" x14ac:dyDescent="0.25">
      <c r="A25" s="114" t="s">
        <v>19</v>
      </c>
      <c r="B25" s="128">
        <v>0</v>
      </c>
      <c r="C25" s="128">
        <v>0</v>
      </c>
      <c r="D25" s="128">
        <v>0</v>
      </c>
      <c r="E25" s="128">
        <v>-400</v>
      </c>
      <c r="F25" s="128">
        <v>0</v>
      </c>
      <c r="G25" s="128">
        <v>0</v>
      </c>
      <c r="H25" s="128">
        <v>0</v>
      </c>
      <c r="I25" s="128">
        <v>0</v>
      </c>
      <c r="J25" s="128">
        <v>0</v>
      </c>
      <c r="K25" s="128">
        <v>0</v>
      </c>
      <c r="L25" s="128">
        <v>0</v>
      </c>
      <c r="M25" s="128">
        <v>0</v>
      </c>
      <c r="N25" s="128">
        <v>0</v>
      </c>
      <c r="O25" s="119">
        <f t="shared" si="4"/>
        <v>-400</v>
      </c>
      <c r="P25" s="21"/>
      <c r="R25" s="98">
        <f t="shared" si="0"/>
        <v>-400</v>
      </c>
      <c r="S25" s="98">
        <f t="shared" si="1"/>
        <v>0</v>
      </c>
    </row>
    <row r="26" spans="1:19" x14ac:dyDescent="0.25">
      <c r="A26" s="114" t="s">
        <v>20</v>
      </c>
      <c r="B26" s="128">
        <v>0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28">
        <v>0</v>
      </c>
      <c r="L26" s="128">
        <v>0</v>
      </c>
      <c r="M26" s="128">
        <v>0</v>
      </c>
      <c r="N26" s="128">
        <v>0</v>
      </c>
      <c r="O26" s="119">
        <f t="shared" si="4"/>
        <v>0</v>
      </c>
      <c r="P26" s="21"/>
      <c r="R26" s="98">
        <f t="shared" si="0"/>
        <v>0</v>
      </c>
      <c r="S26" s="98">
        <f t="shared" si="1"/>
        <v>0</v>
      </c>
    </row>
    <row r="27" spans="1:19" x14ac:dyDescent="0.25">
      <c r="A27" s="114" t="s">
        <v>59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28">
        <v>0</v>
      </c>
      <c r="L27" s="128">
        <v>0</v>
      </c>
      <c r="M27" s="128">
        <v>0</v>
      </c>
      <c r="N27" s="128">
        <v>0</v>
      </c>
      <c r="O27" s="119">
        <f t="shared" si="4"/>
        <v>0</v>
      </c>
      <c r="P27" s="21"/>
      <c r="R27" s="98">
        <f t="shared" si="0"/>
        <v>0</v>
      </c>
      <c r="S27" s="98">
        <f t="shared" si="1"/>
        <v>0</v>
      </c>
    </row>
    <row r="28" spans="1:19" x14ac:dyDescent="0.25">
      <c r="A28" s="114" t="s">
        <v>21</v>
      </c>
      <c r="B28" s="128">
        <v>-945</v>
      </c>
      <c r="C28" s="128">
        <v>0</v>
      </c>
      <c r="D28" s="128">
        <v>0</v>
      </c>
      <c r="E28" s="128">
        <v>0</v>
      </c>
      <c r="F28" s="128">
        <v>-135</v>
      </c>
      <c r="G28" s="128">
        <v>0</v>
      </c>
      <c r="H28" s="128">
        <v>0</v>
      </c>
      <c r="I28" s="128">
        <v>0</v>
      </c>
      <c r="J28" s="128">
        <v>0</v>
      </c>
      <c r="K28" s="128">
        <v>0</v>
      </c>
      <c r="L28" s="128">
        <v>0</v>
      </c>
      <c r="M28" s="128">
        <v>0</v>
      </c>
      <c r="N28" s="128">
        <v>0</v>
      </c>
      <c r="O28" s="119">
        <f t="shared" si="4"/>
        <v>-1080</v>
      </c>
      <c r="P28" s="21"/>
      <c r="R28" s="98">
        <f t="shared" si="0"/>
        <v>-1080</v>
      </c>
      <c r="S28" s="98">
        <f t="shared" si="1"/>
        <v>0</v>
      </c>
    </row>
    <row r="29" spans="1:19" x14ac:dyDescent="0.25">
      <c r="A29" s="114" t="s">
        <v>22</v>
      </c>
      <c r="B29" s="128">
        <v>0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28">
        <v>0</v>
      </c>
      <c r="O29" s="119">
        <f t="shared" si="4"/>
        <v>0</v>
      </c>
      <c r="P29" s="21"/>
      <c r="R29" s="98">
        <f t="shared" si="0"/>
        <v>0</v>
      </c>
      <c r="S29" s="98">
        <f t="shared" si="1"/>
        <v>0</v>
      </c>
    </row>
    <row r="30" spans="1:19" x14ac:dyDescent="0.25">
      <c r="A30" s="129" t="s">
        <v>23</v>
      </c>
      <c r="B30" s="128">
        <v>0</v>
      </c>
      <c r="C30" s="128">
        <v>0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8">
        <v>0</v>
      </c>
      <c r="K30" s="128">
        <v>0</v>
      </c>
      <c r="L30" s="128">
        <v>0</v>
      </c>
      <c r="M30" s="128">
        <v>0</v>
      </c>
      <c r="N30" s="128">
        <v>0</v>
      </c>
      <c r="O30" s="119">
        <f t="shared" si="4"/>
        <v>0</v>
      </c>
      <c r="P30" s="21"/>
      <c r="R30" s="98">
        <f t="shared" si="0"/>
        <v>0</v>
      </c>
      <c r="S30" s="98">
        <f t="shared" si="1"/>
        <v>0</v>
      </c>
    </row>
    <row r="31" spans="1:19" x14ac:dyDescent="0.25">
      <c r="A31" s="114" t="s">
        <v>24</v>
      </c>
      <c r="B31" s="128">
        <v>-51788</v>
      </c>
      <c r="C31" s="128">
        <v>-10270.25</v>
      </c>
      <c r="D31" s="128">
        <v>-12293</v>
      </c>
      <c r="E31" s="128">
        <v>-20038</v>
      </c>
      <c r="F31" s="128">
        <v>-19901</v>
      </c>
      <c r="G31" s="128">
        <v>-3051</v>
      </c>
      <c r="H31" s="128">
        <v>-4314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28">
        <v>0</v>
      </c>
      <c r="O31" s="119">
        <f t="shared" si="4"/>
        <v>-121655.25</v>
      </c>
      <c r="P31" s="21"/>
      <c r="R31" s="98">
        <f t="shared" si="0"/>
        <v>-121655.25</v>
      </c>
      <c r="S31" s="98">
        <f t="shared" si="1"/>
        <v>0</v>
      </c>
    </row>
    <row r="32" spans="1:19" x14ac:dyDescent="0.25">
      <c r="A32" s="130" t="s">
        <v>25</v>
      </c>
      <c r="B32" s="128">
        <v>-70466.06</v>
      </c>
      <c r="C32" s="128">
        <v>-8414.5499999999993</v>
      </c>
      <c r="D32" s="128">
        <v>-11845.46</v>
      </c>
      <c r="E32" s="128">
        <v>-13620.63</v>
      </c>
      <c r="F32" s="128">
        <v>-11807.52</v>
      </c>
      <c r="G32" s="128">
        <v>-9682.51</v>
      </c>
      <c r="H32" s="128">
        <v>-11998.16</v>
      </c>
      <c r="I32" s="128">
        <v>0</v>
      </c>
      <c r="J32" s="128">
        <v>0</v>
      </c>
      <c r="K32" s="128">
        <v>0</v>
      </c>
      <c r="L32" s="128">
        <v>0</v>
      </c>
      <c r="M32" s="128">
        <v>0</v>
      </c>
      <c r="N32" s="128">
        <v>0</v>
      </c>
      <c r="O32" s="119">
        <f t="shared" si="4"/>
        <v>-137834.89000000001</v>
      </c>
      <c r="P32" s="21"/>
      <c r="R32" s="98">
        <f t="shared" si="0"/>
        <v>-137834.89000000001</v>
      </c>
      <c r="S32" s="98">
        <f t="shared" si="1"/>
        <v>0</v>
      </c>
    </row>
    <row r="33" spans="1:19" x14ac:dyDescent="0.25">
      <c r="A33" s="114" t="s">
        <v>26</v>
      </c>
      <c r="B33" s="128">
        <v>0</v>
      </c>
      <c r="C33" s="128">
        <v>0</v>
      </c>
      <c r="D33" s="128">
        <v>0</v>
      </c>
      <c r="E33" s="128">
        <v>0</v>
      </c>
      <c r="F33" s="128">
        <v>0</v>
      </c>
      <c r="G33" s="128">
        <v>0</v>
      </c>
      <c r="H33" s="128">
        <v>0</v>
      </c>
      <c r="I33" s="128">
        <v>0</v>
      </c>
      <c r="J33" s="128">
        <v>0</v>
      </c>
      <c r="K33" s="128">
        <v>0</v>
      </c>
      <c r="L33" s="128">
        <v>0</v>
      </c>
      <c r="M33" s="128">
        <v>0</v>
      </c>
      <c r="N33" s="128">
        <v>0</v>
      </c>
      <c r="O33" s="119">
        <f t="shared" si="4"/>
        <v>0</v>
      </c>
      <c r="P33" s="21"/>
      <c r="R33" s="98">
        <f t="shared" si="0"/>
        <v>0</v>
      </c>
      <c r="S33" s="98">
        <f t="shared" si="1"/>
        <v>0</v>
      </c>
    </row>
    <row r="34" spans="1:19" x14ac:dyDescent="0.25">
      <c r="A34" s="114" t="s">
        <v>27</v>
      </c>
      <c r="B34" s="128">
        <v>0</v>
      </c>
      <c r="C34" s="128">
        <v>0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19">
        <f t="shared" si="4"/>
        <v>0</v>
      </c>
      <c r="P34" s="21"/>
      <c r="R34" s="98">
        <f t="shared" si="0"/>
        <v>0</v>
      </c>
      <c r="S34" s="98">
        <f t="shared" si="1"/>
        <v>0</v>
      </c>
    </row>
    <row r="35" spans="1:19" x14ac:dyDescent="0.25">
      <c r="A35" s="129" t="s">
        <v>28</v>
      </c>
      <c r="B35" s="128">
        <v>-1076.57</v>
      </c>
      <c r="C35" s="128">
        <v>0</v>
      </c>
      <c r="D35" s="128">
        <v>0</v>
      </c>
      <c r="E35" s="128">
        <v>0</v>
      </c>
      <c r="F35" s="128">
        <v>0</v>
      </c>
      <c r="G35" s="128">
        <v>0</v>
      </c>
      <c r="H35" s="128">
        <v>0</v>
      </c>
      <c r="I35" s="128">
        <v>0</v>
      </c>
      <c r="J35" s="128">
        <v>0</v>
      </c>
      <c r="K35" s="128">
        <v>0</v>
      </c>
      <c r="L35" s="128">
        <v>0</v>
      </c>
      <c r="M35" s="128">
        <v>0</v>
      </c>
      <c r="N35" s="128">
        <v>0</v>
      </c>
      <c r="O35" s="119">
        <f t="shared" si="4"/>
        <v>-1076.57</v>
      </c>
      <c r="P35" s="21"/>
      <c r="R35" s="98">
        <f t="shared" si="0"/>
        <v>-1076.57</v>
      </c>
      <c r="S35" s="98">
        <f t="shared" si="1"/>
        <v>0</v>
      </c>
    </row>
    <row r="36" spans="1:19" x14ac:dyDescent="0.25">
      <c r="A36" s="114" t="s">
        <v>29</v>
      </c>
      <c r="B36" s="128">
        <v>-6268.43</v>
      </c>
      <c r="C36" s="128">
        <v>-876.42</v>
      </c>
      <c r="D36" s="128">
        <v>-1333.26</v>
      </c>
      <c r="E36" s="128">
        <v>-1551.66</v>
      </c>
      <c r="F36" s="128">
        <v>-1809.88</v>
      </c>
      <c r="G36" s="128">
        <v>-1636.69</v>
      </c>
      <c r="H36" s="128">
        <v>-1173.96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28">
        <v>0</v>
      </c>
      <c r="O36" s="119">
        <f t="shared" si="4"/>
        <v>-14650.300000000003</v>
      </c>
      <c r="P36" s="21"/>
      <c r="R36" s="98">
        <f t="shared" si="0"/>
        <v>-14650.300000000003</v>
      </c>
      <c r="S36" s="98">
        <f t="shared" si="1"/>
        <v>0</v>
      </c>
    </row>
    <row r="37" spans="1:19" x14ac:dyDescent="0.25">
      <c r="A37" s="15" t="s">
        <v>276</v>
      </c>
      <c r="B37" s="128">
        <v>-6634.51</v>
      </c>
      <c r="C37" s="128">
        <v>-900.17</v>
      </c>
      <c r="D37" s="128">
        <v>-1159.93</v>
      </c>
      <c r="E37" s="128">
        <v>-1419.68</v>
      </c>
      <c r="F37" s="128">
        <v>-1159.93</v>
      </c>
      <c r="G37" s="128">
        <v>-946.53</v>
      </c>
      <c r="H37" s="128">
        <v>-1171</v>
      </c>
      <c r="I37" s="128">
        <v>0</v>
      </c>
      <c r="J37" s="128">
        <v>0</v>
      </c>
      <c r="K37" s="128">
        <v>0</v>
      </c>
      <c r="L37" s="128">
        <v>0</v>
      </c>
      <c r="M37" s="128">
        <v>0</v>
      </c>
      <c r="N37" s="128">
        <v>0</v>
      </c>
      <c r="O37" s="119">
        <f t="shared" si="4"/>
        <v>-13391.750000000002</v>
      </c>
      <c r="P37" s="21"/>
      <c r="R37" s="98">
        <f t="shared" si="0"/>
        <v>-13391.750000000002</v>
      </c>
      <c r="S37" s="98">
        <f t="shared" si="1"/>
        <v>0</v>
      </c>
    </row>
    <row r="38" spans="1:19" x14ac:dyDescent="0.25">
      <c r="A38" s="114" t="s">
        <v>97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28">
        <v>0</v>
      </c>
      <c r="N38" s="128">
        <v>0</v>
      </c>
      <c r="O38" s="119">
        <f t="shared" si="4"/>
        <v>0</v>
      </c>
      <c r="P38" s="21"/>
      <c r="R38" s="98">
        <f t="shared" si="0"/>
        <v>0</v>
      </c>
      <c r="S38" s="98">
        <f t="shared" si="1"/>
        <v>0</v>
      </c>
    </row>
    <row r="39" spans="1:19" x14ac:dyDescent="0.25">
      <c r="A39" s="114" t="s">
        <v>114</v>
      </c>
      <c r="B39" s="128">
        <v>-2500</v>
      </c>
      <c r="C39" s="128">
        <v>-2250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28">
        <v>0</v>
      </c>
      <c r="O39" s="119">
        <f t="shared" si="4"/>
        <v>-4750</v>
      </c>
      <c r="P39" s="21"/>
      <c r="R39" s="98">
        <f t="shared" si="0"/>
        <v>-4750</v>
      </c>
      <c r="S39" s="98">
        <f t="shared" si="1"/>
        <v>0</v>
      </c>
    </row>
    <row r="40" spans="1:19" x14ac:dyDescent="0.25">
      <c r="A40" s="131" t="s">
        <v>31</v>
      </c>
      <c r="B40" s="132">
        <f t="shared" ref="B40" si="5">SUM(B14:B39)</f>
        <v>-194596.77000000002</v>
      </c>
      <c r="C40" s="132">
        <f t="shared" ref="C40:N40" si="6">SUM(C14:C39)</f>
        <v>-28491.949999999997</v>
      </c>
      <c r="D40" s="132">
        <f t="shared" si="6"/>
        <v>-38259.58</v>
      </c>
      <c r="E40" s="132">
        <f t="shared" si="6"/>
        <v>-47917.770000000004</v>
      </c>
      <c r="F40" s="132">
        <f t="shared" si="6"/>
        <v>-44609.869999999995</v>
      </c>
      <c r="G40" s="132">
        <f t="shared" si="6"/>
        <v>-25431.8</v>
      </c>
      <c r="H40" s="132">
        <f t="shared" si="6"/>
        <v>-30231.67</v>
      </c>
      <c r="I40" s="132">
        <f t="shared" si="6"/>
        <v>0</v>
      </c>
      <c r="J40" s="132">
        <f t="shared" si="6"/>
        <v>0</v>
      </c>
      <c r="K40" s="132">
        <f t="shared" si="6"/>
        <v>0</v>
      </c>
      <c r="L40" s="132">
        <f t="shared" si="6"/>
        <v>0</v>
      </c>
      <c r="M40" s="132">
        <f t="shared" si="6"/>
        <v>0</v>
      </c>
      <c r="N40" s="132">
        <f t="shared" si="6"/>
        <v>0</v>
      </c>
      <c r="O40" s="132">
        <f>SUM(O14:O39)</f>
        <v>-409539.41000000003</v>
      </c>
      <c r="P40" s="21"/>
      <c r="R40" s="98">
        <f t="shared" si="0"/>
        <v>-409539.41000000003</v>
      </c>
      <c r="S40" s="98">
        <f t="shared" si="1"/>
        <v>0</v>
      </c>
    </row>
    <row r="41" spans="1:19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25"/>
      <c r="P41" s="159"/>
      <c r="R41" s="98">
        <f t="shared" si="0"/>
        <v>0</v>
      </c>
      <c r="S41" s="98">
        <f t="shared" si="1"/>
        <v>0</v>
      </c>
    </row>
    <row r="42" spans="1:19" x14ac:dyDescent="0.25">
      <c r="A42" s="135" t="s">
        <v>32</v>
      </c>
      <c r="B42" s="136">
        <f t="shared" ref="B42" si="7">B11+B40</f>
        <v>-194596.77000000002</v>
      </c>
      <c r="C42" s="136">
        <f t="shared" ref="C42:N42" si="8">C11+C40</f>
        <v>-28491.949999999997</v>
      </c>
      <c r="D42" s="136">
        <f t="shared" si="8"/>
        <v>-38259.58</v>
      </c>
      <c r="E42" s="136">
        <f t="shared" si="8"/>
        <v>-47917.770000000004</v>
      </c>
      <c r="F42" s="136">
        <f t="shared" si="8"/>
        <v>-44609.869999999995</v>
      </c>
      <c r="G42" s="136">
        <f t="shared" si="8"/>
        <v>-25431.8</v>
      </c>
      <c r="H42" s="136">
        <f t="shared" si="8"/>
        <v>-30231.67</v>
      </c>
      <c r="I42" s="136">
        <f t="shared" si="8"/>
        <v>0</v>
      </c>
      <c r="J42" s="136">
        <f t="shared" si="8"/>
        <v>0</v>
      </c>
      <c r="K42" s="136">
        <f t="shared" si="8"/>
        <v>0</v>
      </c>
      <c r="L42" s="136">
        <f t="shared" si="8"/>
        <v>0</v>
      </c>
      <c r="M42" s="136">
        <f t="shared" si="8"/>
        <v>0</v>
      </c>
      <c r="N42" s="136">
        <f t="shared" si="8"/>
        <v>0</v>
      </c>
      <c r="O42" s="157">
        <f>SUM(B42:N42)</f>
        <v>-409539.41000000003</v>
      </c>
      <c r="P42" s="21"/>
      <c r="R42" s="98">
        <f t="shared" si="0"/>
        <v>-409539.41000000003</v>
      </c>
      <c r="S42" s="98">
        <f t="shared" si="1"/>
        <v>0</v>
      </c>
    </row>
    <row r="43" spans="1:19" x14ac:dyDescent="0.25">
      <c r="A43" s="13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62"/>
      <c r="R43" s="98">
        <f t="shared" si="0"/>
        <v>0</v>
      </c>
      <c r="S43" s="98">
        <f t="shared" si="1"/>
        <v>0</v>
      </c>
    </row>
    <row r="44" spans="1:19" x14ac:dyDescent="0.25">
      <c r="A44" s="126" t="s">
        <v>56</v>
      </c>
      <c r="B44" s="139">
        <f t="shared" ref="B44" si="9">-B9*13.15%</f>
        <v>0</v>
      </c>
      <c r="C44" s="139">
        <f t="shared" ref="C44:N44" si="10">-C9*13.15%</f>
        <v>0</v>
      </c>
      <c r="D44" s="139">
        <f t="shared" si="10"/>
        <v>0</v>
      </c>
      <c r="E44" s="139">
        <f t="shared" si="10"/>
        <v>0</v>
      </c>
      <c r="F44" s="139">
        <f t="shared" si="10"/>
        <v>0</v>
      </c>
      <c r="G44" s="139">
        <f t="shared" si="10"/>
        <v>0</v>
      </c>
      <c r="H44" s="139">
        <f t="shared" si="10"/>
        <v>0</v>
      </c>
      <c r="I44" s="139">
        <f t="shared" si="10"/>
        <v>0</v>
      </c>
      <c r="J44" s="139">
        <f t="shared" si="10"/>
        <v>0</v>
      </c>
      <c r="K44" s="139">
        <f t="shared" si="10"/>
        <v>0</v>
      </c>
      <c r="L44" s="139">
        <f t="shared" si="10"/>
        <v>0</v>
      </c>
      <c r="M44" s="139">
        <f t="shared" si="10"/>
        <v>0</v>
      </c>
      <c r="N44" s="139">
        <f t="shared" si="10"/>
        <v>0</v>
      </c>
      <c r="O44" s="119">
        <f t="shared" ref="O44" si="11">SUM(B44:N44)</f>
        <v>0</v>
      </c>
      <c r="P44" s="21"/>
      <c r="R44" s="98">
        <f t="shared" si="0"/>
        <v>0</v>
      </c>
      <c r="S44" s="98">
        <f t="shared" si="1"/>
        <v>0</v>
      </c>
    </row>
    <row r="45" spans="1:19" x14ac:dyDescent="0.25">
      <c r="A45" s="137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62"/>
      <c r="R45" s="98">
        <f t="shared" si="0"/>
        <v>0</v>
      </c>
      <c r="S45" s="98">
        <f t="shared" si="1"/>
        <v>0</v>
      </c>
    </row>
    <row r="46" spans="1:19" x14ac:dyDescent="0.25">
      <c r="A46" s="126" t="s">
        <v>33</v>
      </c>
      <c r="B46" s="139">
        <f t="shared" ref="B46" si="12">-B9*1.22%</f>
        <v>0</v>
      </c>
      <c r="C46" s="139">
        <f t="shared" ref="C46:N46" si="13">-C9*1.22%</f>
        <v>0</v>
      </c>
      <c r="D46" s="139">
        <f t="shared" si="13"/>
        <v>0</v>
      </c>
      <c r="E46" s="139">
        <f t="shared" si="13"/>
        <v>0</v>
      </c>
      <c r="F46" s="139">
        <f t="shared" si="13"/>
        <v>0</v>
      </c>
      <c r="G46" s="139">
        <f t="shared" si="13"/>
        <v>0</v>
      </c>
      <c r="H46" s="139">
        <f t="shared" si="13"/>
        <v>0</v>
      </c>
      <c r="I46" s="139">
        <f t="shared" si="13"/>
        <v>0</v>
      </c>
      <c r="J46" s="139">
        <f t="shared" si="13"/>
        <v>0</v>
      </c>
      <c r="K46" s="139">
        <f t="shared" si="13"/>
        <v>0</v>
      </c>
      <c r="L46" s="139">
        <f t="shared" si="13"/>
        <v>0</v>
      </c>
      <c r="M46" s="139">
        <f t="shared" si="13"/>
        <v>0</v>
      </c>
      <c r="N46" s="139">
        <f t="shared" si="13"/>
        <v>0</v>
      </c>
      <c r="O46" s="119">
        <f t="shared" ref="O46" si="14">SUM(B46:N46)</f>
        <v>0</v>
      </c>
      <c r="P46" s="21"/>
      <c r="R46" s="98">
        <f t="shared" si="0"/>
        <v>0</v>
      </c>
      <c r="S46" s="98">
        <f t="shared" si="1"/>
        <v>0</v>
      </c>
    </row>
    <row r="47" spans="1:19" x14ac:dyDescent="0.2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62"/>
      <c r="R47" s="98">
        <f t="shared" si="0"/>
        <v>0</v>
      </c>
      <c r="S47" s="98">
        <f t="shared" si="1"/>
        <v>0</v>
      </c>
    </row>
    <row r="48" spans="1:19" x14ac:dyDescent="0.25">
      <c r="A48" s="113" t="s">
        <v>57</v>
      </c>
      <c r="B48" s="142">
        <f t="shared" ref="B48" si="15">B40*5.56%</f>
        <v>-10819.580412000001</v>
      </c>
      <c r="C48" s="142">
        <f t="shared" ref="C48:N48" si="16">C40*5.56%</f>
        <v>-1584.1524199999997</v>
      </c>
      <c r="D48" s="142">
        <f t="shared" si="16"/>
        <v>-2127.2326480000002</v>
      </c>
      <c r="E48" s="142">
        <f t="shared" si="16"/>
        <v>-2664.228012</v>
      </c>
      <c r="F48" s="142">
        <f t="shared" si="16"/>
        <v>-2480.3087719999994</v>
      </c>
      <c r="G48" s="142">
        <f t="shared" si="16"/>
        <v>-1414.0080799999998</v>
      </c>
      <c r="H48" s="142">
        <f t="shared" si="16"/>
        <v>-1680.8808519999998</v>
      </c>
      <c r="I48" s="142">
        <f t="shared" si="16"/>
        <v>0</v>
      </c>
      <c r="J48" s="142">
        <f t="shared" si="16"/>
        <v>0</v>
      </c>
      <c r="K48" s="142">
        <f t="shared" si="16"/>
        <v>0</v>
      </c>
      <c r="L48" s="142">
        <f t="shared" si="16"/>
        <v>0</v>
      </c>
      <c r="M48" s="142">
        <f t="shared" si="16"/>
        <v>0</v>
      </c>
      <c r="N48" s="142">
        <f t="shared" si="16"/>
        <v>0</v>
      </c>
      <c r="O48" s="119">
        <f t="shared" ref="O48" si="17">SUM(B48:N48)</f>
        <v>-22770.391196</v>
      </c>
      <c r="P48" s="21"/>
      <c r="R48" s="98">
        <f t="shared" si="0"/>
        <v>-22770.391196</v>
      </c>
      <c r="S48" s="98">
        <f t="shared" si="1"/>
        <v>0</v>
      </c>
    </row>
    <row r="49" spans="1:19" x14ac:dyDescent="0.2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62"/>
      <c r="R49" s="98">
        <f t="shared" si="0"/>
        <v>0</v>
      </c>
      <c r="S49" s="98">
        <f t="shared" si="1"/>
        <v>0</v>
      </c>
    </row>
    <row r="50" spans="1:19" x14ac:dyDescent="0.25">
      <c r="A50" s="113" t="s">
        <v>58</v>
      </c>
      <c r="B50" s="142">
        <f t="shared" ref="B50" si="18">B40*0.01%</f>
        <v>-19.459677000000003</v>
      </c>
      <c r="C50" s="142">
        <f t="shared" ref="C50:N50" si="19">C40*0.01%</f>
        <v>-2.8491949999999999</v>
      </c>
      <c r="D50" s="142">
        <f t="shared" si="19"/>
        <v>-3.8259580000000004</v>
      </c>
      <c r="E50" s="142">
        <f t="shared" si="19"/>
        <v>-4.7917770000000006</v>
      </c>
      <c r="F50" s="142">
        <f t="shared" si="19"/>
        <v>-4.4609869999999994</v>
      </c>
      <c r="G50" s="142">
        <f t="shared" si="19"/>
        <v>-2.54318</v>
      </c>
      <c r="H50" s="142">
        <f t="shared" si="19"/>
        <v>-3.0231669999999999</v>
      </c>
      <c r="I50" s="142">
        <f t="shared" si="19"/>
        <v>0</v>
      </c>
      <c r="J50" s="142">
        <f t="shared" si="19"/>
        <v>0</v>
      </c>
      <c r="K50" s="142">
        <f t="shared" si="19"/>
        <v>0</v>
      </c>
      <c r="L50" s="142">
        <f t="shared" si="19"/>
        <v>0</v>
      </c>
      <c r="M50" s="142">
        <f t="shared" si="19"/>
        <v>0</v>
      </c>
      <c r="N50" s="142">
        <f t="shared" si="19"/>
        <v>0</v>
      </c>
      <c r="O50" s="119">
        <f t="shared" ref="O50" si="20">SUM(B50:N50)</f>
        <v>-40.953941</v>
      </c>
      <c r="P50" s="21"/>
      <c r="R50" s="98">
        <f t="shared" si="0"/>
        <v>-40.953941</v>
      </c>
      <c r="S50" s="98">
        <f t="shared" si="1"/>
        <v>0</v>
      </c>
    </row>
    <row r="51" spans="1:19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62"/>
      <c r="R51" s="98">
        <f t="shared" si="0"/>
        <v>0</v>
      </c>
      <c r="S51" s="98">
        <f t="shared" si="1"/>
        <v>0</v>
      </c>
    </row>
    <row r="52" spans="1:19" x14ac:dyDescent="0.25">
      <c r="A52" s="135" t="s">
        <v>274</v>
      </c>
      <c r="B52" s="136">
        <f t="shared" ref="B52" si="21">B42+B48+B50+B44+B46</f>
        <v>-205435.81008900004</v>
      </c>
      <c r="C52" s="136">
        <f t="shared" ref="C52:N52" si="22">C42+C48+C50+C44+C46</f>
        <v>-30078.951614999994</v>
      </c>
      <c r="D52" s="136">
        <f t="shared" si="22"/>
        <v>-40390.638606</v>
      </c>
      <c r="E52" s="136">
        <f t="shared" si="22"/>
        <v>-50586.789789000002</v>
      </c>
      <c r="F52" s="136">
        <f t="shared" si="22"/>
        <v>-47094.639758999991</v>
      </c>
      <c r="G52" s="136">
        <f t="shared" si="22"/>
        <v>-26848.351259999999</v>
      </c>
      <c r="H52" s="136">
        <f t="shared" si="22"/>
        <v>-31915.574018999996</v>
      </c>
      <c r="I52" s="136">
        <f t="shared" si="22"/>
        <v>0</v>
      </c>
      <c r="J52" s="136">
        <f t="shared" si="22"/>
        <v>0</v>
      </c>
      <c r="K52" s="136">
        <f t="shared" si="22"/>
        <v>0</v>
      </c>
      <c r="L52" s="136">
        <f t="shared" si="22"/>
        <v>0</v>
      </c>
      <c r="M52" s="136">
        <f t="shared" si="22"/>
        <v>0</v>
      </c>
      <c r="N52" s="136">
        <f t="shared" si="22"/>
        <v>0</v>
      </c>
      <c r="O52" s="157">
        <f>SUM(B52:N52)</f>
        <v>-432350.75513700006</v>
      </c>
      <c r="P52" s="21"/>
      <c r="R52" s="98">
        <f t="shared" si="0"/>
        <v>-432350.75513700006</v>
      </c>
      <c r="S52" s="98">
        <f t="shared" si="1"/>
        <v>0</v>
      </c>
    </row>
    <row r="53" spans="1:19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63"/>
    </row>
    <row r="54" spans="1:19" x14ac:dyDescent="0.25">
      <c r="A54" s="144" t="s">
        <v>35</v>
      </c>
      <c r="B54" s="13"/>
      <c r="C54" s="13">
        <v>4</v>
      </c>
      <c r="D54" s="13">
        <v>5</v>
      </c>
      <c r="E54" s="13">
        <v>6</v>
      </c>
      <c r="F54" s="13">
        <v>5</v>
      </c>
      <c r="G54" s="13">
        <v>4</v>
      </c>
      <c r="H54" s="13">
        <v>5</v>
      </c>
      <c r="I54" s="13"/>
      <c r="J54" s="13"/>
      <c r="K54" s="13"/>
      <c r="L54" s="13"/>
      <c r="M54" s="13"/>
      <c r="N54" s="13"/>
      <c r="O54" s="145"/>
      <c r="P54" s="163"/>
    </row>
    <row r="55" spans="1:19" x14ac:dyDescent="0.25">
      <c r="A55" s="80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53"/>
    </row>
    <row r="56" spans="1:19" x14ac:dyDescent="0.25">
      <c r="A56" s="146" t="s">
        <v>36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64">
        <v>46203</v>
      </c>
    </row>
    <row r="57" spans="1:19" x14ac:dyDescent="0.25">
      <c r="B57" s="98">
        <f t="shared" ref="B57:O57" si="23">B11+B40+B44+B46+B48+B50</f>
        <v>-205435.81008900004</v>
      </c>
      <c r="C57" s="98">
        <f t="shared" ref="C57:I57" si="24">C11+C40+C44+C46+C48+C50</f>
        <v>-30078.951614999994</v>
      </c>
      <c r="D57" s="98">
        <f t="shared" si="24"/>
        <v>-40390.638606</v>
      </c>
      <c r="E57" s="98">
        <f t="shared" si="24"/>
        <v>-50586.789789000002</v>
      </c>
      <c r="F57" s="98">
        <f t="shared" si="24"/>
        <v>-47094.639758999991</v>
      </c>
      <c r="G57" s="98">
        <f t="shared" si="24"/>
        <v>-26848.351259999999</v>
      </c>
      <c r="H57" s="98">
        <f t="shared" si="24"/>
        <v>-31915.574018999996</v>
      </c>
      <c r="I57" s="98">
        <f t="shared" si="24"/>
        <v>0</v>
      </c>
      <c r="J57" s="98">
        <f t="shared" ref="J57" si="25">J11+J40+J44+J46+J48+J50</f>
        <v>0</v>
      </c>
      <c r="K57" s="98">
        <f t="shared" si="23"/>
        <v>0</v>
      </c>
      <c r="L57" s="98">
        <f t="shared" si="23"/>
        <v>0</v>
      </c>
      <c r="M57" s="98">
        <f t="shared" si="23"/>
        <v>0</v>
      </c>
      <c r="N57" s="98">
        <f t="shared" si="23"/>
        <v>0</v>
      </c>
      <c r="O57" s="98">
        <f t="shared" si="23"/>
        <v>-432350.755137</v>
      </c>
      <c r="P57" s="153"/>
    </row>
    <row r="58" spans="1:19" x14ac:dyDescent="0.25">
      <c r="P58" s="153"/>
    </row>
    <row r="59" spans="1:19" x14ac:dyDescent="0.25">
      <c r="B59" s="98">
        <f t="shared" ref="B59:O59" si="26">B57-B52</f>
        <v>0</v>
      </c>
      <c r="C59" s="98">
        <f t="shared" ref="C59:I59" si="27">C57-C52</f>
        <v>0</v>
      </c>
      <c r="D59" s="98">
        <f t="shared" si="27"/>
        <v>0</v>
      </c>
      <c r="E59" s="98">
        <f t="shared" si="27"/>
        <v>0</v>
      </c>
      <c r="F59" s="98">
        <f t="shared" si="27"/>
        <v>0</v>
      </c>
      <c r="G59" s="98">
        <f t="shared" si="27"/>
        <v>0</v>
      </c>
      <c r="H59" s="98">
        <f t="shared" si="27"/>
        <v>0</v>
      </c>
      <c r="I59" s="98">
        <f t="shared" si="27"/>
        <v>0</v>
      </c>
      <c r="J59" s="98">
        <f t="shared" ref="J59" si="28">J57-J52</f>
        <v>0</v>
      </c>
      <c r="K59" s="98">
        <f t="shared" si="26"/>
        <v>0</v>
      </c>
      <c r="L59" s="98">
        <f t="shared" si="26"/>
        <v>0</v>
      </c>
      <c r="M59" s="98">
        <f t="shared" si="26"/>
        <v>0</v>
      </c>
      <c r="N59" s="98">
        <f t="shared" si="26"/>
        <v>0</v>
      </c>
      <c r="O59" s="98">
        <f t="shared" si="26"/>
        <v>0</v>
      </c>
      <c r="P59" s="153"/>
    </row>
    <row r="60" spans="1:19" x14ac:dyDescent="0.25">
      <c r="P60" s="153"/>
    </row>
  </sheetData>
  <mergeCells count="3">
    <mergeCell ref="A1:P1"/>
    <mergeCell ref="A3:P3"/>
    <mergeCell ref="A5:P5"/>
  </mergeCells>
  <phoneticPr fontId="12" type="noConversion"/>
  <printOptions horizontalCentered="1" verticalCentered="1"/>
  <pageMargins left="0.51181102362204722" right="0.51181102362204722" top="0.31496062992125984" bottom="0" header="0.19685039370078741" footer="0"/>
  <pageSetup paperSize="9" scale="71" orientation="landscape" r:id="rId1"/>
  <headerFooter>
    <oddHeader>&amp;L&amp;"-,Negrito"&amp;14                                                                                                                                                  BELA NOVA CONSTRUTORA LTDA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9"/>
  </sheetPr>
  <dimension ref="A1:T60"/>
  <sheetViews>
    <sheetView topLeftCell="A16" zoomScale="85" zoomScaleNormal="85" workbookViewId="0">
      <pane xSplit="1" topLeftCell="H1" activePane="topRight" state="frozen"/>
      <selection activeCell="E21" sqref="E21"/>
      <selection pane="topRight" activeCell="H17" sqref="H17"/>
    </sheetView>
  </sheetViews>
  <sheetFormatPr defaultRowHeight="15" x14ac:dyDescent="0.25"/>
  <cols>
    <col min="1" max="1" width="61.5703125" bestFit="1" customWidth="1"/>
    <col min="2" max="8" width="19.140625" customWidth="1"/>
    <col min="9" max="10" width="19.140625" hidden="1" customWidth="1"/>
    <col min="11" max="11" width="16.140625" hidden="1" customWidth="1"/>
    <col min="12" max="12" width="17" hidden="1" customWidth="1"/>
    <col min="13" max="13" width="16.85546875" hidden="1" customWidth="1"/>
    <col min="14" max="14" width="16.7109375" hidden="1" customWidth="1"/>
    <col min="15" max="15" width="18" bestFit="1" customWidth="1"/>
    <col min="16" max="16" width="11" bestFit="1" customWidth="1"/>
    <col min="18" max="18" width="17" bestFit="1" customWidth="1"/>
    <col min="20" max="20" width="16" bestFit="1" customWidth="1"/>
  </cols>
  <sheetData>
    <row r="1" spans="1:20" ht="15.75" x14ac:dyDescent="0.25">
      <c r="A1" s="203" t="s">
        <v>186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20" ht="11.25" customHeight="1" x14ac:dyDescent="0.25">
      <c r="A2" s="108"/>
    </row>
    <row r="3" spans="1:20" ht="15.75" x14ac:dyDescent="0.25">
      <c r="A3" s="203" t="s">
        <v>291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</row>
    <row r="4" spans="1:20" ht="10.5" customHeight="1" x14ac:dyDescent="0.25">
      <c r="A4" s="108"/>
    </row>
    <row r="5" spans="1:20" ht="15.75" customHeight="1" x14ac:dyDescent="0.25">
      <c r="A5" s="209" t="s">
        <v>292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R5" s="177"/>
      <c r="S5" s="86"/>
      <c r="T5" s="86"/>
    </row>
    <row r="6" spans="1:20" ht="10.5" customHeight="1" x14ac:dyDescent="0.25">
      <c r="A6" s="110"/>
      <c r="R6" s="177"/>
      <c r="S6" s="86"/>
      <c r="T6" s="86"/>
    </row>
    <row r="7" spans="1:20" x14ac:dyDescent="0.25">
      <c r="A7" s="111"/>
      <c r="B7" s="60" t="s">
        <v>317</v>
      </c>
      <c r="C7" s="60" t="s">
        <v>304</v>
      </c>
      <c r="D7" s="60" t="s">
        <v>305</v>
      </c>
      <c r="E7" s="60" t="s">
        <v>306</v>
      </c>
      <c r="F7" s="60" t="s">
        <v>307</v>
      </c>
      <c r="G7" s="60" t="s">
        <v>308</v>
      </c>
      <c r="H7" s="60" t="s">
        <v>309</v>
      </c>
      <c r="I7" s="60" t="s">
        <v>310</v>
      </c>
      <c r="J7" s="60" t="s">
        <v>311</v>
      </c>
      <c r="K7" s="60" t="s">
        <v>312</v>
      </c>
      <c r="L7" s="60" t="s">
        <v>313</v>
      </c>
      <c r="M7" s="60" t="s">
        <v>314</v>
      </c>
      <c r="N7" s="60" t="s">
        <v>225</v>
      </c>
      <c r="O7" s="113" t="s">
        <v>1</v>
      </c>
      <c r="P7" s="158" t="s">
        <v>2</v>
      </c>
    </row>
    <row r="8" spans="1:20" x14ac:dyDescent="0.25">
      <c r="A8" s="114" t="s">
        <v>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6"/>
      <c r="P8" s="159"/>
    </row>
    <row r="9" spans="1:20" x14ac:dyDescent="0.25">
      <c r="A9" s="117" t="s">
        <v>4</v>
      </c>
      <c r="B9" s="118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  <c r="O9" s="119">
        <f>SUM(B9:N9)</f>
        <v>0</v>
      </c>
      <c r="P9" s="21">
        <v>1</v>
      </c>
      <c r="R9" s="98">
        <f t="shared" ref="R9:R52" si="0">SUM(A9:N9)</f>
        <v>0</v>
      </c>
      <c r="S9" s="98">
        <f>R9-O9</f>
        <v>0</v>
      </c>
    </row>
    <row r="10" spans="1:20" x14ac:dyDescent="0.25">
      <c r="A10" s="114" t="s">
        <v>5</v>
      </c>
      <c r="B10" s="118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  <c r="O10" s="119">
        <f>SUM(B10:N10)</f>
        <v>0</v>
      </c>
      <c r="P10" s="21"/>
      <c r="R10" s="98">
        <f t="shared" si="0"/>
        <v>0</v>
      </c>
      <c r="S10" s="98">
        <f t="shared" ref="S10:S52" si="1">R10-O10</f>
        <v>0</v>
      </c>
    </row>
    <row r="11" spans="1:20" x14ac:dyDescent="0.25">
      <c r="A11" s="121" t="s">
        <v>6</v>
      </c>
      <c r="B11" s="122">
        <f t="shared" ref="B11" si="2">SUM(B9:B10)</f>
        <v>0</v>
      </c>
      <c r="C11" s="122">
        <f t="shared" ref="C11:N11" si="3">SUM(C9:C10)</f>
        <v>0</v>
      </c>
      <c r="D11" s="122">
        <f t="shared" si="3"/>
        <v>0</v>
      </c>
      <c r="E11" s="122">
        <f t="shared" si="3"/>
        <v>0</v>
      </c>
      <c r="F11" s="122">
        <f t="shared" si="3"/>
        <v>0</v>
      </c>
      <c r="G11" s="122">
        <f t="shared" si="3"/>
        <v>0</v>
      </c>
      <c r="H11" s="122">
        <f t="shared" si="3"/>
        <v>0</v>
      </c>
      <c r="I11" s="122">
        <f t="shared" si="3"/>
        <v>0</v>
      </c>
      <c r="J11" s="122">
        <f t="shared" si="3"/>
        <v>0</v>
      </c>
      <c r="K11" s="122">
        <f t="shared" si="3"/>
        <v>0</v>
      </c>
      <c r="L11" s="122">
        <f t="shared" si="3"/>
        <v>0</v>
      </c>
      <c r="M11" s="122">
        <f t="shared" si="3"/>
        <v>0</v>
      </c>
      <c r="N11" s="122">
        <f t="shared" si="3"/>
        <v>0</v>
      </c>
      <c r="O11" s="122">
        <f>SUM(O9:O10)</f>
        <v>0</v>
      </c>
      <c r="P11" s="21">
        <v>1</v>
      </c>
      <c r="R11" s="98">
        <f t="shared" si="0"/>
        <v>0</v>
      </c>
      <c r="S11" s="98">
        <f t="shared" si="1"/>
        <v>0</v>
      </c>
    </row>
    <row r="12" spans="1:20" x14ac:dyDescent="0.25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5"/>
      <c r="P12" s="160"/>
      <c r="R12" s="98">
        <f t="shared" si="0"/>
        <v>0</v>
      </c>
      <c r="S12" s="98">
        <f t="shared" si="1"/>
        <v>0</v>
      </c>
    </row>
    <row r="13" spans="1:20" x14ac:dyDescent="0.25">
      <c r="A13" s="126" t="s">
        <v>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/>
      <c r="P13" s="161"/>
      <c r="R13" s="98">
        <f t="shared" si="0"/>
        <v>0</v>
      </c>
      <c r="S13" s="98">
        <f t="shared" si="1"/>
        <v>0</v>
      </c>
    </row>
    <row r="14" spans="1:20" x14ac:dyDescent="0.25">
      <c r="A14" s="114" t="s">
        <v>8</v>
      </c>
      <c r="B14" s="128">
        <v>-11208.23</v>
      </c>
      <c r="C14" s="128">
        <v>-4258.5200000000004</v>
      </c>
      <c r="D14" s="128">
        <v>-8243.23</v>
      </c>
      <c r="E14" s="128">
        <v>-10089.6</v>
      </c>
      <c r="F14" s="128">
        <v>-8662.32</v>
      </c>
      <c r="G14" s="128">
        <v>-8355.92</v>
      </c>
      <c r="H14" s="128">
        <v>-10186.08</v>
      </c>
      <c r="I14" s="128">
        <v>0</v>
      </c>
      <c r="J14" s="128">
        <v>0</v>
      </c>
      <c r="K14" s="128">
        <v>0</v>
      </c>
      <c r="L14" s="128">
        <v>0</v>
      </c>
      <c r="M14" s="128">
        <v>0</v>
      </c>
      <c r="N14" s="128">
        <v>0</v>
      </c>
      <c r="O14" s="119">
        <f>SUM(B14:N14)</f>
        <v>-61003.9</v>
      </c>
      <c r="P14" s="21"/>
      <c r="R14" s="98">
        <f t="shared" si="0"/>
        <v>-61003.9</v>
      </c>
      <c r="S14" s="98">
        <f t="shared" si="1"/>
        <v>0</v>
      </c>
    </row>
    <row r="15" spans="1:20" x14ac:dyDescent="0.25">
      <c r="A15" s="129" t="s">
        <v>9</v>
      </c>
      <c r="B15" s="128">
        <v>0</v>
      </c>
      <c r="C15" s="128">
        <v>0</v>
      </c>
      <c r="D15" s="128">
        <v>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0</v>
      </c>
      <c r="L15" s="128">
        <v>0</v>
      </c>
      <c r="M15" s="128">
        <v>0</v>
      </c>
      <c r="N15" s="128">
        <v>0</v>
      </c>
      <c r="O15" s="119">
        <f t="shared" ref="O15:O39" si="4">SUM(B15:N15)</f>
        <v>0</v>
      </c>
      <c r="P15" s="21"/>
      <c r="R15" s="98">
        <f t="shared" si="0"/>
        <v>0</v>
      </c>
      <c r="S15" s="98">
        <f t="shared" si="1"/>
        <v>0</v>
      </c>
    </row>
    <row r="16" spans="1:20" x14ac:dyDescent="0.25">
      <c r="A16" s="114" t="s">
        <v>10</v>
      </c>
      <c r="B16" s="128">
        <v>-1224.33</v>
      </c>
      <c r="C16" s="128">
        <v>-480</v>
      </c>
      <c r="D16" s="128">
        <v>-480</v>
      </c>
      <c r="E16" s="128">
        <v>-2800</v>
      </c>
      <c r="F16" s="128">
        <v>-480</v>
      </c>
      <c r="G16" s="128">
        <v>-480</v>
      </c>
      <c r="H16" s="128">
        <v>-480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28">
        <v>0</v>
      </c>
      <c r="O16" s="119">
        <f t="shared" si="4"/>
        <v>-6424.33</v>
      </c>
      <c r="P16" s="21"/>
      <c r="R16" s="98">
        <f t="shared" si="0"/>
        <v>-6424.33</v>
      </c>
      <c r="S16" s="98">
        <f t="shared" si="1"/>
        <v>0</v>
      </c>
    </row>
    <row r="17" spans="1:19" x14ac:dyDescent="0.25">
      <c r="A17" s="129" t="s">
        <v>11</v>
      </c>
      <c r="B17" s="128">
        <v>-182.22</v>
      </c>
      <c r="C17" s="128">
        <v>-140.13</v>
      </c>
      <c r="D17" s="128">
        <v>0</v>
      </c>
      <c r="E17" s="128">
        <v>0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28">
        <v>0</v>
      </c>
      <c r="O17" s="119">
        <f t="shared" si="4"/>
        <v>-322.35000000000002</v>
      </c>
      <c r="P17" s="21"/>
      <c r="R17" s="98">
        <f t="shared" si="0"/>
        <v>-322.35000000000002</v>
      </c>
      <c r="S17" s="98">
        <f t="shared" si="1"/>
        <v>0</v>
      </c>
    </row>
    <row r="18" spans="1:19" x14ac:dyDescent="0.25">
      <c r="A18" s="114" t="s">
        <v>12</v>
      </c>
      <c r="B18" s="128">
        <v>-7515.25</v>
      </c>
      <c r="C18" s="128">
        <v>-1892.91</v>
      </c>
      <c r="D18" s="128">
        <v>-4986.04</v>
      </c>
      <c r="E18" s="128">
        <v>-4293.37</v>
      </c>
      <c r="F18" s="128">
        <v>-4824.82</v>
      </c>
      <c r="G18" s="128">
        <v>-7395.41</v>
      </c>
      <c r="H18" s="128">
        <v>-8006.95</v>
      </c>
      <c r="I18" s="128">
        <v>0</v>
      </c>
      <c r="J18" s="128">
        <v>0</v>
      </c>
      <c r="K18" s="128">
        <v>0</v>
      </c>
      <c r="L18" s="128">
        <v>0</v>
      </c>
      <c r="M18" s="128">
        <v>0</v>
      </c>
      <c r="N18" s="128">
        <v>0</v>
      </c>
      <c r="O18" s="119">
        <f t="shared" si="4"/>
        <v>-38914.75</v>
      </c>
      <c r="P18" s="21"/>
      <c r="R18" s="98">
        <f t="shared" si="0"/>
        <v>-38914.75</v>
      </c>
      <c r="S18" s="98">
        <f t="shared" si="1"/>
        <v>0</v>
      </c>
    </row>
    <row r="19" spans="1:19" x14ac:dyDescent="0.25">
      <c r="A19" s="114" t="s">
        <v>13</v>
      </c>
      <c r="B19" s="128">
        <v>-7685.69</v>
      </c>
      <c r="C19" s="128">
        <v>-3389.14</v>
      </c>
      <c r="D19" s="128">
        <v>-5884.89</v>
      </c>
      <c r="E19" s="128">
        <v>-4776.1400000000003</v>
      </c>
      <c r="F19" s="128">
        <v>-4175.45</v>
      </c>
      <c r="G19" s="128">
        <v>-6061.87</v>
      </c>
      <c r="H19" s="128">
        <v>-6024.62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  <c r="N19" s="128">
        <v>0</v>
      </c>
      <c r="O19" s="119">
        <f t="shared" si="4"/>
        <v>-37997.800000000003</v>
      </c>
      <c r="P19" s="21"/>
      <c r="R19" s="98">
        <f t="shared" si="0"/>
        <v>-37997.800000000003</v>
      </c>
      <c r="S19" s="98">
        <f t="shared" si="1"/>
        <v>0</v>
      </c>
    </row>
    <row r="20" spans="1:19" x14ac:dyDescent="0.25">
      <c r="A20" s="114" t="s">
        <v>14</v>
      </c>
      <c r="B20" s="128">
        <v>-5937.43</v>
      </c>
      <c r="C20" s="128">
        <v>-1096.7</v>
      </c>
      <c r="D20" s="128">
        <v>-7976.62</v>
      </c>
      <c r="E20" s="128">
        <v>-5749.15</v>
      </c>
      <c r="F20" s="128">
        <v>-6599.48</v>
      </c>
      <c r="G20" s="128">
        <v>-9286.27</v>
      </c>
      <c r="H20" s="128">
        <v>-10947.47</v>
      </c>
      <c r="I20" s="128">
        <v>0</v>
      </c>
      <c r="J20" s="128">
        <v>0</v>
      </c>
      <c r="K20" s="128">
        <v>0</v>
      </c>
      <c r="L20" s="128">
        <v>0</v>
      </c>
      <c r="M20" s="128">
        <v>0</v>
      </c>
      <c r="N20" s="128">
        <v>0</v>
      </c>
      <c r="O20" s="119">
        <f t="shared" si="4"/>
        <v>-47593.120000000003</v>
      </c>
      <c r="P20" s="21"/>
      <c r="R20" s="98">
        <f t="shared" si="0"/>
        <v>-47593.120000000003</v>
      </c>
      <c r="S20" s="98">
        <f t="shared" si="1"/>
        <v>0</v>
      </c>
    </row>
    <row r="21" spans="1:19" x14ac:dyDescent="0.25">
      <c r="A21" s="114" t="s">
        <v>15</v>
      </c>
      <c r="B21" s="128">
        <v>-255.5</v>
      </c>
      <c r="C21" s="128">
        <v>0</v>
      </c>
      <c r="D21" s="128">
        <v>0</v>
      </c>
      <c r="E21" s="128">
        <v>0</v>
      </c>
      <c r="F21" s="128">
        <v>583.99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28">
        <v>0</v>
      </c>
      <c r="N21" s="128">
        <v>0</v>
      </c>
      <c r="O21" s="119">
        <f t="shared" si="4"/>
        <v>328.49</v>
      </c>
      <c r="P21" s="21"/>
      <c r="R21" s="98">
        <f t="shared" si="0"/>
        <v>328.49</v>
      </c>
      <c r="S21" s="98">
        <f t="shared" si="1"/>
        <v>0</v>
      </c>
    </row>
    <row r="22" spans="1:19" x14ac:dyDescent="0.25">
      <c r="A22" s="114" t="s">
        <v>16</v>
      </c>
      <c r="B22" s="128">
        <v>0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19">
        <f t="shared" si="4"/>
        <v>0</v>
      </c>
      <c r="P22" s="21"/>
      <c r="R22" s="98">
        <f t="shared" si="0"/>
        <v>0</v>
      </c>
      <c r="S22" s="98">
        <f t="shared" si="1"/>
        <v>0</v>
      </c>
    </row>
    <row r="23" spans="1:19" x14ac:dyDescent="0.25">
      <c r="A23" s="114" t="s">
        <v>17</v>
      </c>
      <c r="B23" s="128">
        <v>-13690.61</v>
      </c>
      <c r="C23" s="128">
        <v>-8080.53</v>
      </c>
      <c r="D23" s="128">
        <v>-12476.87</v>
      </c>
      <c r="E23" s="128">
        <v>-11608.76</v>
      </c>
      <c r="F23" s="128">
        <v>-10419.09</v>
      </c>
      <c r="G23" s="128">
        <v>-13842.23</v>
      </c>
      <c r="H23" s="128">
        <v>-14362.25</v>
      </c>
      <c r="I23" s="128">
        <v>0</v>
      </c>
      <c r="J23" s="128">
        <v>0</v>
      </c>
      <c r="K23" s="128">
        <v>0</v>
      </c>
      <c r="L23" s="128">
        <v>0</v>
      </c>
      <c r="M23" s="128">
        <v>0</v>
      </c>
      <c r="N23" s="128">
        <v>0</v>
      </c>
      <c r="O23" s="119">
        <f t="shared" si="4"/>
        <v>-84480.34</v>
      </c>
      <c r="P23" s="21"/>
      <c r="R23" s="98">
        <f t="shared" si="0"/>
        <v>-84480.34</v>
      </c>
      <c r="S23" s="98">
        <f t="shared" si="1"/>
        <v>0</v>
      </c>
    </row>
    <row r="24" spans="1:19" x14ac:dyDescent="0.25">
      <c r="A24" s="114" t="s">
        <v>18</v>
      </c>
      <c r="B24" s="128">
        <v>-3950.56</v>
      </c>
      <c r="C24" s="128">
        <v>-882.64</v>
      </c>
      <c r="D24" s="128">
        <v>-2014.09</v>
      </c>
      <c r="E24" s="128">
        <v>-1475.52</v>
      </c>
      <c r="F24" s="128">
        <v>-1475.52</v>
      </c>
      <c r="G24" s="128">
        <v>-1475.52</v>
      </c>
      <c r="H24" s="128">
        <v>-1475.52</v>
      </c>
      <c r="I24" s="128">
        <v>0</v>
      </c>
      <c r="J24" s="128">
        <v>0</v>
      </c>
      <c r="K24" s="128">
        <v>0</v>
      </c>
      <c r="L24" s="128">
        <v>0</v>
      </c>
      <c r="M24" s="128">
        <v>0</v>
      </c>
      <c r="N24" s="128">
        <v>0</v>
      </c>
      <c r="O24" s="119">
        <f t="shared" si="4"/>
        <v>-12749.37</v>
      </c>
      <c r="P24" s="21"/>
      <c r="R24" s="98">
        <f t="shared" si="0"/>
        <v>-12749.37</v>
      </c>
      <c r="S24" s="98">
        <f t="shared" si="1"/>
        <v>0</v>
      </c>
    </row>
    <row r="25" spans="1:19" x14ac:dyDescent="0.25">
      <c r="A25" s="114" t="s">
        <v>19</v>
      </c>
      <c r="B25" s="128">
        <v>-9447.89</v>
      </c>
      <c r="C25" s="128">
        <v>-600.79999999999995</v>
      </c>
      <c r="D25" s="128">
        <v>-280</v>
      </c>
      <c r="E25" s="128">
        <v>-840</v>
      </c>
      <c r="F25" s="128">
        <v>-560</v>
      </c>
      <c r="G25" s="128">
        <v>-280</v>
      </c>
      <c r="H25" s="128">
        <v>-280</v>
      </c>
      <c r="I25" s="128">
        <v>0</v>
      </c>
      <c r="J25" s="128">
        <v>0</v>
      </c>
      <c r="K25" s="128">
        <v>0</v>
      </c>
      <c r="L25" s="128">
        <v>0</v>
      </c>
      <c r="M25" s="128">
        <v>0</v>
      </c>
      <c r="N25" s="128">
        <v>0</v>
      </c>
      <c r="O25" s="119">
        <f t="shared" si="4"/>
        <v>-12288.689999999999</v>
      </c>
      <c r="P25" s="21"/>
      <c r="R25" s="98">
        <f t="shared" si="0"/>
        <v>-12288.689999999999</v>
      </c>
      <c r="S25" s="98">
        <f t="shared" si="1"/>
        <v>0</v>
      </c>
    </row>
    <row r="26" spans="1:19" x14ac:dyDescent="0.25">
      <c r="A26" s="114" t="s">
        <v>20</v>
      </c>
      <c r="B26" s="128">
        <v>0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28">
        <v>0</v>
      </c>
      <c r="L26" s="128">
        <v>0</v>
      </c>
      <c r="M26" s="128">
        <v>0</v>
      </c>
      <c r="N26" s="128">
        <v>0</v>
      </c>
      <c r="O26" s="119">
        <f t="shared" si="4"/>
        <v>0</v>
      </c>
      <c r="P26" s="21"/>
      <c r="R26" s="98">
        <f t="shared" si="0"/>
        <v>0</v>
      </c>
      <c r="S26" s="98">
        <f t="shared" si="1"/>
        <v>0</v>
      </c>
    </row>
    <row r="27" spans="1:19" x14ac:dyDescent="0.25">
      <c r="A27" s="114" t="s">
        <v>59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28">
        <v>0</v>
      </c>
      <c r="L27" s="128">
        <v>0</v>
      </c>
      <c r="M27" s="128">
        <v>0</v>
      </c>
      <c r="N27" s="128">
        <v>0</v>
      </c>
      <c r="O27" s="119">
        <f t="shared" si="4"/>
        <v>0</v>
      </c>
      <c r="P27" s="21"/>
      <c r="R27" s="98">
        <f t="shared" si="0"/>
        <v>0</v>
      </c>
      <c r="S27" s="98">
        <f t="shared" si="1"/>
        <v>0</v>
      </c>
    </row>
    <row r="28" spans="1:19" x14ac:dyDescent="0.25">
      <c r="A28" s="114" t="s">
        <v>21</v>
      </c>
      <c r="B28" s="128">
        <v>-945</v>
      </c>
      <c r="C28" s="128">
        <v>-270</v>
      </c>
      <c r="D28" s="128">
        <v>-810</v>
      </c>
      <c r="E28" s="128">
        <v>-135</v>
      </c>
      <c r="F28" s="128">
        <v>-675</v>
      </c>
      <c r="G28" s="128">
        <v>-405</v>
      </c>
      <c r="H28" s="128">
        <v>-540</v>
      </c>
      <c r="I28" s="128">
        <v>0</v>
      </c>
      <c r="J28" s="128">
        <v>0</v>
      </c>
      <c r="K28" s="128">
        <v>0</v>
      </c>
      <c r="L28" s="128">
        <v>0</v>
      </c>
      <c r="M28" s="128">
        <v>0</v>
      </c>
      <c r="N28" s="128">
        <v>0</v>
      </c>
      <c r="O28" s="119">
        <f t="shared" si="4"/>
        <v>-3780</v>
      </c>
      <c r="P28" s="21"/>
      <c r="R28" s="98">
        <f t="shared" si="0"/>
        <v>-3780</v>
      </c>
      <c r="S28" s="98">
        <f t="shared" si="1"/>
        <v>0</v>
      </c>
    </row>
    <row r="29" spans="1:19" x14ac:dyDescent="0.25">
      <c r="A29" s="114" t="s">
        <v>22</v>
      </c>
      <c r="B29" s="128">
        <v>0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28">
        <v>0</v>
      </c>
      <c r="O29" s="119">
        <f t="shared" si="4"/>
        <v>0</v>
      </c>
      <c r="P29" s="21"/>
      <c r="R29" s="98">
        <f t="shared" si="0"/>
        <v>0</v>
      </c>
      <c r="S29" s="98">
        <f t="shared" si="1"/>
        <v>0</v>
      </c>
    </row>
    <row r="30" spans="1:19" x14ac:dyDescent="0.25">
      <c r="A30" s="129" t="s">
        <v>23</v>
      </c>
      <c r="B30" s="128">
        <v>-755.05</v>
      </c>
      <c r="C30" s="128">
        <v>0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8">
        <v>0</v>
      </c>
      <c r="K30" s="128">
        <v>0</v>
      </c>
      <c r="L30" s="128">
        <v>0</v>
      </c>
      <c r="M30" s="128">
        <v>0</v>
      </c>
      <c r="N30" s="128">
        <v>0</v>
      </c>
      <c r="O30" s="119">
        <f t="shared" si="4"/>
        <v>-755.05</v>
      </c>
      <c r="P30" s="21"/>
      <c r="R30" s="98">
        <f t="shared" si="0"/>
        <v>-755.05</v>
      </c>
      <c r="S30" s="98">
        <f t="shared" si="1"/>
        <v>0</v>
      </c>
    </row>
    <row r="31" spans="1:19" x14ac:dyDescent="0.25">
      <c r="A31" s="114" t="s">
        <v>24</v>
      </c>
      <c r="B31" s="128">
        <v>-33670</v>
      </c>
      <c r="C31" s="128">
        <v>-33494.75</v>
      </c>
      <c r="D31" s="128">
        <v>-59031</v>
      </c>
      <c r="E31" s="128">
        <v>-62955.07</v>
      </c>
      <c r="F31" s="128">
        <v>-67095</v>
      </c>
      <c r="G31" s="128">
        <v>-62651</v>
      </c>
      <c r="H31" s="128">
        <v>-72864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28">
        <v>0</v>
      </c>
      <c r="O31" s="119">
        <f t="shared" si="4"/>
        <v>-391760.82</v>
      </c>
      <c r="P31" s="21"/>
      <c r="R31" s="98">
        <f t="shared" si="0"/>
        <v>-391760.82</v>
      </c>
      <c r="S31" s="98">
        <f t="shared" si="1"/>
        <v>0</v>
      </c>
    </row>
    <row r="32" spans="1:19" x14ac:dyDescent="0.25">
      <c r="A32" s="130" t="s">
        <v>25</v>
      </c>
      <c r="B32" s="128">
        <v>-69883.89</v>
      </c>
      <c r="C32" s="128">
        <v>-36772.61</v>
      </c>
      <c r="D32" s="128">
        <v>-59088.19</v>
      </c>
      <c r="E32" s="128">
        <v>-46525.34</v>
      </c>
      <c r="F32" s="128">
        <v>-47215.07</v>
      </c>
      <c r="G32" s="128">
        <v>-58924.71</v>
      </c>
      <c r="H32" s="128">
        <v>-62366.21</v>
      </c>
      <c r="I32" s="128">
        <v>0</v>
      </c>
      <c r="J32" s="128">
        <v>0</v>
      </c>
      <c r="K32" s="128">
        <v>0</v>
      </c>
      <c r="L32" s="128">
        <v>0</v>
      </c>
      <c r="M32" s="128">
        <v>0</v>
      </c>
      <c r="N32" s="128">
        <v>0</v>
      </c>
      <c r="O32" s="119">
        <f t="shared" si="4"/>
        <v>-380776.02</v>
      </c>
      <c r="P32" s="21"/>
      <c r="R32" s="98">
        <f t="shared" si="0"/>
        <v>-380776.02</v>
      </c>
      <c r="S32" s="98">
        <f t="shared" si="1"/>
        <v>0</v>
      </c>
    </row>
    <row r="33" spans="1:19" x14ac:dyDescent="0.25">
      <c r="A33" s="114" t="s">
        <v>26</v>
      </c>
      <c r="B33" s="128">
        <v>-1260</v>
      </c>
      <c r="C33" s="128">
        <v>0</v>
      </c>
      <c r="D33" s="128">
        <v>0</v>
      </c>
      <c r="E33" s="128">
        <v>0</v>
      </c>
      <c r="F33" s="128">
        <v>0</v>
      </c>
      <c r="G33" s="128">
        <v>0</v>
      </c>
      <c r="H33" s="128">
        <v>0</v>
      </c>
      <c r="I33" s="128">
        <v>0</v>
      </c>
      <c r="J33" s="128">
        <v>0</v>
      </c>
      <c r="K33" s="128">
        <v>0</v>
      </c>
      <c r="L33" s="128">
        <v>0</v>
      </c>
      <c r="M33" s="128">
        <v>0</v>
      </c>
      <c r="N33" s="128">
        <v>0</v>
      </c>
      <c r="O33" s="119">
        <f t="shared" si="4"/>
        <v>-1260</v>
      </c>
      <c r="P33" s="21"/>
      <c r="R33" s="98">
        <f t="shared" si="0"/>
        <v>-1260</v>
      </c>
      <c r="S33" s="98">
        <f t="shared" si="1"/>
        <v>0</v>
      </c>
    </row>
    <row r="34" spans="1:19" x14ac:dyDescent="0.25">
      <c r="A34" s="114" t="s">
        <v>27</v>
      </c>
      <c r="B34" s="128">
        <v>0</v>
      </c>
      <c r="C34" s="128">
        <v>0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19">
        <f t="shared" si="4"/>
        <v>0</v>
      </c>
      <c r="P34" s="21"/>
      <c r="R34" s="98">
        <f t="shared" si="0"/>
        <v>0</v>
      </c>
      <c r="S34" s="98">
        <f t="shared" si="1"/>
        <v>0</v>
      </c>
    </row>
    <row r="35" spans="1:19" x14ac:dyDescent="0.25">
      <c r="A35" s="129" t="s">
        <v>28</v>
      </c>
      <c r="B35" s="128">
        <v>-1104.29</v>
      </c>
      <c r="C35" s="128">
        <v>0</v>
      </c>
      <c r="D35" s="128">
        <v>0</v>
      </c>
      <c r="E35" s="128">
        <v>0</v>
      </c>
      <c r="F35" s="128">
        <v>0</v>
      </c>
      <c r="G35" s="128">
        <v>0</v>
      </c>
      <c r="H35" s="128">
        <v>0</v>
      </c>
      <c r="I35" s="128">
        <v>0</v>
      </c>
      <c r="J35" s="128">
        <v>0</v>
      </c>
      <c r="K35" s="128">
        <v>0</v>
      </c>
      <c r="L35" s="128">
        <v>0</v>
      </c>
      <c r="M35" s="128">
        <v>0</v>
      </c>
      <c r="N35" s="128">
        <v>0</v>
      </c>
      <c r="O35" s="119">
        <f t="shared" si="4"/>
        <v>-1104.29</v>
      </c>
      <c r="P35" s="21"/>
      <c r="R35" s="98">
        <f t="shared" si="0"/>
        <v>-1104.29</v>
      </c>
      <c r="S35" s="98">
        <f t="shared" si="1"/>
        <v>0</v>
      </c>
    </row>
    <row r="36" spans="1:19" x14ac:dyDescent="0.25">
      <c r="A36" s="114" t="s">
        <v>29</v>
      </c>
      <c r="B36" s="128">
        <v>-4411.18</v>
      </c>
      <c r="C36" s="128">
        <v>-2737.69</v>
      </c>
      <c r="D36" s="128">
        <v>-4390.83</v>
      </c>
      <c r="E36" s="128">
        <v>-6242.5</v>
      </c>
      <c r="F36" s="128">
        <v>-4050.56</v>
      </c>
      <c r="G36" s="128">
        <v>-4198.82</v>
      </c>
      <c r="H36" s="128">
        <v>-5202.92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28">
        <v>0</v>
      </c>
      <c r="O36" s="119">
        <f t="shared" si="4"/>
        <v>-31234.5</v>
      </c>
      <c r="P36" s="21"/>
      <c r="R36" s="98">
        <f t="shared" si="0"/>
        <v>-31234.5</v>
      </c>
      <c r="S36" s="98">
        <f t="shared" si="1"/>
        <v>0</v>
      </c>
    </row>
    <row r="37" spans="1:19" x14ac:dyDescent="0.25">
      <c r="A37" s="15" t="s">
        <v>276</v>
      </c>
      <c r="B37" s="128">
        <v>-6242.53</v>
      </c>
      <c r="C37" s="128">
        <v>-4008.53</v>
      </c>
      <c r="D37" s="128">
        <v>-5901.43</v>
      </c>
      <c r="E37" s="128">
        <v>-4862.42</v>
      </c>
      <c r="F37" s="128">
        <v>-4481.76</v>
      </c>
      <c r="G37" s="128">
        <v>-6181.02</v>
      </c>
      <c r="H37" s="128">
        <v>-6278.34</v>
      </c>
      <c r="I37" s="128">
        <v>0</v>
      </c>
      <c r="J37" s="128">
        <v>0</v>
      </c>
      <c r="K37" s="128">
        <v>0</v>
      </c>
      <c r="L37" s="128">
        <v>0</v>
      </c>
      <c r="M37" s="128">
        <v>0</v>
      </c>
      <c r="N37" s="128">
        <v>0</v>
      </c>
      <c r="O37" s="119">
        <f t="shared" si="4"/>
        <v>-37956.03</v>
      </c>
      <c r="P37" s="21"/>
      <c r="R37" s="98">
        <f t="shared" si="0"/>
        <v>-37956.03</v>
      </c>
      <c r="S37" s="98">
        <f t="shared" si="1"/>
        <v>0</v>
      </c>
    </row>
    <row r="38" spans="1:19" x14ac:dyDescent="0.25">
      <c r="A38" s="114" t="s">
        <v>97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28">
        <v>0</v>
      </c>
      <c r="N38" s="128">
        <v>0</v>
      </c>
      <c r="O38" s="119">
        <f t="shared" si="4"/>
        <v>0</v>
      </c>
      <c r="P38" s="21"/>
      <c r="R38" s="98">
        <f t="shared" si="0"/>
        <v>0</v>
      </c>
      <c r="S38" s="98">
        <f t="shared" si="1"/>
        <v>0</v>
      </c>
    </row>
    <row r="39" spans="1:19" x14ac:dyDescent="0.25">
      <c r="A39" s="114" t="s">
        <v>114</v>
      </c>
      <c r="B39" s="128">
        <v>0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28">
        <v>0</v>
      </c>
      <c r="O39" s="119">
        <f t="shared" si="4"/>
        <v>0</v>
      </c>
      <c r="P39" s="21"/>
      <c r="R39" s="98">
        <f t="shared" si="0"/>
        <v>0</v>
      </c>
      <c r="S39" s="98">
        <f t="shared" si="1"/>
        <v>0</v>
      </c>
    </row>
    <row r="40" spans="1:19" x14ac:dyDescent="0.25">
      <c r="A40" s="131" t="s">
        <v>31</v>
      </c>
      <c r="B40" s="132">
        <f t="shared" ref="B40" si="5">SUM(B14:B39)</f>
        <v>-179369.65</v>
      </c>
      <c r="C40" s="132">
        <f t="shared" ref="C40:N40" si="6">SUM(C14:C39)</f>
        <v>-98104.95</v>
      </c>
      <c r="D40" s="132">
        <f t="shared" si="6"/>
        <v>-171563.18999999997</v>
      </c>
      <c r="E40" s="132">
        <f t="shared" si="6"/>
        <v>-162352.87000000002</v>
      </c>
      <c r="F40" s="132">
        <f t="shared" si="6"/>
        <v>-160130.08000000002</v>
      </c>
      <c r="G40" s="132">
        <f t="shared" si="6"/>
        <v>-179537.77</v>
      </c>
      <c r="H40" s="132">
        <f t="shared" si="6"/>
        <v>-199014.36</v>
      </c>
      <c r="I40" s="132">
        <f t="shared" si="6"/>
        <v>0</v>
      </c>
      <c r="J40" s="132">
        <f t="shared" si="6"/>
        <v>0</v>
      </c>
      <c r="K40" s="132">
        <f t="shared" si="6"/>
        <v>0</v>
      </c>
      <c r="L40" s="132">
        <f t="shared" si="6"/>
        <v>0</v>
      </c>
      <c r="M40" s="132">
        <f t="shared" si="6"/>
        <v>0</v>
      </c>
      <c r="N40" s="132">
        <f t="shared" si="6"/>
        <v>0</v>
      </c>
      <c r="O40" s="132">
        <f>SUM(O14:O39)</f>
        <v>-1150072.8700000001</v>
      </c>
      <c r="P40" s="21"/>
      <c r="R40" s="98">
        <f t="shared" si="0"/>
        <v>-1150072.8700000001</v>
      </c>
      <c r="S40" s="98">
        <f t="shared" si="1"/>
        <v>0</v>
      </c>
    </row>
    <row r="41" spans="1:19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25"/>
      <c r="P41" s="159"/>
      <c r="R41" s="98">
        <f t="shared" si="0"/>
        <v>0</v>
      </c>
      <c r="S41" s="98">
        <f t="shared" si="1"/>
        <v>0</v>
      </c>
    </row>
    <row r="42" spans="1:19" x14ac:dyDescent="0.25">
      <c r="A42" s="135" t="s">
        <v>32</v>
      </c>
      <c r="B42" s="136">
        <f t="shared" ref="B42" si="7">B11+B40</f>
        <v>-179369.65</v>
      </c>
      <c r="C42" s="136">
        <f t="shared" ref="C42:N42" si="8">C11+C40</f>
        <v>-98104.95</v>
      </c>
      <c r="D42" s="136">
        <f t="shared" si="8"/>
        <v>-171563.18999999997</v>
      </c>
      <c r="E42" s="136">
        <f t="shared" si="8"/>
        <v>-162352.87000000002</v>
      </c>
      <c r="F42" s="136">
        <f t="shared" si="8"/>
        <v>-160130.08000000002</v>
      </c>
      <c r="G42" s="136">
        <f t="shared" si="8"/>
        <v>-179537.77</v>
      </c>
      <c r="H42" s="136">
        <f t="shared" si="8"/>
        <v>-199014.36</v>
      </c>
      <c r="I42" s="136">
        <f t="shared" si="8"/>
        <v>0</v>
      </c>
      <c r="J42" s="136">
        <f t="shared" si="8"/>
        <v>0</v>
      </c>
      <c r="K42" s="136">
        <f t="shared" si="8"/>
        <v>0</v>
      </c>
      <c r="L42" s="136">
        <f t="shared" si="8"/>
        <v>0</v>
      </c>
      <c r="M42" s="136">
        <f t="shared" si="8"/>
        <v>0</v>
      </c>
      <c r="N42" s="136">
        <f t="shared" si="8"/>
        <v>0</v>
      </c>
      <c r="O42" s="157">
        <f>SUM(B42:N42)</f>
        <v>-1150072.8700000001</v>
      </c>
      <c r="P42" s="21"/>
      <c r="R42" s="98">
        <f t="shared" si="0"/>
        <v>-1150072.8700000001</v>
      </c>
      <c r="S42" s="98">
        <f t="shared" si="1"/>
        <v>0</v>
      </c>
    </row>
    <row r="43" spans="1:19" x14ac:dyDescent="0.25">
      <c r="A43" s="13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62"/>
      <c r="R43" s="98">
        <f t="shared" si="0"/>
        <v>0</v>
      </c>
      <c r="S43" s="98">
        <f t="shared" si="1"/>
        <v>0</v>
      </c>
    </row>
    <row r="44" spans="1:19" x14ac:dyDescent="0.25">
      <c r="A44" s="126" t="s">
        <v>56</v>
      </c>
      <c r="B44" s="139">
        <f t="shared" ref="B44" si="9">-B9*13.15%</f>
        <v>0</v>
      </c>
      <c r="C44" s="139">
        <f t="shared" ref="C44:N44" si="10">-C9*13.15%</f>
        <v>0</v>
      </c>
      <c r="D44" s="139">
        <f t="shared" si="10"/>
        <v>0</v>
      </c>
      <c r="E44" s="139">
        <f t="shared" si="10"/>
        <v>0</v>
      </c>
      <c r="F44" s="139">
        <f t="shared" si="10"/>
        <v>0</v>
      </c>
      <c r="G44" s="139">
        <f t="shared" si="10"/>
        <v>0</v>
      </c>
      <c r="H44" s="139">
        <f t="shared" si="10"/>
        <v>0</v>
      </c>
      <c r="I44" s="139">
        <f t="shared" si="10"/>
        <v>0</v>
      </c>
      <c r="J44" s="139">
        <f t="shared" si="10"/>
        <v>0</v>
      </c>
      <c r="K44" s="139">
        <f t="shared" si="10"/>
        <v>0</v>
      </c>
      <c r="L44" s="139">
        <f t="shared" si="10"/>
        <v>0</v>
      </c>
      <c r="M44" s="139">
        <f t="shared" si="10"/>
        <v>0</v>
      </c>
      <c r="N44" s="139">
        <f t="shared" si="10"/>
        <v>0</v>
      </c>
      <c r="O44" s="119">
        <f>SUM(B44:N44)</f>
        <v>0</v>
      </c>
      <c r="P44" s="21"/>
      <c r="R44" s="98">
        <f t="shared" si="0"/>
        <v>0</v>
      </c>
      <c r="S44" s="98">
        <f t="shared" si="1"/>
        <v>0</v>
      </c>
    </row>
    <row r="45" spans="1:19" x14ac:dyDescent="0.25">
      <c r="A45" s="137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62"/>
      <c r="R45" s="98">
        <f t="shared" si="0"/>
        <v>0</v>
      </c>
      <c r="S45" s="98">
        <f t="shared" si="1"/>
        <v>0</v>
      </c>
    </row>
    <row r="46" spans="1:19" x14ac:dyDescent="0.25">
      <c r="A46" s="126" t="s">
        <v>33</v>
      </c>
      <c r="B46" s="139">
        <f t="shared" ref="B46" si="11">-B9*1.22%</f>
        <v>0</v>
      </c>
      <c r="C46" s="139">
        <f t="shared" ref="C46:N46" si="12">-C9*1.22%</f>
        <v>0</v>
      </c>
      <c r="D46" s="139">
        <f t="shared" si="12"/>
        <v>0</v>
      </c>
      <c r="E46" s="139">
        <f t="shared" si="12"/>
        <v>0</v>
      </c>
      <c r="F46" s="139">
        <f t="shared" si="12"/>
        <v>0</v>
      </c>
      <c r="G46" s="139">
        <f t="shared" si="12"/>
        <v>0</v>
      </c>
      <c r="H46" s="139">
        <f t="shared" si="12"/>
        <v>0</v>
      </c>
      <c r="I46" s="139">
        <f t="shared" si="12"/>
        <v>0</v>
      </c>
      <c r="J46" s="139">
        <f t="shared" si="12"/>
        <v>0</v>
      </c>
      <c r="K46" s="139">
        <f t="shared" si="12"/>
        <v>0</v>
      </c>
      <c r="L46" s="139">
        <f t="shared" si="12"/>
        <v>0</v>
      </c>
      <c r="M46" s="139">
        <f t="shared" si="12"/>
        <v>0</v>
      </c>
      <c r="N46" s="139">
        <f t="shared" si="12"/>
        <v>0</v>
      </c>
      <c r="O46" s="119">
        <f>SUM(B46:N46)</f>
        <v>0</v>
      </c>
      <c r="P46" s="21"/>
      <c r="R46" s="98">
        <f t="shared" si="0"/>
        <v>0</v>
      </c>
      <c r="S46" s="98">
        <f t="shared" si="1"/>
        <v>0</v>
      </c>
    </row>
    <row r="47" spans="1:19" x14ac:dyDescent="0.2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62"/>
      <c r="R47" s="98">
        <f t="shared" si="0"/>
        <v>0</v>
      </c>
      <c r="S47" s="98">
        <f t="shared" si="1"/>
        <v>0</v>
      </c>
    </row>
    <row r="48" spans="1:19" x14ac:dyDescent="0.25">
      <c r="A48" s="113" t="s">
        <v>57</v>
      </c>
      <c r="B48" s="142">
        <f t="shared" ref="B48" si="13">B40*5.56%</f>
        <v>-9972.9525399999984</v>
      </c>
      <c r="C48" s="142">
        <f t="shared" ref="C48:N48" si="14">C40*5.56%</f>
        <v>-5454.6352199999992</v>
      </c>
      <c r="D48" s="142">
        <f t="shared" si="14"/>
        <v>-9538.9133639999982</v>
      </c>
      <c r="E48" s="142">
        <f t="shared" si="14"/>
        <v>-9026.8195720000003</v>
      </c>
      <c r="F48" s="142">
        <f t="shared" si="14"/>
        <v>-8903.2324480000007</v>
      </c>
      <c r="G48" s="142">
        <f t="shared" si="14"/>
        <v>-9982.3000119999997</v>
      </c>
      <c r="H48" s="142">
        <f t="shared" si="14"/>
        <v>-11065.198415999999</v>
      </c>
      <c r="I48" s="142">
        <f t="shared" si="14"/>
        <v>0</v>
      </c>
      <c r="J48" s="142">
        <f t="shared" si="14"/>
        <v>0</v>
      </c>
      <c r="K48" s="142">
        <f t="shared" si="14"/>
        <v>0</v>
      </c>
      <c r="L48" s="142">
        <f t="shared" si="14"/>
        <v>0</v>
      </c>
      <c r="M48" s="142">
        <f t="shared" si="14"/>
        <v>0</v>
      </c>
      <c r="N48" s="142">
        <f t="shared" si="14"/>
        <v>0</v>
      </c>
      <c r="O48" s="119">
        <f>SUM(B48:N48)</f>
        <v>-63944.051571999997</v>
      </c>
      <c r="P48" s="21"/>
      <c r="R48" s="98">
        <f t="shared" si="0"/>
        <v>-63944.051571999997</v>
      </c>
      <c r="S48" s="98">
        <f t="shared" si="1"/>
        <v>0</v>
      </c>
    </row>
    <row r="49" spans="1:19" x14ac:dyDescent="0.2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62"/>
      <c r="R49" s="98">
        <f t="shared" si="0"/>
        <v>0</v>
      </c>
      <c r="S49" s="98">
        <f t="shared" si="1"/>
        <v>0</v>
      </c>
    </row>
    <row r="50" spans="1:19" x14ac:dyDescent="0.25">
      <c r="A50" s="113" t="s">
        <v>58</v>
      </c>
      <c r="B50" s="142">
        <f t="shared" ref="B50" si="15">B40*0.01%</f>
        <v>-17.936965000000001</v>
      </c>
      <c r="C50" s="142">
        <f t="shared" ref="C50:N50" si="16">C40*0.01%</f>
        <v>-9.8104949999999995</v>
      </c>
      <c r="D50" s="142">
        <f t="shared" si="16"/>
        <v>-17.156319</v>
      </c>
      <c r="E50" s="142">
        <f t="shared" si="16"/>
        <v>-16.235287000000003</v>
      </c>
      <c r="F50" s="142">
        <f t="shared" si="16"/>
        <v>-16.013008000000003</v>
      </c>
      <c r="G50" s="142">
        <f t="shared" si="16"/>
        <v>-17.953776999999999</v>
      </c>
      <c r="H50" s="142">
        <f t="shared" si="16"/>
        <v>-19.901436</v>
      </c>
      <c r="I50" s="142">
        <f t="shared" si="16"/>
        <v>0</v>
      </c>
      <c r="J50" s="142">
        <f t="shared" si="16"/>
        <v>0</v>
      </c>
      <c r="K50" s="142">
        <f t="shared" si="16"/>
        <v>0</v>
      </c>
      <c r="L50" s="142">
        <f t="shared" si="16"/>
        <v>0</v>
      </c>
      <c r="M50" s="142">
        <f t="shared" si="16"/>
        <v>0</v>
      </c>
      <c r="N50" s="142">
        <f t="shared" si="16"/>
        <v>0</v>
      </c>
      <c r="O50" s="119">
        <f>SUM(B50:N50)</f>
        <v>-115.00728700000001</v>
      </c>
      <c r="P50" s="21"/>
      <c r="R50" s="98">
        <f t="shared" si="0"/>
        <v>-115.00728700000001</v>
      </c>
      <c r="S50" s="98">
        <f t="shared" si="1"/>
        <v>0</v>
      </c>
    </row>
    <row r="51" spans="1:19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62"/>
      <c r="R51" s="98">
        <f t="shared" si="0"/>
        <v>0</v>
      </c>
      <c r="S51" s="98">
        <f t="shared" si="1"/>
        <v>0</v>
      </c>
    </row>
    <row r="52" spans="1:19" x14ac:dyDescent="0.25">
      <c r="A52" s="135" t="s">
        <v>275</v>
      </c>
      <c r="B52" s="136">
        <f t="shared" ref="B52" si="17">B42+B48+B50+B44+B46</f>
        <v>-189360.53950499999</v>
      </c>
      <c r="C52" s="136">
        <f t="shared" ref="C52:N52" si="18">C42+C48+C50+C44+C46</f>
        <v>-103569.39571499999</v>
      </c>
      <c r="D52" s="136">
        <f t="shared" si="18"/>
        <v>-181119.25968299998</v>
      </c>
      <c r="E52" s="136">
        <f t="shared" si="18"/>
        <v>-171395.92485900002</v>
      </c>
      <c r="F52" s="136">
        <f t="shared" si="18"/>
        <v>-169049.32545600002</v>
      </c>
      <c r="G52" s="136">
        <f t="shared" si="18"/>
        <v>-189538.02378899997</v>
      </c>
      <c r="H52" s="136">
        <f t="shared" si="18"/>
        <v>-210099.45985199997</v>
      </c>
      <c r="I52" s="136">
        <f t="shared" si="18"/>
        <v>0</v>
      </c>
      <c r="J52" s="136">
        <f t="shared" si="18"/>
        <v>0</v>
      </c>
      <c r="K52" s="136">
        <f t="shared" si="18"/>
        <v>0</v>
      </c>
      <c r="L52" s="136">
        <f t="shared" si="18"/>
        <v>0</v>
      </c>
      <c r="M52" s="136">
        <f t="shared" si="18"/>
        <v>0</v>
      </c>
      <c r="N52" s="136">
        <f t="shared" si="18"/>
        <v>0</v>
      </c>
      <c r="O52" s="157">
        <f>SUM(B52:N52)</f>
        <v>-1214131.9288589999</v>
      </c>
      <c r="P52" s="21"/>
      <c r="R52" s="98">
        <f t="shared" si="0"/>
        <v>-1214131.9288589999</v>
      </c>
      <c r="S52" s="98">
        <f t="shared" si="1"/>
        <v>0</v>
      </c>
    </row>
    <row r="53" spans="1:19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63"/>
    </row>
    <row r="54" spans="1:19" x14ac:dyDescent="0.25">
      <c r="A54" s="144" t="s">
        <v>35</v>
      </c>
      <c r="B54" s="13"/>
      <c r="C54" s="13">
        <v>20</v>
      </c>
      <c r="D54" s="13">
        <v>25</v>
      </c>
      <c r="E54" s="13">
        <v>24</v>
      </c>
      <c r="F54" s="13">
        <v>22</v>
      </c>
      <c r="G54" s="13">
        <v>25</v>
      </c>
      <c r="H54" s="13">
        <v>26</v>
      </c>
      <c r="I54" s="13"/>
      <c r="J54" s="13"/>
      <c r="K54" s="13"/>
      <c r="L54" s="13"/>
      <c r="M54" s="13"/>
      <c r="N54" s="13"/>
      <c r="O54" s="145"/>
      <c r="P54" s="163"/>
    </row>
    <row r="55" spans="1:19" x14ac:dyDescent="0.25">
      <c r="A55" s="80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53"/>
    </row>
    <row r="56" spans="1:19" x14ac:dyDescent="0.25">
      <c r="A56" s="146" t="s">
        <v>36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64">
        <v>46203</v>
      </c>
    </row>
    <row r="57" spans="1:19" x14ac:dyDescent="0.25">
      <c r="B57" s="98">
        <f t="shared" ref="B57" si="19">B11+B40+B44+B46+B48+B50</f>
        <v>-189360.53950499999</v>
      </c>
      <c r="C57" s="98">
        <f t="shared" ref="C57:O57" si="20">C11+C40+C44+C46+C48+C50</f>
        <v>-103569.39571499999</v>
      </c>
      <c r="D57" s="98">
        <f t="shared" si="20"/>
        <v>-181119.25968299998</v>
      </c>
      <c r="E57" s="98">
        <f t="shared" si="20"/>
        <v>-171395.92485900002</v>
      </c>
      <c r="F57" s="98">
        <f t="shared" si="20"/>
        <v>-169049.32545600002</v>
      </c>
      <c r="G57" s="98">
        <f t="shared" si="20"/>
        <v>-189538.02378899997</v>
      </c>
      <c r="H57" s="98">
        <f t="shared" si="20"/>
        <v>-210099.45985199997</v>
      </c>
      <c r="I57" s="98">
        <f t="shared" si="20"/>
        <v>0</v>
      </c>
      <c r="J57" s="98">
        <f t="shared" si="20"/>
        <v>0</v>
      </c>
      <c r="K57" s="98">
        <f t="shared" si="20"/>
        <v>0</v>
      </c>
      <c r="L57" s="98">
        <f t="shared" si="20"/>
        <v>0</v>
      </c>
      <c r="M57" s="98">
        <f t="shared" si="20"/>
        <v>0</v>
      </c>
      <c r="N57" s="98">
        <f t="shared" si="20"/>
        <v>0</v>
      </c>
      <c r="O57" s="98">
        <f t="shared" si="20"/>
        <v>-1214131.9288590001</v>
      </c>
      <c r="P57" s="153"/>
    </row>
    <row r="58" spans="1:19" x14ac:dyDescent="0.25">
      <c r="P58" s="153"/>
    </row>
    <row r="59" spans="1:19" x14ac:dyDescent="0.25">
      <c r="B59" s="98">
        <f t="shared" ref="B59" si="21">B57-B52</f>
        <v>0</v>
      </c>
      <c r="C59" s="98">
        <f t="shared" ref="C59:O59" si="22">C57-C52</f>
        <v>0</v>
      </c>
      <c r="D59" s="98">
        <f t="shared" si="22"/>
        <v>0</v>
      </c>
      <c r="E59" s="98">
        <f t="shared" si="22"/>
        <v>0</v>
      </c>
      <c r="F59" s="98">
        <f t="shared" si="22"/>
        <v>0</v>
      </c>
      <c r="G59" s="98">
        <f t="shared" si="22"/>
        <v>0</v>
      </c>
      <c r="H59" s="98">
        <f t="shared" si="22"/>
        <v>0</v>
      </c>
      <c r="I59" s="98">
        <f t="shared" si="22"/>
        <v>0</v>
      </c>
      <c r="J59" s="98">
        <f t="shared" si="22"/>
        <v>0</v>
      </c>
      <c r="K59" s="98">
        <f t="shared" si="22"/>
        <v>0</v>
      </c>
      <c r="L59" s="98">
        <f t="shared" si="22"/>
        <v>0</v>
      </c>
      <c r="M59" s="98">
        <f t="shared" si="22"/>
        <v>0</v>
      </c>
      <c r="N59" s="98">
        <f t="shared" si="22"/>
        <v>0</v>
      </c>
      <c r="O59" s="98">
        <f t="shared" si="22"/>
        <v>0</v>
      </c>
      <c r="P59" s="153"/>
    </row>
    <row r="60" spans="1:19" x14ac:dyDescent="0.25">
      <c r="P60" s="153"/>
    </row>
  </sheetData>
  <mergeCells count="3">
    <mergeCell ref="A1:P1"/>
    <mergeCell ref="A3:P3"/>
    <mergeCell ref="A5:P5"/>
  </mergeCells>
  <printOptions horizontalCentered="1" verticalCentered="1"/>
  <pageMargins left="0.51181102362204722" right="0.51181102362204722" top="0.31496062992125984" bottom="0" header="0.19685039370078741" footer="0"/>
  <pageSetup paperSize="9" scale="71" orientation="landscape" r:id="rId1"/>
  <headerFooter>
    <oddHeader>&amp;L&amp;"-,Negrito"&amp;14                                                                                                                                            
&amp;C&amp;"-,Negrito"&amp;16                                                   BELA NOVA CONSTRUTORA LTDA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9"/>
  </sheetPr>
  <dimension ref="A1:T60"/>
  <sheetViews>
    <sheetView tabSelected="1" topLeftCell="A16" zoomScale="85" zoomScaleNormal="85" workbookViewId="0">
      <pane xSplit="1" topLeftCell="H1" activePane="topRight" state="frozen"/>
      <selection activeCell="E21" sqref="E21"/>
      <selection pane="topRight" activeCell="H19" sqref="H19"/>
    </sheetView>
  </sheetViews>
  <sheetFormatPr defaultRowHeight="15" x14ac:dyDescent="0.25"/>
  <cols>
    <col min="1" max="1" width="61.5703125" bestFit="1" customWidth="1"/>
    <col min="2" max="8" width="16.7109375" customWidth="1"/>
    <col min="9" max="14" width="16.7109375" hidden="1" customWidth="1"/>
    <col min="15" max="15" width="16.140625" customWidth="1"/>
    <col min="16" max="16" width="11" bestFit="1" customWidth="1"/>
    <col min="18" max="18" width="17" bestFit="1" customWidth="1"/>
    <col min="19" max="19" width="13.42578125" bestFit="1" customWidth="1"/>
    <col min="20" max="20" width="16" bestFit="1" customWidth="1"/>
  </cols>
  <sheetData>
    <row r="1" spans="1:20" ht="15.75" x14ac:dyDescent="0.25">
      <c r="A1" s="203" t="s">
        <v>186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20" ht="11.25" customHeight="1" x14ac:dyDescent="0.25">
      <c r="A2" s="108"/>
    </row>
    <row r="3" spans="1:20" ht="15.75" x14ac:dyDescent="0.25">
      <c r="A3" s="203" t="s">
        <v>300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</row>
    <row r="4" spans="1:20" ht="10.5" customHeight="1" x14ac:dyDescent="0.25">
      <c r="A4" s="108"/>
    </row>
    <row r="5" spans="1:20" ht="13.5" customHeight="1" x14ac:dyDescent="0.25">
      <c r="A5" s="209" t="s">
        <v>292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R5" s="177"/>
      <c r="S5" s="86"/>
      <c r="T5" s="86"/>
    </row>
    <row r="6" spans="1:20" ht="10.5" customHeight="1" x14ac:dyDescent="0.25">
      <c r="A6" s="110"/>
      <c r="R6" s="177"/>
      <c r="S6" s="86"/>
      <c r="T6" s="86"/>
    </row>
    <row r="7" spans="1:20" x14ac:dyDescent="0.25">
      <c r="A7" s="111"/>
      <c r="B7" s="60" t="s">
        <v>220</v>
      </c>
      <c r="C7" s="60" t="s">
        <v>304</v>
      </c>
      <c r="D7" s="60" t="s">
        <v>305</v>
      </c>
      <c r="E7" s="60" t="s">
        <v>306</v>
      </c>
      <c r="F7" s="60" t="s">
        <v>307</v>
      </c>
      <c r="G7" s="60" t="s">
        <v>308</v>
      </c>
      <c r="H7" s="60" t="s">
        <v>309</v>
      </c>
      <c r="I7" s="60" t="s">
        <v>310</v>
      </c>
      <c r="J7" s="60" t="s">
        <v>311</v>
      </c>
      <c r="K7" s="60" t="s">
        <v>312</v>
      </c>
      <c r="L7" s="60" t="s">
        <v>313</v>
      </c>
      <c r="M7" s="60" t="s">
        <v>314</v>
      </c>
      <c r="N7" s="60" t="s">
        <v>225</v>
      </c>
      <c r="O7" s="113" t="s">
        <v>1</v>
      </c>
      <c r="P7" s="158" t="s">
        <v>2</v>
      </c>
    </row>
    <row r="8" spans="1:20" x14ac:dyDescent="0.25">
      <c r="A8" s="114" t="s">
        <v>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6"/>
      <c r="P8" s="159"/>
    </row>
    <row r="9" spans="1:20" x14ac:dyDescent="0.25">
      <c r="A9" s="117" t="s">
        <v>4</v>
      </c>
      <c r="B9" s="118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  <c r="O9" s="119">
        <f>SUM(B9:N9)</f>
        <v>0</v>
      </c>
      <c r="P9" s="21">
        <v>1</v>
      </c>
      <c r="R9" s="98">
        <f>SUM(B9:N9)</f>
        <v>0</v>
      </c>
      <c r="S9" s="98">
        <f>R9-O9</f>
        <v>0</v>
      </c>
    </row>
    <row r="10" spans="1:20" x14ac:dyDescent="0.25">
      <c r="A10" s="114" t="s">
        <v>5</v>
      </c>
      <c r="B10" s="118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  <c r="O10" s="119">
        <f>SUM(B10:N10)</f>
        <v>0</v>
      </c>
      <c r="P10" s="21"/>
      <c r="R10" s="98">
        <f t="shared" ref="R10:R52" si="0">SUM(B10:N10)</f>
        <v>0</v>
      </c>
      <c r="S10" s="98">
        <f t="shared" ref="S10:S52" si="1">R10-O10</f>
        <v>0</v>
      </c>
    </row>
    <row r="11" spans="1:20" x14ac:dyDescent="0.25">
      <c r="A11" s="121" t="s">
        <v>6</v>
      </c>
      <c r="B11" s="122">
        <f>SUM(B9:B10)</f>
        <v>0</v>
      </c>
      <c r="C11" s="122">
        <f t="shared" ref="C11:M11" si="2">SUM(C9:C10)</f>
        <v>0</v>
      </c>
      <c r="D11" s="122">
        <f t="shared" si="2"/>
        <v>0</v>
      </c>
      <c r="E11" s="122">
        <f t="shared" si="2"/>
        <v>0</v>
      </c>
      <c r="F11" s="122">
        <f t="shared" si="2"/>
        <v>0</v>
      </c>
      <c r="G11" s="122">
        <f t="shared" si="2"/>
        <v>0</v>
      </c>
      <c r="H11" s="122">
        <f t="shared" si="2"/>
        <v>0</v>
      </c>
      <c r="I11" s="122">
        <f t="shared" si="2"/>
        <v>0</v>
      </c>
      <c r="J11" s="122">
        <f t="shared" si="2"/>
        <v>0</v>
      </c>
      <c r="K11" s="122">
        <f t="shared" si="2"/>
        <v>0</v>
      </c>
      <c r="L11" s="122">
        <f t="shared" si="2"/>
        <v>0</v>
      </c>
      <c r="M11" s="122">
        <f t="shared" si="2"/>
        <v>0</v>
      </c>
      <c r="N11" s="122">
        <f>SUM(N9:N10)</f>
        <v>0</v>
      </c>
      <c r="O11" s="122">
        <f>SUM(O9:O10)</f>
        <v>0</v>
      </c>
      <c r="P11" s="21">
        <v>1</v>
      </c>
      <c r="R11" s="98">
        <f t="shared" si="0"/>
        <v>0</v>
      </c>
      <c r="S11" s="98">
        <f t="shared" si="1"/>
        <v>0</v>
      </c>
    </row>
    <row r="12" spans="1:20" x14ac:dyDescent="0.25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5"/>
      <c r="P12" s="160"/>
      <c r="R12" s="98">
        <f t="shared" si="0"/>
        <v>0</v>
      </c>
      <c r="S12" s="98">
        <f t="shared" si="1"/>
        <v>0</v>
      </c>
    </row>
    <row r="13" spans="1:20" x14ac:dyDescent="0.25">
      <c r="A13" s="126" t="s">
        <v>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/>
      <c r="P13" s="161"/>
      <c r="R13" s="98">
        <f t="shared" si="0"/>
        <v>0</v>
      </c>
      <c r="S13" s="98">
        <f t="shared" si="1"/>
        <v>0</v>
      </c>
    </row>
    <row r="14" spans="1:20" x14ac:dyDescent="0.25">
      <c r="A14" s="114" t="s">
        <v>8</v>
      </c>
      <c r="B14" s="128">
        <v>30.14</v>
      </c>
      <c r="C14" s="128">
        <v>-873.72</v>
      </c>
      <c r="D14" s="128">
        <v>-898.07</v>
      </c>
      <c r="E14" s="128">
        <v>-1715.81</v>
      </c>
      <c r="F14" s="128">
        <v>-2455.4</v>
      </c>
      <c r="G14" s="128">
        <v>-2782</v>
      </c>
      <c r="H14" s="128">
        <v>0</v>
      </c>
      <c r="I14" s="128">
        <v>0</v>
      </c>
      <c r="J14" s="128">
        <v>0</v>
      </c>
      <c r="K14" s="128">
        <v>0</v>
      </c>
      <c r="L14" s="128">
        <v>0</v>
      </c>
      <c r="M14" s="128">
        <v>0</v>
      </c>
      <c r="N14" s="128">
        <v>0</v>
      </c>
      <c r="O14" s="119">
        <f>SUM(B14:N14)</f>
        <v>-8694.86</v>
      </c>
      <c r="P14" s="21"/>
      <c r="R14" s="98">
        <f t="shared" si="0"/>
        <v>-8694.86</v>
      </c>
      <c r="S14" s="98">
        <f t="shared" si="1"/>
        <v>0</v>
      </c>
    </row>
    <row r="15" spans="1:20" x14ac:dyDescent="0.25">
      <c r="A15" s="129" t="s">
        <v>9</v>
      </c>
      <c r="B15" s="128">
        <v>0</v>
      </c>
      <c r="C15" s="128">
        <v>0</v>
      </c>
      <c r="D15" s="128">
        <v>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0</v>
      </c>
      <c r="L15" s="128">
        <v>0</v>
      </c>
      <c r="M15" s="128">
        <v>0</v>
      </c>
      <c r="N15" s="128">
        <v>0</v>
      </c>
      <c r="O15" s="119">
        <f t="shared" ref="O15:O39" si="3">SUM(B15:N15)</f>
        <v>0</v>
      </c>
      <c r="P15" s="21"/>
      <c r="R15" s="98">
        <f t="shared" si="0"/>
        <v>0</v>
      </c>
      <c r="S15" s="98">
        <f t="shared" si="1"/>
        <v>0</v>
      </c>
    </row>
    <row r="16" spans="1:20" x14ac:dyDescent="0.25">
      <c r="A16" s="114" t="s">
        <v>10</v>
      </c>
      <c r="B16" s="128">
        <v>0</v>
      </c>
      <c r="C16" s="128">
        <v>0</v>
      </c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28">
        <v>0</v>
      </c>
      <c r="O16" s="119">
        <f t="shared" si="3"/>
        <v>0</v>
      </c>
      <c r="P16" s="21"/>
      <c r="R16" s="98">
        <f t="shared" si="0"/>
        <v>0</v>
      </c>
      <c r="S16" s="98">
        <f t="shared" si="1"/>
        <v>0</v>
      </c>
    </row>
    <row r="17" spans="1:19" x14ac:dyDescent="0.25">
      <c r="A17" s="129" t="s">
        <v>11</v>
      </c>
      <c r="B17" s="128">
        <v>0</v>
      </c>
      <c r="C17" s="128">
        <v>-69.8</v>
      </c>
      <c r="D17" s="128">
        <v>0</v>
      </c>
      <c r="E17" s="128">
        <v>0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28">
        <v>0</v>
      </c>
      <c r="O17" s="119">
        <f t="shared" si="3"/>
        <v>-69.8</v>
      </c>
      <c r="P17" s="21"/>
      <c r="R17" s="98">
        <f t="shared" si="0"/>
        <v>-69.8</v>
      </c>
      <c r="S17" s="98">
        <f t="shared" si="1"/>
        <v>0</v>
      </c>
    </row>
    <row r="18" spans="1:19" x14ac:dyDescent="0.25">
      <c r="A18" s="114" t="s">
        <v>12</v>
      </c>
      <c r="B18" s="128">
        <v>-631.41999999999996</v>
      </c>
      <c r="C18" s="128">
        <v>0</v>
      </c>
      <c r="D18" s="128">
        <v>-1323.64</v>
      </c>
      <c r="E18" s="128">
        <v>-1731.69</v>
      </c>
      <c r="F18" s="128">
        <v>-2016.32</v>
      </c>
      <c r="G18" s="128">
        <v>-1755.98</v>
      </c>
      <c r="H18" s="128">
        <v>-2087.7199999999998</v>
      </c>
      <c r="I18" s="128">
        <v>0</v>
      </c>
      <c r="J18" s="128">
        <v>0</v>
      </c>
      <c r="K18" s="128">
        <v>0</v>
      </c>
      <c r="L18" s="128">
        <v>0</v>
      </c>
      <c r="M18" s="128">
        <v>0</v>
      </c>
      <c r="N18" s="128">
        <v>0</v>
      </c>
      <c r="O18" s="119">
        <f t="shared" si="3"/>
        <v>-9546.7699999999986</v>
      </c>
      <c r="P18" s="21"/>
      <c r="R18" s="98">
        <f t="shared" si="0"/>
        <v>-9546.7699999999986</v>
      </c>
      <c r="S18" s="98">
        <f t="shared" si="1"/>
        <v>0</v>
      </c>
    </row>
    <row r="19" spans="1:19" x14ac:dyDescent="0.25">
      <c r="A19" s="114" t="s">
        <v>13</v>
      </c>
      <c r="B19" s="128">
        <v>-385.54</v>
      </c>
      <c r="C19" s="128">
        <v>-23.34</v>
      </c>
      <c r="D19" s="128">
        <v>-762.17</v>
      </c>
      <c r="E19" s="128">
        <v>-1068.51</v>
      </c>
      <c r="F19" s="128">
        <v>-1124.8900000000001</v>
      </c>
      <c r="G19" s="128">
        <v>-1145.6500000000001</v>
      </c>
      <c r="H19" s="128">
        <v>0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  <c r="N19" s="128">
        <v>0</v>
      </c>
      <c r="O19" s="119">
        <f t="shared" si="3"/>
        <v>-4510.1000000000004</v>
      </c>
      <c r="P19" s="21"/>
      <c r="R19" s="98">
        <f t="shared" si="0"/>
        <v>-4510.1000000000004</v>
      </c>
      <c r="S19" s="98">
        <f t="shared" si="1"/>
        <v>0</v>
      </c>
    </row>
    <row r="20" spans="1:19" x14ac:dyDescent="0.25">
      <c r="A20" s="114" t="s">
        <v>14</v>
      </c>
      <c r="B20" s="128">
        <v>-220.29</v>
      </c>
      <c r="C20" s="128">
        <v>0</v>
      </c>
      <c r="D20" s="128">
        <v>0</v>
      </c>
      <c r="E20" s="128">
        <v>-613.1</v>
      </c>
      <c r="F20" s="128">
        <v>-519.87</v>
      </c>
      <c r="G20" s="128">
        <v>-810.17</v>
      </c>
      <c r="H20" s="128">
        <v>0</v>
      </c>
      <c r="I20" s="128">
        <v>0</v>
      </c>
      <c r="J20" s="128">
        <v>0</v>
      </c>
      <c r="K20" s="128">
        <v>0</v>
      </c>
      <c r="L20" s="128">
        <v>0</v>
      </c>
      <c r="M20" s="128">
        <v>0</v>
      </c>
      <c r="N20" s="128">
        <v>0</v>
      </c>
      <c r="O20" s="119">
        <f t="shared" si="3"/>
        <v>-2163.4299999999998</v>
      </c>
      <c r="P20" s="21"/>
      <c r="R20" s="98">
        <f t="shared" si="0"/>
        <v>-2163.4299999999998</v>
      </c>
      <c r="S20" s="98">
        <f t="shared" si="1"/>
        <v>0</v>
      </c>
    </row>
    <row r="21" spans="1:19" x14ac:dyDescent="0.25">
      <c r="A21" s="114" t="s">
        <v>15</v>
      </c>
      <c r="B21" s="128">
        <v>0</v>
      </c>
      <c r="C21" s="128">
        <v>0</v>
      </c>
      <c r="D21" s="128">
        <v>0</v>
      </c>
      <c r="E21" s="128">
        <v>0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28">
        <v>0</v>
      </c>
      <c r="N21" s="128">
        <v>0</v>
      </c>
      <c r="O21" s="119">
        <f t="shared" si="3"/>
        <v>0</v>
      </c>
      <c r="P21" s="21"/>
      <c r="R21" s="98">
        <f t="shared" si="0"/>
        <v>0</v>
      </c>
      <c r="S21" s="98">
        <f t="shared" si="1"/>
        <v>0</v>
      </c>
    </row>
    <row r="22" spans="1:19" x14ac:dyDescent="0.25">
      <c r="A22" s="114" t="s">
        <v>16</v>
      </c>
      <c r="B22" s="128">
        <v>0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19">
        <f t="shared" si="3"/>
        <v>0</v>
      </c>
      <c r="P22" s="21"/>
      <c r="R22" s="98">
        <f t="shared" si="0"/>
        <v>0</v>
      </c>
      <c r="S22" s="98">
        <f t="shared" si="1"/>
        <v>0</v>
      </c>
    </row>
    <row r="23" spans="1:19" x14ac:dyDescent="0.25">
      <c r="A23" s="114" t="s">
        <v>17</v>
      </c>
      <c r="B23" s="128">
        <v>-709.54</v>
      </c>
      <c r="C23" s="128">
        <v>-454.1</v>
      </c>
      <c r="D23" s="128">
        <v>-1894.98</v>
      </c>
      <c r="E23" s="128">
        <v>-2761.39</v>
      </c>
      <c r="F23" s="128">
        <v>-3024.53</v>
      </c>
      <c r="G23" s="128">
        <v>-3022.24</v>
      </c>
      <c r="H23" s="128">
        <v>0</v>
      </c>
      <c r="I23" s="128">
        <v>0</v>
      </c>
      <c r="J23" s="128">
        <v>0</v>
      </c>
      <c r="K23" s="128">
        <v>0</v>
      </c>
      <c r="L23" s="128">
        <v>0</v>
      </c>
      <c r="M23" s="128">
        <v>0</v>
      </c>
      <c r="N23" s="128">
        <v>0</v>
      </c>
      <c r="O23" s="119">
        <f t="shared" si="3"/>
        <v>-11866.78</v>
      </c>
      <c r="P23" s="21"/>
      <c r="R23" s="98">
        <f t="shared" si="0"/>
        <v>-11866.78</v>
      </c>
      <c r="S23" s="98">
        <f t="shared" si="1"/>
        <v>0</v>
      </c>
    </row>
    <row r="24" spans="1:19" x14ac:dyDescent="0.25">
      <c r="A24" s="114" t="s">
        <v>18</v>
      </c>
      <c r="B24" s="128">
        <v>0</v>
      </c>
      <c r="C24" s="128">
        <v>0</v>
      </c>
      <c r="D24" s="128">
        <v>0</v>
      </c>
      <c r="E24" s="128">
        <v>0</v>
      </c>
      <c r="F24" s="128">
        <v>0</v>
      </c>
      <c r="G24" s="128">
        <v>0</v>
      </c>
      <c r="H24" s="128">
        <v>0</v>
      </c>
      <c r="I24" s="128">
        <v>0</v>
      </c>
      <c r="J24" s="128">
        <v>0</v>
      </c>
      <c r="K24" s="128">
        <v>0</v>
      </c>
      <c r="L24" s="128">
        <v>0</v>
      </c>
      <c r="M24" s="128">
        <v>0</v>
      </c>
      <c r="N24" s="128">
        <v>0</v>
      </c>
      <c r="O24" s="119">
        <f t="shared" si="3"/>
        <v>0</v>
      </c>
      <c r="P24" s="21"/>
      <c r="R24" s="98">
        <f t="shared" si="0"/>
        <v>0</v>
      </c>
      <c r="S24" s="98">
        <f t="shared" si="1"/>
        <v>0</v>
      </c>
    </row>
    <row r="25" spans="1:19" x14ac:dyDescent="0.25">
      <c r="A25" s="114" t="s">
        <v>19</v>
      </c>
      <c r="B25" s="128">
        <v>0</v>
      </c>
      <c r="C25" s="128">
        <v>0</v>
      </c>
      <c r="D25" s="128">
        <v>0</v>
      </c>
      <c r="E25" s="128">
        <v>0</v>
      </c>
      <c r="F25" s="128">
        <v>0</v>
      </c>
      <c r="G25" s="128">
        <v>0</v>
      </c>
      <c r="H25" s="128">
        <v>0</v>
      </c>
      <c r="I25" s="128">
        <v>0</v>
      </c>
      <c r="J25" s="128">
        <v>0</v>
      </c>
      <c r="K25" s="128">
        <v>0</v>
      </c>
      <c r="L25" s="128">
        <v>0</v>
      </c>
      <c r="M25" s="128">
        <v>0</v>
      </c>
      <c r="N25" s="128">
        <v>0</v>
      </c>
      <c r="O25" s="119">
        <f t="shared" si="3"/>
        <v>0</v>
      </c>
      <c r="P25" s="21"/>
      <c r="R25" s="98">
        <f t="shared" si="0"/>
        <v>0</v>
      </c>
      <c r="S25" s="98">
        <f t="shared" si="1"/>
        <v>0</v>
      </c>
    </row>
    <row r="26" spans="1:19" x14ac:dyDescent="0.25">
      <c r="A26" s="114" t="s">
        <v>20</v>
      </c>
      <c r="B26" s="128">
        <v>0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28">
        <v>0</v>
      </c>
      <c r="L26" s="128">
        <v>0</v>
      </c>
      <c r="M26" s="128">
        <v>0</v>
      </c>
      <c r="N26" s="128">
        <v>0</v>
      </c>
      <c r="O26" s="119">
        <f t="shared" si="3"/>
        <v>0</v>
      </c>
      <c r="P26" s="21"/>
      <c r="R26" s="98">
        <f t="shared" si="0"/>
        <v>0</v>
      </c>
      <c r="S26" s="98">
        <f t="shared" si="1"/>
        <v>0</v>
      </c>
    </row>
    <row r="27" spans="1:19" x14ac:dyDescent="0.25">
      <c r="A27" s="114" t="s">
        <v>59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28">
        <v>0</v>
      </c>
      <c r="L27" s="128">
        <v>0</v>
      </c>
      <c r="M27" s="128">
        <v>0</v>
      </c>
      <c r="N27" s="128">
        <v>0</v>
      </c>
      <c r="O27" s="119">
        <f t="shared" si="3"/>
        <v>0</v>
      </c>
      <c r="P27" s="21"/>
      <c r="R27" s="98">
        <f t="shared" si="0"/>
        <v>0</v>
      </c>
      <c r="S27" s="98">
        <f t="shared" si="1"/>
        <v>0</v>
      </c>
    </row>
    <row r="28" spans="1:19" x14ac:dyDescent="0.25">
      <c r="A28" s="114" t="s">
        <v>21</v>
      </c>
      <c r="B28" s="128">
        <v>0</v>
      </c>
      <c r="C28" s="128">
        <v>0</v>
      </c>
      <c r="D28" s="128">
        <v>0</v>
      </c>
      <c r="E28" s="128">
        <v>-135</v>
      </c>
      <c r="F28" s="128">
        <v>-135</v>
      </c>
      <c r="G28" s="128">
        <v>-135</v>
      </c>
      <c r="H28" s="128">
        <v>0</v>
      </c>
      <c r="I28" s="128">
        <v>0</v>
      </c>
      <c r="J28" s="128">
        <v>0</v>
      </c>
      <c r="K28" s="128">
        <v>0</v>
      </c>
      <c r="L28" s="128">
        <v>0</v>
      </c>
      <c r="M28" s="128">
        <v>0</v>
      </c>
      <c r="N28" s="128">
        <v>0</v>
      </c>
      <c r="O28" s="119">
        <f t="shared" si="3"/>
        <v>-405</v>
      </c>
      <c r="P28" s="21"/>
      <c r="R28" s="98">
        <f t="shared" si="0"/>
        <v>-405</v>
      </c>
      <c r="S28" s="98">
        <f t="shared" si="1"/>
        <v>0</v>
      </c>
    </row>
    <row r="29" spans="1:19" x14ac:dyDescent="0.25">
      <c r="A29" s="114" t="s">
        <v>22</v>
      </c>
      <c r="B29" s="128">
        <v>0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28">
        <v>0</v>
      </c>
      <c r="O29" s="119">
        <f t="shared" si="3"/>
        <v>0</v>
      </c>
      <c r="P29" s="21"/>
      <c r="R29" s="98">
        <f t="shared" si="0"/>
        <v>0</v>
      </c>
      <c r="S29" s="98">
        <f t="shared" si="1"/>
        <v>0</v>
      </c>
    </row>
    <row r="30" spans="1:19" x14ac:dyDescent="0.25">
      <c r="A30" s="129" t="s">
        <v>23</v>
      </c>
      <c r="B30" s="128">
        <v>0</v>
      </c>
      <c r="C30" s="128">
        <v>0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8">
        <v>0</v>
      </c>
      <c r="K30" s="128">
        <v>0</v>
      </c>
      <c r="L30" s="128">
        <v>0</v>
      </c>
      <c r="M30" s="128">
        <v>0</v>
      </c>
      <c r="N30" s="128">
        <v>0</v>
      </c>
      <c r="O30" s="119">
        <f t="shared" si="3"/>
        <v>0</v>
      </c>
      <c r="P30" s="21"/>
      <c r="R30" s="98">
        <f t="shared" si="0"/>
        <v>0</v>
      </c>
      <c r="S30" s="98">
        <f t="shared" si="1"/>
        <v>0</v>
      </c>
    </row>
    <row r="31" spans="1:19" x14ac:dyDescent="0.25">
      <c r="A31" s="114" t="s">
        <v>24</v>
      </c>
      <c r="B31" s="128">
        <v>0</v>
      </c>
      <c r="C31" s="128">
        <v>0</v>
      </c>
      <c r="D31" s="128">
        <v>-14208</v>
      </c>
      <c r="E31" s="128">
        <v>-24385</v>
      </c>
      <c r="F31" s="128">
        <v>-14048</v>
      </c>
      <c r="G31" s="128">
        <v>-17247</v>
      </c>
      <c r="H31" s="128">
        <v>-16984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28">
        <v>0</v>
      </c>
      <c r="O31" s="119">
        <f t="shared" si="3"/>
        <v>-86872</v>
      </c>
      <c r="P31" s="21"/>
      <c r="R31" s="98">
        <f t="shared" si="0"/>
        <v>-86872</v>
      </c>
      <c r="S31" s="98">
        <f t="shared" si="1"/>
        <v>0</v>
      </c>
    </row>
    <row r="32" spans="1:19" x14ac:dyDescent="0.25">
      <c r="A32" s="130" t="s">
        <v>25</v>
      </c>
      <c r="B32" s="128">
        <v>-4597.8599999999997</v>
      </c>
      <c r="C32" s="128">
        <v>-293.82</v>
      </c>
      <c r="D32" s="128">
        <v>-9527.2099999999991</v>
      </c>
      <c r="E32" s="128">
        <v>-12159.34</v>
      </c>
      <c r="F32" s="128">
        <v>-12910.34</v>
      </c>
      <c r="G32" s="128">
        <v>-13568.55</v>
      </c>
      <c r="H32" s="128">
        <v>-15436.75</v>
      </c>
      <c r="I32" s="128">
        <v>0</v>
      </c>
      <c r="J32" s="128">
        <v>0</v>
      </c>
      <c r="K32" s="128">
        <v>0</v>
      </c>
      <c r="L32" s="128">
        <v>0</v>
      </c>
      <c r="M32" s="128">
        <v>0</v>
      </c>
      <c r="N32" s="128">
        <v>0</v>
      </c>
      <c r="O32" s="119">
        <f t="shared" si="3"/>
        <v>-68493.87</v>
      </c>
      <c r="P32" s="21"/>
      <c r="R32" s="98">
        <f t="shared" si="0"/>
        <v>-68493.87</v>
      </c>
      <c r="S32" s="98">
        <f t="shared" si="1"/>
        <v>0</v>
      </c>
    </row>
    <row r="33" spans="1:19" x14ac:dyDescent="0.25">
      <c r="A33" s="114" t="s">
        <v>26</v>
      </c>
      <c r="B33" s="128">
        <v>0</v>
      </c>
      <c r="C33" s="128">
        <v>0</v>
      </c>
      <c r="D33" s="128">
        <v>0</v>
      </c>
      <c r="E33" s="128">
        <v>0</v>
      </c>
      <c r="F33" s="128">
        <v>0</v>
      </c>
      <c r="G33" s="128">
        <v>0</v>
      </c>
      <c r="H33" s="128">
        <v>0</v>
      </c>
      <c r="I33" s="128">
        <v>0</v>
      </c>
      <c r="J33" s="128">
        <v>0</v>
      </c>
      <c r="K33" s="128">
        <v>0</v>
      </c>
      <c r="L33" s="128">
        <v>0</v>
      </c>
      <c r="M33" s="128">
        <v>0</v>
      </c>
      <c r="N33" s="128">
        <v>0</v>
      </c>
      <c r="O33" s="119">
        <f t="shared" si="3"/>
        <v>0</v>
      </c>
      <c r="P33" s="21"/>
      <c r="R33" s="98">
        <f t="shared" si="0"/>
        <v>0</v>
      </c>
      <c r="S33" s="98">
        <f t="shared" si="1"/>
        <v>0</v>
      </c>
    </row>
    <row r="34" spans="1:19" x14ac:dyDescent="0.25">
      <c r="A34" s="114" t="s">
        <v>27</v>
      </c>
      <c r="B34" s="128">
        <v>0</v>
      </c>
      <c r="C34" s="128">
        <v>0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19">
        <f t="shared" si="3"/>
        <v>0</v>
      </c>
      <c r="P34" s="21"/>
      <c r="R34" s="98">
        <f t="shared" si="0"/>
        <v>0</v>
      </c>
      <c r="S34" s="98">
        <f t="shared" si="1"/>
        <v>0</v>
      </c>
    </row>
    <row r="35" spans="1:19" x14ac:dyDescent="0.25">
      <c r="A35" s="129" t="s">
        <v>28</v>
      </c>
      <c r="B35" s="128">
        <v>0</v>
      </c>
      <c r="C35" s="128">
        <v>0</v>
      </c>
      <c r="D35" s="128">
        <v>0</v>
      </c>
      <c r="E35" s="128">
        <v>0</v>
      </c>
      <c r="F35" s="128">
        <v>0</v>
      </c>
      <c r="G35" s="128">
        <v>0</v>
      </c>
      <c r="H35" s="128">
        <v>0</v>
      </c>
      <c r="I35" s="128">
        <v>0</v>
      </c>
      <c r="J35" s="128">
        <v>0</v>
      </c>
      <c r="K35" s="128">
        <v>0</v>
      </c>
      <c r="L35" s="128">
        <v>0</v>
      </c>
      <c r="M35" s="128">
        <v>0</v>
      </c>
      <c r="N35" s="128">
        <v>0</v>
      </c>
      <c r="O35" s="119">
        <f t="shared" si="3"/>
        <v>0</v>
      </c>
      <c r="P35" s="21"/>
      <c r="R35" s="98">
        <f t="shared" si="0"/>
        <v>0</v>
      </c>
      <c r="S35" s="98">
        <f t="shared" si="1"/>
        <v>0</v>
      </c>
    </row>
    <row r="36" spans="1:19" x14ac:dyDescent="0.25">
      <c r="A36" s="114" t="s">
        <v>29</v>
      </c>
      <c r="B36" s="128">
        <v>-82.51</v>
      </c>
      <c r="C36" s="128">
        <v>-525.28</v>
      </c>
      <c r="D36" s="128">
        <v>-779.07</v>
      </c>
      <c r="E36" s="128">
        <v>-617.36</v>
      </c>
      <c r="F36" s="128">
        <v>-820.57</v>
      </c>
      <c r="G36" s="128">
        <v>-1440.55</v>
      </c>
      <c r="H36" s="128">
        <v>0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28">
        <v>0</v>
      </c>
      <c r="O36" s="119">
        <f t="shared" si="3"/>
        <v>-4265.34</v>
      </c>
      <c r="P36" s="21"/>
      <c r="R36" s="98">
        <f t="shared" si="0"/>
        <v>-4265.34</v>
      </c>
      <c r="S36" s="98">
        <f t="shared" si="1"/>
        <v>0</v>
      </c>
    </row>
    <row r="37" spans="1:19" x14ac:dyDescent="0.25">
      <c r="A37" s="15" t="s">
        <v>276</v>
      </c>
      <c r="B37" s="128">
        <v>-182.32</v>
      </c>
      <c r="C37" s="128">
        <v>0</v>
      </c>
      <c r="D37" s="128">
        <v>-992.73</v>
      </c>
      <c r="E37" s="128">
        <v>-1298.77</v>
      </c>
      <c r="F37" s="128">
        <v>-1512.24</v>
      </c>
      <c r="G37" s="128">
        <v>-1316.99</v>
      </c>
      <c r="H37" s="128">
        <v>-1790.25</v>
      </c>
      <c r="I37" s="128">
        <v>0</v>
      </c>
      <c r="J37" s="128">
        <v>0</v>
      </c>
      <c r="K37" s="128">
        <v>0</v>
      </c>
      <c r="L37" s="128">
        <v>0</v>
      </c>
      <c r="M37" s="128">
        <v>0</v>
      </c>
      <c r="N37" s="128">
        <v>0</v>
      </c>
      <c r="O37" s="119">
        <f t="shared" si="3"/>
        <v>-7093.2999999999993</v>
      </c>
      <c r="P37" s="21"/>
      <c r="R37" s="98">
        <f t="shared" si="0"/>
        <v>-7093.2999999999993</v>
      </c>
      <c r="S37" s="98">
        <f t="shared" si="1"/>
        <v>0</v>
      </c>
    </row>
    <row r="38" spans="1:19" x14ac:dyDescent="0.25">
      <c r="A38" s="114" t="s">
        <v>97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28">
        <v>0</v>
      </c>
      <c r="N38" s="128">
        <v>0</v>
      </c>
      <c r="O38" s="119">
        <f t="shared" si="3"/>
        <v>0</v>
      </c>
      <c r="P38" s="21"/>
      <c r="R38" s="98">
        <f t="shared" si="0"/>
        <v>0</v>
      </c>
      <c r="S38" s="98">
        <f t="shared" si="1"/>
        <v>0</v>
      </c>
    </row>
    <row r="39" spans="1:19" x14ac:dyDescent="0.25">
      <c r="A39" s="114" t="s">
        <v>114</v>
      </c>
      <c r="B39" s="128">
        <v>0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28">
        <v>0</v>
      </c>
      <c r="O39" s="119">
        <f t="shared" si="3"/>
        <v>0</v>
      </c>
      <c r="P39" s="21"/>
      <c r="R39" s="98">
        <f t="shared" si="0"/>
        <v>0</v>
      </c>
      <c r="S39" s="98">
        <f t="shared" si="1"/>
        <v>0</v>
      </c>
    </row>
    <row r="40" spans="1:19" x14ac:dyDescent="0.25">
      <c r="A40" s="131" t="s">
        <v>31</v>
      </c>
      <c r="B40" s="132">
        <f t="shared" ref="B40:N40" si="4">SUM(B14:B39)</f>
        <v>-6779.3399999999992</v>
      </c>
      <c r="C40" s="132">
        <f t="shared" ref="C40:M40" si="5">SUM(C14:C39)</f>
        <v>-2240.06</v>
      </c>
      <c r="D40" s="132">
        <f t="shared" si="5"/>
        <v>-30385.87</v>
      </c>
      <c r="E40" s="132">
        <f t="shared" si="5"/>
        <v>-46485.969999999994</v>
      </c>
      <c r="F40" s="132">
        <f t="shared" si="5"/>
        <v>-38567.160000000003</v>
      </c>
      <c r="G40" s="132">
        <f t="shared" si="5"/>
        <v>-43224.13</v>
      </c>
      <c r="H40" s="132">
        <f t="shared" si="5"/>
        <v>-36298.720000000001</v>
      </c>
      <c r="I40" s="132">
        <f t="shared" si="5"/>
        <v>0</v>
      </c>
      <c r="J40" s="132">
        <f t="shared" si="5"/>
        <v>0</v>
      </c>
      <c r="K40" s="132">
        <f t="shared" si="5"/>
        <v>0</v>
      </c>
      <c r="L40" s="132">
        <f t="shared" si="5"/>
        <v>0</v>
      </c>
      <c r="M40" s="132">
        <f t="shared" si="5"/>
        <v>0</v>
      </c>
      <c r="N40" s="132">
        <f t="shared" si="4"/>
        <v>0</v>
      </c>
      <c r="O40" s="132">
        <f>SUM(O14:O39)</f>
        <v>-203981.24999999997</v>
      </c>
      <c r="P40" s="21"/>
      <c r="R40" s="98">
        <f t="shared" si="0"/>
        <v>-203981.25</v>
      </c>
      <c r="S40" s="98">
        <f t="shared" si="1"/>
        <v>0</v>
      </c>
    </row>
    <row r="41" spans="1:19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25"/>
      <c r="P41" s="159"/>
      <c r="R41" s="98">
        <f t="shared" si="0"/>
        <v>0</v>
      </c>
      <c r="S41" s="98">
        <f t="shared" si="1"/>
        <v>0</v>
      </c>
    </row>
    <row r="42" spans="1:19" x14ac:dyDescent="0.25">
      <c r="A42" s="135" t="s">
        <v>32</v>
      </c>
      <c r="B42" s="136">
        <f>B11+B40</f>
        <v>-6779.3399999999992</v>
      </c>
      <c r="C42" s="136">
        <f t="shared" ref="C42:M42" si="6">C11+C40</f>
        <v>-2240.06</v>
      </c>
      <c r="D42" s="136">
        <f t="shared" si="6"/>
        <v>-30385.87</v>
      </c>
      <c r="E42" s="136">
        <f t="shared" si="6"/>
        <v>-46485.969999999994</v>
      </c>
      <c r="F42" s="136">
        <f t="shared" si="6"/>
        <v>-38567.160000000003</v>
      </c>
      <c r="G42" s="136">
        <f t="shared" si="6"/>
        <v>-43224.13</v>
      </c>
      <c r="H42" s="136">
        <f t="shared" si="6"/>
        <v>-36298.720000000001</v>
      </c>
      <c r="I42" s="136">
        <f t="shared" si="6"/>
        <v>0</v>
      </c>
      <c r="J42" s="136">
        <f t="shared" si="6"/>
        <v>0</v>
      </c>
      <c r="K42" s="136">
        <f t="shared" si="6"/>
        <v>0</v>
      </c>
      <c r="L42" s="136">
        <f t="shared" si="6"/>
        <v>0</v>
      </c>
      <c r="M42" s="136">
        <f t="shared" si="6"/>
        <v>0</v>
      </c>
      <c r="N42" s="136">
        <f>N11+N40</f>
        <v>0</v>
      </c>
      <c r="O42" s="157">
        <f>SUM(B42:N42)</f>
        <v>-203981.25</v>
      </c>
      <c r="P42" s="21"/>
      <c r="R42" s="98">
        <f t="shared" si="0"/>
        <v>-203981.25</v>
      </c>
      <c r="S42" s="98">
        <f t="shared" si="1"/>
        <v>0</v>
      </c>
    </row>
    <row r="43" spans="1:19" x14ac:dyDescent="0.25">
      <c r="A43" s="13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62"/>
      <c r="R43" s="98">
        <f t="shared" si="0"/>
        <v>0</v>
      </c>
      <c r="S43" s="98">
        <f t="shared" si="1"/>
        <v>0</v>
      </c>
    </row>
    <row r="44" spans="1:19" x14ac:dyDescent="0.25">
      <c r="A44" s="126" t="s">
        <v>56</v>
      </c>
      <c r="B44" s="139">
        <f t="shared" ref="B44:N44" si="7">-B9*13.15%</f>
        <v>0</v>
      </c>
      <c r="C44" s="139">
        <f t="shared" ref="C44:M44" si="8">-C9*13.15%</f>
        <v>0</v>
      </c>
      <c r="D44" s="139">
        <f t="shared" si="8"/>
        <v>0</v>
      </c>
      <c r="E44" s="139">
        <f t="shared" si="8"/>
        <v>0</v>
      </c>
      <c r="F44" s="139">
        <f t="shared" si="8"/>
        <v>0</v>
      </c>
      <c r="G44" s="139">
        <f t="shared" si="8"/>
        <v>0</v>
      </c>
      <c r="H44" s="139">
        <f t="shared" si="8"/>
        <v>0</v>
      </c>
      <c r="I44" s="139">
        <f t="shared" si="8"/>
        <v>0</v>
      </c>
      <c r="J44" s="139">
        <f t="shared" si="8"/>
        <v>0</v>
      </c>
      <c r="K44" s="139">
        <f t="shared" si="8"/>
        <v>0</v>
      </c>
      <c r="L44" s="139">
        <f t="shared" si="8"/>
        <v>0</v>
      </c>
      <c r="M44" s="139">
        <f t="shared" si="8"/>
        <v>0</v>
      </c>
      <c r="N44" s="139">
        <f t="shared" si="7"/>
        <v>0</v>
      </c>
      <c r="O44" s="119">
        <f t="shared" ref="O44" si="9">SUM(B44:N44)</f>
        <v>0</v>
      </c>
      <c r="P44" s="21"/>
      <c r="R44" s="98">
        <f t="shared" si="0"/>
        <v>0</v>
      </c>
      <c r="S44" s="98">
        <f t="shared" si="1"/>
        <v>0</v>
      </c>
    </row>
    <row r="45" spans="1:19" x14ac:dyDescent="0.25">
      <c r="A45" s="137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62"/>
      <c r="R45" s="98">
        <f t="shared" si="0"/>
        <v>0</v>
      </c>
      <c r="S45" s="98">
        <f t="shared" si="1"/>
        <v>0</v>
      </c>
    </row>
    <row r="46" spans="1:19" x14ac:dyDescent="0.25">
      <c r="A46" s="126" t="s">
        <v>33</v>
      </c>
      <c r="B46" s="139">
        <f t="shared" ref="B46:N46" si="10">-B9*1.22%</f>
        <v>0</v>
      </c>
      <c r="C46" s="139">
        <f t="shared" ref="C46:M46" si="11">-C9*1.22%</f>
        <v>0</v>
      </c>
      <c r="D46" s="139">
        <f t="shared" si="11"/>
        <v>0</v>
      </c>
      <c r="E46" s="139">
        <f t="shared" si="11"/>
        <v>0</v>
      </c>
      <c r="F46" s="139">
        <f t="shared" si="11"/>
        <v>0</v>
      </c>
      <c r="G46" s="139">
        <f t="shared" si="11"/>
        <v>0</v>
      </c>
      <c r="H46" s="139">
        <f t="shared" si="11"/>
        <v>0</v>
      </c>
      <c r="I46" s="139">
        <f t="shared" si="11"/>
        <v>0</v>
      </c>
      <c r="J46" s="139">
        <f t="shared" si="11"/>
        <v>0</v>
      </c>
      <c r="K46" s="139">
        <f t="shared" si="11"/>
        <v>0</v>
      </c>
      <c r="L46" s="139">
        <f t="shared" si="11"/>
        <v>0</v>
      </c>
      <c r="M46" s="139">
        <f t="shared" si="11"/>
        <v>0</v>
      </c>
      <c r="N46" s="139">
        <f t="shared" si="10"/>
        <v>0</v>
      </c>
      <c r="O46" s="119">
        <f t="shared" ref="O46" si="12">SUM(B46:N46)</f>
        <v>0</v>
      </c>
      <c r="P46" s="21"/>
      <c r="R46" s="98">
        <f t="shared" si="0"/>
        <v>0</v>
      </c>
      <c r="S46" s="98">
        <f t="shared" si="1"/>
        <v>0</v>
      </c>
    </row>
    <row r="47" spans="1:19" x14ac:dyDescent="0.2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62"/>
      <c r="R47" s="98">
        <f t="shared" si="0"/>
        <v>0</v>
      </c>
      <c r="S47" s="98">
        <f t="shared" si="1"/>
        <v>0</v>
      </c>
    </row>
    <row r="48" spans="1:19" x14ac:dyDescent="0.25">
      <c r="A48" s="113" t="s">
        <v>57</v>
      </c>
      <c r="B48" s="142">
        <f>B40*5.56%</f>
        <v>-376.93130399999995</v>
      </c>
      <c r="C48" s="142">
        <f t="shared" ref="C48:M48" si="13">C40*5.56%</f>
        <v>-124.54733599999999</v>
      </c>
      <c r="D48" s="142">
        <f t="shared" si="13"/>
        <v>-1689.4543719999999</v>
      </c>
      <c r="E48" s="142">
        <f t="shared" si="13"/>
        <v>-2584.6199319999996</v>
      </c>
      <c r="F48" s="142">
        <f t="shared" si="13"/>
        <v>-2144.334096</v>
      </c>
      <c r="G48" s="142">
        <f t="shared" si="13"/>
        <v>-2403.2616279999997</v>
      </c>
      <c r="H48" s="142">
        <f t="shared" si="13"/>
        <v>-2018.208832</v>
      </c>
      <c r="I48" s="142">
        <f t="shared" si="13"/>
        <v>0</v>
      </c>
      <c r="J48" s="142">
        <f t="shared" si="13"/>
        <v>0</v>
      </c>
      <c r="K48" s="142">
        <f t="shared" si="13"/>
        <v>0</v>
      </c>
      <c r="L48" s="142">
        <f t="shared" si="13"/>
        <v>0</v>
      </c>
      <c r="M48" s="142">
        <f t="shared" si="13"/>
        <v>0</v>
      </c>
      <c r="N48" s="142">
        <f>N40*5.56%</f>
        <v>0</v>
      </c>
      <c r="O48" s="119">
        <f t="shared" ref="O48" si="14">SUM(B48:N48)</f>
        <v>-11341.3575</v>
      </c>
      <c r="P48" s="21"/>
      <c r="R48" s="98">
        <f t="shared" si="0"/>
        <v>-11341.3575</v>
      </c>
      <c r="S48" s="98">
        <f t="shared" si="1"/>
        <v>0</v>
      </c>
    </row>
    <row r="49" spans="1:19" x14ac:dyDescent="0.2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62"/>
      <c r="R49" s="98">
        <f t="shared" si="0"/>
        <v>0</v>
      </c>
      <c r="S49" s="98">
        <f t="shared" si="1"/>
        <v>0</v>
      </c>
    </row>
    <row r="50" spans="1:19" x14ac:dyDescent="0.25">
      <c r="A50" s="113" t="s">
        <v>58</v>
      </c>
      <c r="B50" s="142">
        <f>B40*0.01%</f>
        <v>-0.67793399999999993</v>
      </c>
      <c r="C50" s="142">
        <f t="shared" ref="C50:M50" si="15">C40*0.01%</f>
        <v>-0.22400600000000001</v>
      </c>
      <c r="D50" s="142">
        <f t="shared" si="15"/>
        <v>-3.0385870000000001</v>
      </c>
      <c r="E50" s="142">
        <f t="shared" si="15"/>
        <v>-4.6485969999999996</v>
      </c>
      <c r="F50" s="142">
        <f t="shared" si="15"/>
        <v>-3.8567160000000005</v>
      </c>
      <c r="G50" s="142">
        <f t="shared" si="15"/>
        <v>-4.3224130000000001</v>
      </c>
      <c r="H50" s="142">
        <f t="shared" si="15"/>
        <v>-3.6298720000000002</v>
      </c>
      <c r="I50" s="142">
        <f t="shared" si="15"/>
        <v>0</v>
      </c>
      <c r="J50" s="142">
        <f t="shared" si="15"/>
        <v>0</v>
      </c>
      <c r="K50" s="142">
        <f t="shared" si="15"/>
        <v>0</v>
      </c>
      <c r="L50" s="142">
        <f t="shared" si="15"/>
        <v>0</v>
      </c>
      <c r="M50" s="142">
        <f t="shared" si="15"/>
        <v>0</v>
      </c>
      <c r="N50" s="142">
        <f>N40*0.01%</f>
        <v>0</v>
      </c>
      <c r="O50" s="119">
        <f t="shared" ref="O50" si="16">SUM(B50:N50)</f>
        <v>-20.398125</v>
      </c>
      <c r="P50" s="21"/>
      <c r="R50" s="98">
        <f t="shared" si="0"/>
        <v>-20.398125</v>
      </c>
      <c r="S50" s="98">
        <f t="shared" si="1"/>
        <v>0</v>
      </c>
    </row>
    <row r="51" spans="1:19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62"/>
      <c r="R51" s="98">
        <f t="shared" si="0"/>
        <v>0</v>
      </c>
      <c r="S51" s="98">
        <f t="shared" si="1"/>
        <v>0</v>
      </c>
    </row>
    <row r="52" spans="1:19" x14ac:dyDescent="0.25">
      <c r="A52" s="135" t="s">
        <v>301</v>
      </c>
      <c r="B52" s="136">
        <f>B42+B48+B50+B44+B46</f>
        <v>-7156.9492379999992</v>
      </c>
      <c r="C52" s="136">
        <f t="shared" ref="C52:M52" si="17">C42+C48+C50+C44+C46</f>
        <v>-2364.8313419999999</v>
      </c>
      <c r="D52" s="136">
        <f t="shared" si="17"/>
        <v>-32078.362958999998</v>
      </c>
      <c r="E52" s="136">
        <f t="shared" si="17"/>
        <v>-49075.238528999995</v>
      </c>
      <c r="F52" s="136">
        <f t="shared" si="17"/>
        <v>-40715.350812000004</v>
      </c>
      <c r="G52" s="136">
        <f t="shared" si="17"/>
        <v>-45631.714040999999</v>
      </c>
      <c r="H52" s="136">
        <f t="shared" si="17"/>
        <v>-38320.558703999995</v>
      </c>
      <c r="I52" s="136">
        <f t="shared" si="17"/>
        <v>0</v>
      </c>
      <c r="J52" s="136">
        <f t="shared" si="17"/>
        <v>0</v>
      </c>
      <c r="K52" s="136">
        <f t="shared" si="17"/>
        <v>0</v>
      </c>
      <c r="L52" s="136">
        <f t="shared" si="17"/>
        <v>0</v>
      </c>
      <c r="M52" s="136">
        <f t="shared" si="17"/>
        <v>0</v>
      </c>
      <c r="N52" s="136">
        <f>N42+N48+N50+N44+N46</f>
        <v>0</v>
      </c>
      <c r="O52" s="157">
        <f>SUM(B52:N52)</f>
        <v>-215343.00562499999</v>
      </c>
      <c r="P52" s="21"/>
      <c r="R52" s="98">
        <f t="shared" si="0"/>
        <v>-215343.00562499999</v>
      </c>
      <c r="S52" s="98">
        <f t="shared" si="1"/>
        <v>0</v>
      </c>
    </row>
    <row r="53" spans="1:19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63"/>
    </row>
    <row r="54" spans="1:19" x14ac:dyDescent="0.25">
      <c r="A54" s="144" t="s">
        <v>35</v>
      </c>
      <c r="B54" s="13"/>
      <c r="C54" s="13">
        <v>2</v>
      </c>
      <c r="D54" s="13">
        <v>4</v>
      </c>
      <c r="E54" s="13">
        <v>6</v>
      </c>
      <c r="F54" s="13">
        <v>7</v>
      </c>
      <c r="G54" s="13">
        <v>6</v>
      </c>
      <c r="H54" s="13">
        <v>7</v>
      </c>
      <c r="I54" s="13"/>
      <c r="J54" s="13"/>
      <c r="K54" s="13"/>
      <c r="L54" s="13"/>
      <c r="M54" s="13"/>
      <c r="N54" s="13"/>
      <c r="O54" s="145"/>
      <c r="P54" s="163"/>
    </row>
    <row r="55" spans="1:19" x14ac:dyDescent="0.25">
      <c r="A55" s="80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53"/>
    </row>
    <row r="56" spans="1:19" x14ac:dyDescent="0.25">
      <c r="A56" s="146" t="s">
        <v>36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64">
        <v>46203</v>
      </c>
    </row>
    <row r="57" spans="1:19" x14ac:dyDescent="0.25">
      <c r="B57" s="98">
        <f t="shared" ref="B57:O57" si="18">B11+B40+B44+B46+B48+B50</f>
        <v>-7156.9492379999992</v>
      </c>
      <c r="C57" s="98">
        <f t="shared" ref="C57:M57" si="19">C11+C40+C44+C46+C48+C50</f>
        <v>-2364.8313419999999</v>
      </c>
      <c r="D57" s="98">
        <f t="shared" si="19"/>
        <v>-32078.362958999998</v>
      </c>
      <c r="E57" s="98">
        <f t="shared" si="19"/>
        <v>-49075.238528999995</v>
      </c>
      <c r="F57" s="98">
        <f t="shared" si="19"/>
        <v>-40715.350812000004</v>
      </c>
      <c r="G57" s="98">
        <f t="shared" si="19"/>
        <v>-45631.714040999999</v>
      </c>
      <c r="H57" s="98">
        <f t="shared" si="19"/>
        <v>-38320.558703999995</v>
      </c>
      <c r="I57" s="98">
        <f t="shared" si="19"/>
        <v>0</v>
      </c>
      <c r="J57" s="98">
        <f t="shared" si="19"/>
        <v>0</v>
      </c>
      <c r="K57" s="98">
        <f t="shared" si="19"/>
        <v>0</v>
      </c>
      <c r="L57" s="98">
        <f t="shared" si="19"/>
        <v>0</v>
      </c>
      <c r="M57" s="98">
        <f t="shared" si="19"/>
        <v>0</v>
      </c>
      <c r="N57" s="98">
        <f t="shared" ref="N57" si="20">N11+N40+N44+N46+N48+N50</f>
        <v>0</v>
      </c>
      <c r="O57" s="98">
        <f t="shared" si="18"/>
        <v>-215343.00562499999</v>
      </c>
      <c r="P57" s="153"/>
    </row>
    <row r="58" spans="1:19" x14ac:dyDescent="0.25">
      <c r="P58" s="153"/>
    </row>
    <row r="59" spans="1:19" x14ac:dyDescent="0.25">
      <c r="B59" s="98">
        <f t="shared" ref="B59:O59" si="21">B57-B52</f>
        <v>0</v>
      </c>
      <c r="C59" s="98">
        <f t="shared" ref="C59:M59" si="22">C57-C52</f>
        <v>0</v>
      </c>
      <c r="D59" s="98">
        <f t="shared" si="22"/>
        <v>0</v>
      </c>
      <c r="E59" s="98">
        <f t="shared" si="22"/>
        <v>0</v>
      </c>
      <c r="F59" s="98">
        <f t="shared" si="22"/>
        <v>0</v>
      </c>
      <c r="G59" s="98">
        <f t="shared" si="22"/>
        <v>0</v>
      </c>
      <c r="H59" s="98">
        <f t="shared" si="22"/>
        <v>0</v>
      </c>
      <c r="I59" s="98">
        <f t="shared" si="22"/>
        <v>0</v>
      </c>
      <c r="J59" s="98">
        <f t="shared" si="22"/>
        <v>0</v>
      </c>
      <c r="K59" s="98">
        <f t="shared" si="22"/>
        <v>0</v>
      </c>
      <c r="L59" s="98">
        <f t="shared" si="22"/>
        <v>0</v>
      </c>
      <c r="M59" s="98">
        <f t="shared" si="22"/>
        <v>0</v>
      </c>
      <c r="N59" s="98">
        <f t="shared" ref="N59" si="23">N57-N52</f>
        <v>0</v>
      </c>
      <c r="O59" s="98">
        <f t="shared" si="21"/>
        <v>0</v>
      </c>
      <c r="P59" s="153"/>
    </row>
    <row r="60" spans="1:19" x14ac:dyDescent="0.25">
      <c r="P60" s="153"/>
    </row>
  </sheetData>
  <mergeCells count="3">
    <mergeCell ref="A1:P1"/>
    <mergeCell ref="A3:P3"/>
    <mergeCell ref="A5:P5"/>
  </mergeCells>
  <printOptions horizontalCentered="1" verticalCentered="1"/>
  <pageMargins left="0.11811023622047245" right="0.11811023622047245" top="0.31496062992125984" bottom="0" header="0.19685039370078741" footer="0"/>
  <pageSetup paperSize="9" scale="71" orientation="landscape" r:id="rId1"/>
  <headerFooter>
    <oddHeader>&amp;L&amp;"-,Negrito"&amp;14                                                                                                                                            
&amp;C&amp;"-,Negrito"&amp;16BELA NOVA CONSTRUTORA LTDA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9"/>
  </sheetPr>
  <dimension ref="A1:S60"/>
  <sheetViews>
    <sheetView topLeftCell="A13" zoomScale="85" zoomScaleNormal="85" workbookViewId="0">
      <pane xSplit="1" topLeftCell="B1" activePane="topRight" state="frozen"/>
      <selection activeCell="E21" sqref="E21"/>
      <selection pane="topRight" activeCell="F12" sqref="F12"/>
    </sheetView>
  </sheetViews>
  <sheetFormatPr defaultRowHeight="15" x14ac:dyDescent="0.25"/>
  <cols>
    <col min="1" max="1" width="61.5703125" bestFit="1" customWidth="1"/>
    <col min="2" max="7" width="16.7109375" customWidth="1"/>
    <col min="8" max="13" width="16.7109375" hidden="1" customWidth="1"/>
    <col min="14" max="14" width="18" bestFit="1" customWidth="1"/>
    <col min="15" max="15" width="11" bestFit="1" customWidth="1"/>
    <col min="17" max="17" width="17" bestFit="1" customWidth="1"/>
    <col min="18" max="18" width="14.42578125" bestFit="1" customWidth="1"/>
    <col min="19" max="19" width="16" bestFit="1" customWidth="1"/>
  </cols>
  <sheetData>
    <row r="1" spans="1:19" ht="15.75" x14ac:dyDescent="0.25">
      <c r="A1" s="203" t="s">
        <v>186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</row>
    <row r="2" spans="1:19" ht="11.25" customHeight="1" x14ac:dyDescent="0.25">
      <c r="A2" s="108"/>
    </row>
    <row r="3" spans="1:19" ht="15.75" x14ac:dyDescent="0.25">
      <c r="A3" s="203" t="s">
        <v>320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</row>
    <row r="4" spans="1:19" ht="10.5" customHeight="1" x14ac:dyDescent="0.25">
      <c r="A4" s="108"/>
    </row>
    <row r="5" spans="1:19" ht="15.75" customHeight="1" x14ac:dyDescent="0.25">
      <c r="A5" s="209" t="s">
        <v>292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Q5" s="177"/>
      <c r="R5" s="86"/>
      <c r="S5" s="86"/>
    </row>
    <row r="6" spans="1:19" ht="11.25" customHeight="1" x14ac:dyDescent="0.25">
      <c r="A6" s="110"/>
      <c r="Q6" s="177"/>
      <c r="R6" s="86"/>
      <c r="S6" s="86"/>
    </row>
    <row r="7" spans="1:19" x14ac:dyDescent="0.25">
      <c r="A7" s="111"/>
      <c r="B7" s="60" t="s">
        <v>304</v>
      </c>
      <c r="C7" s="60" t="s">
        <v>305</v>
      </c>
      <c r="D7" s="60" t="s">
        <v>306</v>
      </c>
      <c r="E7" s="60" t="s">
        <v>307</v>
      </c>
      <c r="F7" s="60" t="s">
        <v>308</v>
      </c>
      <c r="G7" s="60" t="s">
        <v>309</v>
      </c>
      <c r="H7" s="60" t="s">
        <v>310</v>
      </c>
      <c r="I7" s="60" t="s">
        <v>311</v>
      </c>
      <c r="J7" s="60" t="s">
        <v>312</v>
      </c>
      <c r="K7" s="60" t="s">
        <v>313</v>
      </c>
      <c r="L7" s="60" t="s">
        <v>314</v>
      </c>
      <c r="M7" s="60" t="s">
        <v>225</v>
      </c>
      <c r="N7" s="113" t="s">
        <v>1</v>
      </c>
      <c r="O7" s="158" t="s">
        <v>2</v>
      </c>
    </row>
    <row r="8" spans="1:19" x14ac:dyDescent="0.25">
      <c r="A8" s="114" t="s">
        <v>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6"/>
      <c r="O8" s="159"/>
    </row>
    <row r="9" spans="1:19" x14ac:dyDescent="0.25">
      <c r="A9" s="117" t="s">
        <v>4</v>
      </c>
      <c r="B9" s="118">
        <v>0</v>
      </c>
      <c r="C9" s="118">
        <v>38413.980000000003</v>
      </c>
      <c r="D9" s="118">
        <v>73184.59</v>
      </c>
      <c r="E9" s="118">
        <v>193706.53</v>
      </c>
      <c r="F9" s="118">
        <v>223057.61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9">
        <f>SUM(B9:M9)</f>
        <v>528362.71</v>
      </c>
      <c r="O9" s="21">
        <v>1</v>
      </c>
      <c r="Q9" s="98">
        <f>SUM(B9:M9)</f>
        <v>528362.71</v>
      </c>
      <c r="R9" s="98">
        <f>Q9-N9</f>
        <v>0</v>
      </c>
    </row>
    <row r="10" spans="1:19" x14ac:dyDescent="0.25">
      <c r="A10" s="114" t="s">
        <v>5</v>
      </c>
      <c r="B10" s="118">
        <v>0</v>
      </c>
      <c r="C10" s="118">
        <v>63331.53</v>
      </c>
      <c r="D10" s="118">
        <v>93899.48</v>
      </c>
      <c r="E10" s="118">
        <v>239073.86</v>
      </c>
      <c r="F10" s="118">
        <v>268126.14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9">
        <f>SUM(B10:M10)</f>
        <v>664431.01</v>
      </c>
      <c r="O10" s="21"/>
      <c r="Q10" s="98">
        <f t="shared" ref="Q10:Q52" si="0">SUM(B10:M10)</f>
        <v>664431.01</v>
      </c>
      <c r="R10" s="98">
        <f t="shared" ref="R10:R52" si="1">Q10-N10</f>
        <v>0</v>
      </c>
    </row>
    <row r="11" spans="1:19" x14ac:dyDescent="0.25">
      <c r="A11" s="121" t="s">
        <v>6</v>
      </c>
      <c r="B11" s="122">
        <f t="shared" ref="B11:L11" si="2">SUM(B9:B10)</f>
        <v>0</v>
      </c>
      <c r="C11" s="122">
        <f t="shared" si="2"/>
        <v>101745.51000000001</v>
      </c>
      <c r="D11" s="122">
        <f t="shared" si="2"/>
        <v>167084.07</v>
      </c>
      <c r="E11" s="122">
        <f t="shared" si="2"/>
        <v>432780.39</v>
      </c>
      <c r="F11" s="122">
        <f t="shared" si="2"/>
        <v>491183.75</v>
      </c>
      <c r="G11" s="122">
        <f t="shared" si="2"/>
        <v>0</v>
      </c>
      <c r="H11" s="122">
        <f t="shared" si="2"/>
        <v>0</v>
      </c>
      <c r="I11" s="122">
        <f t="shared" si="2"/>
        <v>0</v>
      </c>
      <c r="J11" s="122">
        <f t="shared" si="2"/>
        <v>0</v>
      </c>
      <c r="K11" s="122">
        <f t="shared" si="2"/>
        <v>0</v>
      </c>
      <c r="L11" s="122">
        <f t="shared" si="2"/>
        <v>0</v>
      </c>
      <c r="M11" s="122">
        <f>SUM(M9:M10)</f>
        <v>0</v>
      </c>
      <c r="N11" s="122">
        <f>SUM(N9:N10)</f>
        <v>1192793.72</v>
      </c>
      <c r="O11" s="21">
        <v>1</v>
      </c>
      <c r="Q11" s="98">
        <f t="shared" si="0"/>
        <v>1192793.72</v>
      </c>
      <c r="R11" s="98">
        <f t="shared" si="1"/>
        <v>0</v>
      </c>
    </row>
    <row r="12" spans="1:19" x14ac:dyDescent="0.25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5"/>
      <c r="O12" s="160"/>
      <c r="Q12" s="98">
        <f t="shared" si="0"/>
        <v>0</v>
      </c>
      <c r="R12" s="98">
        <f t="shared" si="1"/>
        <v>0</v>
      </c>
    </row>
    <row r="13" spans="1:19" x14ac:dyDescent="0.25">
      <c r="A13" s="126" t="s">
        <v>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7"/>
      <c r="O13" s="161"/>
      <c r="Q13" s="98">
        <f t="shared" si="0"/>
        <v>0</v>
      </c>
      <c r="R13" s="98">
        <f t="shared" si="1"/>
        <v>0</v>
      </c>
    </row>
    <row r="14" spans="1:19" x14ac:dyDescent="0.25">
      <c r="A14" s="114" t="s">
        <v>8</v>
      </c>
      <c r="B14" s="128">
        <v>-99.12</v>
      </c>
      <c r="C14" s="128">
        <v>-3458.01</v>
      </c>
      <c r="D14" s="128">
        <v>-2008.86</v>
      </c>
      <c r="E14" s="128">
        <v>-4720.9399999999996</v>
      </c>
      <c r="F14" s="128">
        <v>-10985.63</v>
      </c>
      <c r="G14" s="128">
        <v>0</v>
      </c>
      <c r="H14" s="128">
        <v>0</v>
      </c>
      <c r="I14" s="128">
        <v>0</v>
      </c>
      <c r="J14" s="128">
        <v>0</v>
      </c>
      <c r="K14" s="128">
        <v>0</v>
      </c>
      <c r="L14" s="128">
        <v>0</v>
      </c>
      <c r="M14" s="128">
        <v>0</v>
      </c>
      <c r="N14" s="119">
        <f t="shared" ref="N14:N39" si="3">SUM(B14:M14)</f>
        <v>-21272.559999999998</v>
      </c>
      <c r="O14" s="21">
        <f>-N14/$N$11</f>
        <v>1.7834232058163417E-2</v>
      </c>
      <c r="Q14" s="98">
        <f t="shared" si="0"/>
        <v>-21272.559999999998</v>
      </c>
      <c r="R14" s="98">
        <f t="shared" si="1"/>
        <v>0</v>
      </c>
    </row>
    <row r="15" spans="1:19" x14ac:dyDescent="0.25">
      <c r="A15" s="129" t="s">
        <v>9</v>
      </c>
      <c r="B15" s="128">
        <v>0</v>
      </c>
      <c r="C15" s="128">
        <v>0</v>
      </c>
      <c r="D15" s="128">
        <v>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0</v>
      </c>
      <c r="L15" s="128">
        <v>0</v>
      </c>
      <c r="M15" s="128">
        <v>0</v>
      </c>
      <c r="N15" s="119">
        <f t="shared" si="3"/>
        <v>0</v>
      </c>
      <c r="O15" s="21">
        <f t="shared" ref="O15:O50" si="4">-N15/$N$11</f>
        <v>0</v>
      </c>
      <c r="Q15" s="98">
        <f t="shared" si="0"/>
        <v>0</v>
      </c>
      <c r="R15" s="98">
        <f t="shared" si="1"/>
        <v>0</v>
      </c>
    </row>
    <row r="16" spans="1:19" x14ac:dyDescent="0.25">
      <c r="A16" s="114" t="s">
        <v>10</v>
      </c>
      <c r="B16" s="128">
        <v>0</v>
      </c>
      <c r="C16" s="128">
        <v>0</v>
      </c>
      <c r="D16" s="128">
        <v>-110.5</v>
      </c>
      <c r="E16" s="128">
        <v>-170</v>
      </c>
      <c r="F16" s="128">
        <v>-170</v>
      </c>
      <c r="G16" s="128">
        <v>0</v>
      </c>
      <c r="H16" s="128">
        <v>0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19">
        <f t="shared" si="3"/>
        <v>-450.5</v>
      </c>
      <c r="O16" s="21">
        <f t="shared" si="4"/>
        <v>3.7768475172723074E-4</v>
      </c>
      <c r="Q16" s="98">
        <f t="shared" si="0"/>
        <v>-450.5</v>
      </c>
      <c r="R16" s="98">
        <f t="shared" si="1"/>
        <v>0</v>
      </c>
    </row>
    <row r="17" spans="1:18" x14ac:dyDescent="0.25">
      <c r="A17" s="129" t="s">
        <v>11</v>
      </c>
      <c r="B17" s="128">
        <v>-224.31</v>
      </c>
      <c r="C17" s="128">
        <v>0</v>
      </c>
      <c r="D17" s="128">
        <v>-56.72</v>
      </c>
      <c r="E17" s="128">
        <v>0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19">
        <f t="shared" si="3"/>
        <v>-281.02999999999997</v>
      </c>
      <c r="O17" s="21">
        <f t="shared" si="4"/>
        <v>2.3560653890766626E-4</v>
      </c>
      <c r="Q17" s="98">
        <f t="shared" si="0"/>
        <v>-281.02999999999997</v>
      </c>
      <c r="R17" s="98">
        <f t="shared" si="1"/>
        <v>0</v>
      </c>
    </row>
    <row r="18" spans="1:18" x14ac:dyDescent="0.25">
      <c r="A18" s="114" t="s">
        <v>12</v>
      </c>
      <c r="B18" s="128">
        <v>-1200.23</v>
      </c>
      <c r="C18" s="128">
        <v>-2115.83</v>
      </c>
      <c r="D18" s="128">
        <v>-1608.27</v>
      </c>
      <c r="E18" s="128">
        <v>-1892.91</v>
      </c>
      <c r="F18" s="128">
        <v>-4215.18</v>
      </c>
      <c r="G18" s="128">
        <v>0</v>
      </c>
      <c r="H18" s="128">
        <v>0</v>
      </c>
      <c r="I18" s="128">
        <v>0</v>
      </c>
      <c r="J18" s="128">
        <v>0</v>
      </c>
      <c r="K18" s="128">
        <v>0</v>
      </c>
      <c r="L18" s="128">
        <v>0</v>
      </c>
      <c r="M18" s="128">
        <v>0</v>
      </c>
      <c r="N18" s="119">
        <f t="shared" si="3"/>
        <v>-11032.42</v>
      </c>
      <c r="O18" s="21">
        <f t="shared" si="4"/>
        <v>9.2492271002231636E-3</v>
      </c>
      <c r="Q18" s="98">
        <f t="shared" si="0"/>
        <v>-11032.42</v>
      </c>
      <c r="R18" s="98">
        <f t="shared" si="1"/>
        <v>0</v>
      </c>
    </row>
    <row r="19" spans="1:18" x14ac:dyDescent="0.25">
      <c r="A19" s="114" t="s">
        <v>13</v>
      </c>
      <c r="B19" s="128">
        <v>-827.78</v>
      </c>
      <c r="C19" s="128">
        <v>-1640.66</v>
      </c>
      <c r="D19" s="128">
        <v>-1826.51</v>
      </c>
      <c r="E19" s="128">
        <v>-1743.52</v>
      </c>
      <c r="F19" s="128">
        <v>-2992.97</v>
      </c>
      <c r="G19" s="128">
        <v>0</v>
      </c>
      <c r="H19" s="128">
        <v>0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  <c r="N19" s="119">
        <f t="shared" si="3"/>
        <v>-9031.4399999999987</v>
      </c>
      <c r="O19" s="21">
        <f t="shared" si="4"/>
        <v>7.571669642928703E-3</v>
      </c>
      <c r="Q19" s="98">
        <f t="shared" si="0"/>
        <v>-9031.4399999999987</v>
      </c>
      <c r="R19" s="98">
        <f t="shared" si="1"/>
        <v>0</v>
      </c>
    </row>
    <row r="20" spans="1:18" x14ac:dyDescent="0.25">
      <c r="A20" s="114" t="s">
        <v>14</v>
      </c>
      <c r="B20" s="128">
        <v>-1217.5</v>
      </c>
      <c r="C20" s="128">
        <v>-3979.5</v>
      </c>
      <c r="D20" s="128">
        <v>-3726.58</v>
      </c>
      <c r="E20" s="128">
        <v>-3907.47</v>
      </c>
      <c r="F20" s="128">
        <v>-5758.18</v>
      </c>
      <c r="G20" s="128">
        <v>0</v>
      </c>
      <c r="H20" s="128">
        <v>0</v>
      </c>
      <c r="I20" s="128">
        <v>0</v>
      </c>
      <c r="J20" s="128">
        <v>0</v>
      </c>
      <c r="K20" s="128">
        <v>0</v>
      </c>
      <c r="L20" s="128">
        <v>0</v>
      </c>
      <c r="M20" s="128">
        <v>0</v>
      </c>
      <c r="N20" s="119">
        <f t="shared" si="3"/>
        <v>-18589.23</v>
      </c>
      <c r="O20" s="21">
        <f t="shared" si="4"/>
        <v>1.5584614244950921E-2</v>
      </c>
      <c r="Q20" s="98">
        <f t="shared" si="0"/>
        <v>-18589.23</v>
      </c>
      <c r="R20" s="98">
        <f t="shared" si="1"/>
        <v>0</v>
      </c>
    </row>
    <row r="21" spans="1:18" x14ac:dyDescent="0.25">
      <c r="A21" s="114" t="s">
        <v>15</v>
      </c>
      <c r="B21" s="128">
        <v>0</v>
      </c>
      <c r="C21" s="128">
        <v>0</v>
      </c>
      <c r="D21" s="128">
        <v>0</v>
      </c>
      <c r="E21" s="128">
        <v>1386.98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28">
        <v>0</v>
      </c>
      <c r="N21" s="119">
        <f t="shared" si="3"/>
        <v>1386.98</v>
      </c>
      <c r="O21" s="21">
        <f t="shared" si="4"/>
        <v>-1.1627995492799878E-3</v>
      </c>
      <c r="Q21" s="98">
        <f t="shared" si="0"/>
        <v>1386.98</v>
      </c>
      <c r="R21" s="98">
        <f t="shared" si="1"/>
        <v>0</v>
      </c>
    </row>
    <row r="22" spans="1:18" x14ac:dyDescent="0.25">
      <c r="A22" s="114" t="s">
        <v>16</v>
      </c>
      <c r="B22" s="128">
        <v>0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19">
        <f t="shared" si="3"/>
        <v>0</v>
      </c>
      <c r="O22" s="21">
        <f t="shared" si="4"/>
        <v>0</v>
      </c>
      <c r="Q22" s="98">
        <f t="shared" si="0"/>
        <v>0</v>
      </c>
      <c r="R22" s="98">
        <f t="shared" si="1"/>
        <v>0</v>
      </c>
    </row>
    <row r="23" spans="1:18" x14ac:dyDescent="0.25">
      <c r="A23" s="114" t="s">
        <v>17</v>
      </c>
      <c r="B23" s="128">
        <v>-1784.3</v>
      </c>
      <c r="C23" s="128">
        <v>-3485.07</v>
      </c>
      <c r="D23" s="128">
        <v>-4393.05</v>
      </c>
      <c r="E23" s="128">
        <v>-5229.3999999999996</v>
      </c>
      <c r="F23" s="128">
        <v>-7700.14</v>
      </c>
      <c r="G23" s="128">
        <v>0</v>
      </c>
      <c r="H23" s="128">
        <v>0</v>
      </c>
      <c r="I23" s="128">
        <v>0</v>
      </c>
      <c r="J23" s="128">
        <v>0</v>
      </c>
      <c r="K23" s="128">
        <v>0</v>
      </c>
      <c r="L23" s="128">
        <v>0</v>
      </c>
      <c r="M23" s="128">
        <v>0</v>
      </c>
      <c r="N23" s="119">
        <f t="shared" si="3"/>
        <v>-22591.96</v>
      </c>
      <c r="O23" s="21">
        <f t="shared" si="4"/>
        <v>1.8940374702844678E-2</v>
      </c>
      <c r="Q23" s="98">
        <f t="shared" si="0"/>
        <v>-22591.96</v>
      </c>
      <c r="R23" s="98">
        <f t="shared" si="1"/>
        <v>0</v>
      </c>
    </row>
    <row r="24" spans="1:18" x14ac:dyDescent="0.25">
      <c r="A24" s="114" t="s">
        <v>18</v>
      </c>
      <c r="B24" s="128">
        <v>0</v>
      </c>
      <c r="C24" s="128">
        <v>0</v>
      </c>
      <c r="D24" s="128">
        <v>0</v>
      </c>
      <c r="E24" s="128">
        <v>0</v>
      </c>
      <c r="F24" s="128">
        <v>0</v>
      </c>
      <c r="G24" s="128">
        <v>0</v>
      </c>
      <c r="H24" s="128">
        <v>0</v>
      </c>
      <c r="I24" s="128">
        <v>0</v>
      </c>
      <c r="J24" s="128">
        <v>0</v>
      </c>
      <c r="K24" s="128">
        <v>0</v>
      </c>
      <c r="L24" s="128">
        <v>0</v>
      </c>
      <c r="M24" s="128">
        <v>0</v>
      </c>
      <c r="N24" s="119">
        <f t="shared" si="3"/>
        <v>0</v>
      </c>
      <c r="O24" s="21">
        <f t="shared" si="4"/>
        <v>0</v>
      </c>
      <c r="Q24" s="98">
        <f t="shared" si="0"/>
        <v>0</v>
      </c>
      <c r="R24" s="98">
        <f t="shared" si="1"/>
        <v>0</v>
      </c>
    </row>
    <row r="25" spans="1:18" x14ac:dyDescent="0.25">
      <c r="A25" s="114" t="s">
        <v>19</v>
      </c>
      <c r="B25" s="128">
        <v>-1500</v>
      </c>
      <c r="C25" s="128">
        <v>-3227.37</v>
      </c>
      <c r="D25" s="128">
        <v>-5934.69</v>
      </c>
      <c r="E25" s="128">
        <v>-9746.19</v>
      </c>
      <c r="F25" s="128">
        <v>-10662.57</v>
      </c>
      <c r="G25" s="128">
        <v>0</v>
      </c>
      <c r="H25" s="128">
        <v>0</v>
      </c>
      <c r="I25" s="128">
        <v>0</v>
      </c>
      <c r="J25" s="128">
        <v>0</v>
      </c>
      <c r="K25" s="128">
        <v>0</v>
      </c>
      <c r="L25" s="128">
        <v>0</v>
      </c>
      <c r="M25" s="128">
        <v>0</v>
      </c>
      <c r="N25" s="119">
        <f t="shared" si="3"/>
        <v>-31070.82</v>
      </c>
      <c r="O25" s="21">
        <f t="shared" si="4"/>
        <v>2.6048778995918925E-2</v>
      </c>
      <c r="Q25" s="98">
        <f t="shared" si="0"/>
        <v>-31070.82</v>
      </c>
      <c r="R25" s="98">
        <f t="shared" si="1"/>
        <v>0</v>
      </c>
    </row>
    <row r="26" spans="1:18" x14ac:dyDescent="0.25">
      <c r="A26" s="114" t="s">
        <v>20</v>
      </c>
      <c r="B26" s="128">
        <v>0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28">
        <v>0</v>
      </c>
      <c r="L26" s="128">
        <v>0</v>
      </c>
      <c r="M26" s="128">
        <v>0</v>
      </c>
      <c r="N26" s="119">
        <f t="shared" si="3"/>
        <v>0</v>
      </c>
      <c r="O26" s="21">
        <f t="shared" si="4"/>
        <v>0</v>
      </c>
      <c r="Q26" s="98">
        <f t="shared" si="0"/>
        <v>0</v>
      </c>
      <c r="R26" s="98">
        <f t="shared" si="1"/>
        <v>0</v>
      </c>
    </row>
    <row r="27" spans="1:18" x14ac:dyDescent="0.25">
      <c r="A27" s="114" t="s">
        <v>59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28">
        <v>0</v>
      </c>
      <c r="L27" s="128">
        <v>0</v>
      </c>
      <c r="M27" s="128">
        <v>0</v>
      </c>
      <c r="N27" s="119">
        <f t="shared" si="3"/>
        <v>0</v>
      </c>
      <c r="O27" s="21">
        <f t="shared" si="4"/>
        <v>0</v>
      </c>
      <c r="Q27" s="98">
        <f t="shared" si="0"/>
        <v>0</v>
      </c>
      <c r="R27" s="98">
        <f t="shared" si="1"/>
        <v>0</v>
      </c>
    </row>
    <row r="28" spans="1:18" x14ac:dyDescent="0.25">
      <c r="A28" s="114" t="s">
        <v>21</v>
      </c>
      <c r="B28" s="128">
        <v>0</v>
      </c>
      <c r="C28" s="128">
        <v>0</v>
      </c>
      <c r="D28" s="128">
        <v>-270</v>
      </c>
      <c r="E28" s="128">
        <v>0</v>
      </c>
      <c r="F28" s="128">
        <v>-1350</v>
      </c>
      <c r="G28" s="128">
        <v>0</v>
      </c>
      <c r="H28" s="128">
        <v>0</v>
      </c>
      <c r="I28" s="128">
        <v>0</v>
      </c>
      <c r="J28" s="128">
        <v>0</v>
      </c>
      <c r="K28" s="128">
        <v>0</v>
      </c>
      <c r="L28" s="128">
        <v>0</v>
      </c>
      <c r="M28" s="128">
        <v>0</v>
      </c>
      <c r="N28" s="119">
        <f t="shared" si="3"/>
        <v>-1620</v>
      </c>
      <c r="O28" s="21">
        <f t="shared" si="4"/>
        <v>1.3581560439469786E-3</v>
      </c>
      <c r="Q28" s="98">
        <f t="shared" si="0"/>
        <v>-1620</v>
      </c>
      <c r="R28" s="98">
        <f t="shared" si="1"/>
        <v>0</v>
      </c>
    </row>
    <row r="29" spans="1:18" x14ac:dyDescent="0.25">
      <c r="A29" s="114" t="s">
        <v>22</v>
      </c>
      <c r="B29" s="128">
        <v>0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19">
        <f t="shared" si="3"/>
        <v>0</v>
      </c>
      <c r="O29" s="21">
        <f t="shared" si="4"/>
        <v>0</v>
      </c>
      <c r="Q29" s="98">
        <f t="shared" si="0"/>
        <v>0</v>
      </c>
      <c r="R29" s="98">
        <f t="shared" si="1"/>
        <v>0</v>
      </c>
    </row>
    <row r="30" spans="1:18" x14ac:dyDescent="0.25">
      <c r="A30" s="129" t="s">
        <v>23</v>
      </c>
      <c r="B30" s="128">
        <v>0</v>
      </c>
      <c r="C30" s="128">
        <v>0</v>
      </c>
      <c r="D30" s="128">
        <f>-40.21</f>
        <v>-40.21</v>
      </c>
      <c r="E30" s="128">
        <v>0</v>
      </c>
      <c r="F30" s="128">
        <v>-401.82</v>
      </c>
      <c r="G30" s="128">
        <v>0</v>
      </c>
      <c r="H30" s="128">
        <v>0</v>
      </c>
      <c r="I30" s="128">
        <v>0</v>
      </c>
      <c r="J30" s="128">
        <v>0</v>
      </c>
      <c r="K30" s="128">
        <v>0</v>
      </c>
      <c r="L30" s="128">
        <v>0</v>
      </c>
      <c r="M30" s="128">
        <v>0</v>
      </c>
      <c r="N30" s="119">
        <f t="shared" si="3"/>
        <v>-442.03</v>
      </c>
      <c r="O30" s="21">
        <f t="shared" si="4"/>
        <v>3.7058377537400178E-4</v>
      </c>
      <c r="Q30" s="98">
        <f t="shared" si="0"/>
        <v>-442.03</v>
      </c>
      <c r="R30" s="98">
        <f t="shared" si="1"/>
        <v>0</v>
      </c>
    </row>
    <row r="31" spans="1:18" x14ac:dyDescent="0.25">
      <c r="A31" s="114" t="s">
        <v>24</v>
      </c>
      <c r="B31" s="128">
        <v>-1487.04</v>
      </c>
      <c r="C31" s="128">
        <v>-2577</v>
      </c>
      <c r="D31" s="128">
        <v>-7109.78</v>
      </c>
      <c r="E31" s="128">
        <v>-7607</v>
      </c>
      <c r="F31" s="128">
        <v>-17744</v>
      </c>
      <c r="G31" s="128">
        <v>0</v>
      </c>
      <c r="H31" s="128">
        <v>0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19">
        <f t="shared" si="3"/>
        <v>-36524.82</v>
      </c>
      <c r="O31" s="21">
        <f t="shared" si="4"/>
        <v>3.0621237677207088E-2</v>
      </c>
      <c r="Q31" s="98">
        <f t="shared" si="0"/>
        <v>-36524.82</v>
      </c>
      <c r="R31" s="98">
        <f t="shared" si="1"/>
        <v>0</v>
      </c>
    </row>
    <row r="32" spans="1:18" x14ac:dyDescent="0.25">
      <c r="A32" s="130" t="s">
        <v>25</v>
      </c>
      <c r="B32" s="128">
        <v>-9129.6200000000008</v>
      </c>
      <c r="C32" s="128">
        <v>-13205.77</v>
      </c>
      <c r="D32" s="128">
        <v>-8641.4699999999993</v>
      </c>
      <c r="E32" s="128">
        <v>-18769.78</v>
      </c>
      <c r="F32" s="128">
        <v>-31336.59</v>
      </c>
      <c r="G32" s="128">
        <v>0</v>
      </c>
      <c r="H32" s="128">
        <v>0</v>
      </c>
      <c r="I32" s="128">
        <v>0</v>
      </c>
      <c r="J32" s="128">
        <v>0</v>
      </c>
      <c r="K32" s="128">
        <v>0</v>
      </c>
      <c r="L32" s="128">
        <v>0</v>
      </c>
      <c r="M32" s="128">
        <v>0</v>
      </c>
      <c r="N32" s="119">
        <f t="shared" si="3"/>
        <v>-81083.23</v>
      </c>
      <c r="O32" s="21">
        <f t="shared" si="4"/>
        <v>6.7977579560026521E-2</v>
      </c>
      <c r="Q32" s="98">
        <f t="shared" si="0"/>
        <v>-81083.23</v>
      </c>
      <c r="R32" s="98">
        <f t="shared" si="1"/>
        <v>0</v>
      </c>
    </row>
    <row r="33" spans="1:18" x14ac:dyDescent="0.25">
      <c r="A33" s="114" t="s">
        <v>26</v>
      </c>
      <c r="B33" s="128">
        <v>0</v>
      </c>
      <c r="C33" s="128">
        <v>-347.23</v>
      </c>
      <c r="D33" s="128">
        <v>-330</v>
      </c>
      <c r="E33" s="128">
        <v>0</v>
      </c>
      <c r="F33" s="128">
        <v>-347.23</v>
      </c>
      <c r="G33" s="128">
        <v>0</v>
      </c>
      <c r="H33" s="128">
        <v>0</v>
      </c>
      <c r="I33" s="128">
        <v>0</v>
      </c>
      <c r="J33" s="128">
        <v>0</v>
      </c>
      <c r="K33" s="128">
        <v>0</v>
      </c>
      <c r="L33" s="128">
        <v>0</v>
      </c>
      <c r="M33" s="128">
        <v>0</v>
      </c>
      <c r="N33" s="119">
        <f t="shared" si="3"/>
        <v>-1024.46</v>
      </c>
      <c r="O33" s="21">
        <f t="shared" si="4"/>
        <v>8.5887440789007515E-4</v>
      </c>
      <c r="Q33" s="98">
        <f t="shared" si="0"/>
        <v>-1024.46</v>
      </c>
      <c r="R33" s="98">
        <f t="shared" si="1"/>
        <v>0</v>
      </c>
    </row>
    <row r="34" spans="1:18" x14ac:dyDescent="0.25">
      <c r="A34" s="114" t="s">
        <v>27</v>
      </c>
      <c r="B34" s="128">
        <v>0</v>
      </c>
      <c r="C34" s="128">
        <v>0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28">
        <v>0</v>
      </c>
      <c r="N34" s="119">
        <f t="shared" si="3"/>
        <v>0</v>
      </c>
      <c r="O34" s="21">
        <f t="shared" si="4"/>
        <v>0</v>
      </c>
      <c r="Q34" s="98">
        <f t="shared" si="0"/>
        <v>0</v>
      </c>
      <c r="R34" s="98">
        <f t="shared" si="1"/>
        <v>0</v>
      </c>
    </row>
    <row r="35" spans="1:18" x14ac:dyDescent="0.25">
      <c r="A35" s="129" t="s">
        <v>28</v>
      </c>
      <c r="B35" s="128">
        <v>0</v>
      </c>
      <c r="C35" s="128">
        <v>-157.97999999999999</v>
      </c>
      <c r="D35" s="128">
        <v>-286.92</v>
      </c>
      <c r="E35" s="128">
        <v>-1210.24</v>
      </c>
      <c r="F35" s="128">
        <v>0</v>
      </c>
      <c r="G35" s="128">
        <v>0</v>
      </c>
      <c r="H35" s="128">
        <v>0</v>
      </c>
      <c r="I35" s="128">
        <v>0</v>
      </c>
      <c r="J35" s="128">
        <v>0</v>
      </c>
      <c r="K35" s="128">
        <v>0</v>
      </c>
      <c r="L35" s="128">
        <v>0</v>
      </c>
      <c r="M35" s="128">
        <v>0</v>
      </c>
      <c r="N35" s="119">
        <f t="shared" si="3"/>
        <v>-1655.1399999999999</v>
      </c>
      <c r="O35" s="21">
        <f t="shared" si="4"/>
        <v>1.3876162929496309E-3</v>
      </c>
      <c r="Q35" s="98">
        <f t="shared" si="0"/>
        <v>-1655.1399999999999</v>
      </c>
      <c r="R35" s="98">
        <f t="shared" si="1"/>
        <v>0</v>
      </c>
    </row>
    <row r="36" spans="1:18" x14ac:dyDescent="0.25">
      <c r="A36" s="114" t="s">
        <v>29</v>
      </c>
      <c r="B36" s="128">
        <v>-324.64999999999998</v>
      </c>
      <c r="C36" s="128">
        <v>-1370.83</v>
      </c>
      <c r="D36" s="128">
        <v>-1076.76</v>
      </c>
      <c r="E36" s="128">
        <v>-1496.47</v>
      </c>
      <c r="F36" s="128">
        <v>-3131.4</v>
      </c>
      <c r="G36" s="128">
        <v>0</v>
      </c>
      <c r="H36" s="128">
        <v>0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19">
        <f t="shared" si="3"/>
        <v>-7400.1100000000006</v>
      </c>
      <c r="O36" s="21">
        <f t="shared" si="4"/>
        <v>6.2040148903533803E-3</v>
      </c>
      <c r="Q36" s="98">
        <f t="shared" si="0"/>
        <v>-7400.1100000000006</v>
      </c>
      <c r="R36" s="98">
        <f t="shared" si="1"/>
        <v>0</v>
      </c>
    </row>
    <row r="37" spans="1:18" x14ac:dyDescent="0.25">
      <c r="A37" s="15" t="s">
        <v>276</v>
      </c>
      <c r="B37" s="128">
        <v>-900.14</v>
      </c>
      <c r="C37" s="128">
        <v>-1327.12</v>
      </c>
      <c r="D37" s="128">
        <v>-1206.21</v>
      </c>
      <c r="E37" s="128">
        <v>-1419.68</v>
      </c>
      <c r="F37" s="128">
        <v>-3161.38</v>
      </c>
      <c r="G37" s="128">
        <v>0</v>
      </c>
      <c r="H37" s="128">
        <v>0</v>
      </c>
      <c r="I37" s="128">
        <v>0</v>
      </c>
      <c r="J37" s="128">
        <v>0</v>
      </c>
      <c r="K37" s="128">
        <v>0</v>
      </c>
      <c r="L37" s="128">
        <v>0</v>
      </c>
      <c r="M37" s="128">
        <v>0</v>
      </c>
      <c r="N37" s="119">
        <f t="shared" si="3"/>
        <v>-8014.53</v>
      </c>
      <c r="O37" s="21">
        <f t="shared" si="4"/>
        <v>6.7191249128977643E-3</v>
      </c>
      <c r="Q37" s="98">
        <f t="shared" si="0"/>
        <v>-8014.53</v>
      </c>
      <c r="R37" s="98">
        <f t="shared" si="1"/>
        <v>0</v>
      </c>
    </row>
    <row r="38" spans="1:18" x14ac:dyDescent="0.25">
      <c r="A38" s="114" t="s">
        <v>97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28">
        <v>0</v>
      </c>
      <c r="N38" s="119">
        <f t="shared" si="3"/>
        <v>0</v>
      </c>
      <c r="O38" s="21">
        <f t="shared" si="4"/>
        <v>0</v>
      </c>
      <c r="Q38" s="98">
        <f t="shared" si="0"/>
        <v>0</v>
      </c>
      <c r="R38" s="98">
        <f t="shared" si="1"/>
        <v>0</v>
      </c>
    </row>
    <row r="39" spans="1:18" x14ac:dyDescent="0.25">
      <c r="A39" s="114" t="s">
        <v>114</v>
      </c>
      <c r="B39" s="128">
        <v>0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19">
        <f t="shared" si="3"/>
        <v>0</v>
      </c>
      <c r="O39" s="21">
        <f t="shared" si="4"/>
        <v>0</v>
      </c>
      <c r="Q39" s="98">
        <f t="shared" si="0"/>
        <v>0</v>
      </c>
      <c r="R39" s="98">
        <f t="shared" si="1"/>
        <v>0</v>
      </c>
    </row>
    <row r="40" spans="1:18" x14ac:dyDescent="0.25">
      <c r="A40" s="131" t="s">
        <v>31</v>
      </c>
      <c r="B40" s="132">
        <f t="shared" ref="B40:M40" si="5">SUM(B14:B39)</f>
        <v>-18694.690000000002</v>
      </c>
      <c r="C40" s="132">
        <f t="shared" si="5"/>
        <v>-36892.37000000001</v>
      </c>
      <c r="D40" s="132">
        <f t="shared" si="5"/>
        <v>-38626.529999999992</v>
      </c>
      <c r="E40" s="132">
        <f t="shared" si="5"/>
        <v>-56526.619999999995</v>
      </c>
      <c r="F40" s="132">
        <f t="shared" si="5"/>
        <v>-99957.09</v>
      </c>
      <c r="G40" s="132">
        <f t="shared" si="5"/>
        <v>0</v>
      </c>
      <c r="H40" s="132">
        <f t="shared" si="5"/>
        <v>0</v>
      </c>
      <c r="I40" s="132">
        <f t="shared" si="5"/>
        <v>0</v>
      </c>
      <c r="J40" s="132">
        <f t="shared" si="5"/>
        <v>0</v>
      </c>
      <c r="K40" s="132">
        <f t="shared" si="5"/>
        <v>0</v>
      </c>
      <c r="L40" s="132">
        <f t="shared" si="5"/>
        <v>0</v>
      </c>
      <c r="M40" s="132">
        <f t="shared" si="5"/>
        <v>0</v>
      </c>
      <c r="N40" s="132">
        <f>SUM(N14:N39)</f>
        <v>-250697.30000000002</v>
      </c>
      <c r="O40" s="21">
        <f t="shared" si="4"/>
        <v>0.21017657604703019</v>
      </c>
      <c r="Q40" s="98">
        <f t="shared" si="0"/>
        <v>-250697.3</v>
      </c>
      <c r="R40" s="98">
        <f t="shared" si="1"/>
        <v>0</v>
      </c>
    </row>
    <row r="41" spans="1:18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25"/>
      <c r="O41" s="159"/>
      <c r="Q41" s="98">
        <f t="shared" si="0"/>
        <v>0</v>
      </c>
      <c r="R41" s="98">
        <f t="shared" si="1"/>
        <v>0</v>
      </c>
    </row>
    <row r="42" spans="1:18" x14ac:dyDescent="0.25">
      <c r="A42" s="135" t="s">
        <v>32</v>
      </c>
      <c r="B42" s="136">
        <f t="shared" ref="B42:L42" si="6">B11+B40</f>
        <v>-18694.690000000002</v>
      </c>
      <c r="C42" s="165">
        <f t="shared" si="6"/>
        <v>64853.14</v>
      </c>
      <c r="D42" s="165">
        <f t="shared" si="6"/>
        <v>128457.54000000001</v>
      </c>
      <c r="E42" s="165">
        <f t="shared" si="6"/>
        <v>376253.77</v>
      </c>
      <c r="F42" s="165">
        <f t="shared" si="6"/>
        <v>391226.66000000003</v>
      </c>
      <c r="G42" s="136">
        <f t="shared" si="6"/>
        <v>0</v>
      </c>
      <c r="H42" s="136">
        <f t="shared" si="6"/>
        <v>0</v>
      </c>
      <c r="I42" s="136">
        <f t="shared" si="6"/>
        <v>0</v>
      </c>
      <c r="J42" s="136">
        <f t="shared" si="6"/>
        <v>0</v>
      </c>
      <c r="K42" s="136">
        <f t="shared" si="6"/>
        <v>0</v>
      </c>
      <c r="L42" s="136">
        <f t="shared" si="6"/>
        <v>0</v>
      </c>
      <c r="M42" s="136">
        <f>M11+M40</f>
        <v>0</v>
      </c>
      <c r="N42" s="166">
        <f>SUM(B42:M42)</f>
        <v>942096.42</v>
      </c>
      <c r="O42" s="21">
        <f>N42/$N$11</f>
        <v>0.78982342395296989</v>
      </c>
      <c r="Q42" s="98">
        <f t="shared" si="0"/>
        <v>942096.42</v>
      </c>
      <c r="R42" s="98">
        <f t="shared" si="1"/>
        <v>0</v>
      </c>
    </row>
    <row r="43" spans="1:18" x14ac:dyDescent="0.25">
      <c r="A43" s="13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62"/>
      <c r="Q43" s="98">
        <f t="shared" si="0"/>
        <v>0</v>
      </c>
      <c r="R43" s="98">
        <f t="shared" si="1"/>
        <v>0</v>
      </c>
    </row>
    <row r="44" spans="1:18" x14ac:dyDescent="0.25">
      <c r="A44" s="126" t="s">
        <v>56</v>
      </c>
      <c r="B44" s="139">
        <f t="shared" ref="B44:M44" si="7">-B9*13.15%</f>
        <v>0</v>
      </c>
      <c r="C44" s="139">
        <f t="shared" si="7"/>
        <v>-5051.4383700000008</v>
      </c>
      <c r="D44" s="139">
        <f t="shared" si="7"/>
        <v>-9623.7735850000008</v>
      </c>
      <c r="E44" s="139">
        <f t="shared" si="7"/>
        <v>-25472.408695000002</v>
      </c>
      <c r="F44" s="139">
        <f t="shared" si="7"/>
        <v>-29332.075714999999</v>
      </c>
      <c r="G44" s="139">
        <f t="shared" si="7"/>
        <v>0</v>
      </c>
      <c r="H44" s="139">
        <f t="shared" si="7"/>
        <v>0</v>
      </c>
      <c r="I44" s="139">
        <f t="shared" si="7"/>
        <v>0</v>
      </c>
      <c r="J44" s="139">
        <f t="shared" si="7"/>
        <v>0</v>
      </c>
      <c r="K44" s="139">
        <f t="shared" si="7"/>
        <v>0</v>
      </c>
      <c r="L44" s="139">
        <f t="shared" si="7"/>
        <v>0</v>
      </c>
      <c r="M44" s="139">
        <f t="shared" si="7"/>
        <v>0</v>
      </c>
      <c r="N44" s="119">
        <f>SUM(B44:M44)</f>
        <v>-69479.696365000011</v>
      </c>
      <c r="O44" s="21">
        <f t="shared" si="4"/>
        <v>5.8249549104768941E-2</v>
      </c>
      <c r="Q44" s="98">
        <f t="shared" si="0"/>
        <v>-69479.696365000011</v>
      </c>
      <c r="R44" s="98">
        <f t="shared" si="1"/>
        <v>0</v>
      </c>
    </row>
    <row r="45" spans="1:18" x14ac:dyDescent="0.25">
      <c r="A45" s="137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62"/>
      <c r="Q45" s="98">
        <f t="shared" si="0"/>
        <v>0</v>
      </c>
      <c r="R45" s="98">
        <f t="shared" si="1"/>
        <v>0</v>
      </c>
    </row>
    <row r="46" spans="1:18" x14ac:dyDescent="0.25">
      <c r="A46" s="126" t="s">
        <v>33</v>
      </c>
      <c r="B46" s="139">
        <f t="shared" ref="B46:M46" si="8">-B9*1.22%</f>
        <v>0</v>
      </c>
      <c r="C46" s="139">
        <f t="shared" si="8"/>
        <v>-468.65055599999999</v>
      </c>
      <c r="D46" s="139">
        <f t="shared" si="8"/>
        <v>-892.85199799999987</v>
      </c>
      <c r="E46" s="139">
        <f t="shared" si="8"/>
        <v>-2363.219666</v>
      </c>
      <c r="F46" s="139">
        <f t="shared" si="8"/>
        <v>-2721.3028419999996</v>
      </c>
      <c r="G46" s="139">
        <f t="shared" si="8"/>
        <v>0</v>
      </c>
      <c r="H46" s="139">
        <f t="shared" si="8"/>
        <v>0</v>
      </c>
      <c r="I46" s="139">
        <f t="shared" si="8"/>
        <v>0</v>
      </c>
      <c r="J46" s="139">
        <f t="shared" si="8"/>
        <v>0</v>
      </c>
      <c r="K46" s="139">
        <f t="shared" si="8"/>
        <v>0</v>
      </c>
      <c r="L46" s="139">
        <f t="shared" si="8"/>
        <v>0</v>
      </c>
      <c r="M46" s="139">
        <f t="shared" si="8"/>
        <v>0</v>
      </c>
      <c r="N46" s="119">
        <f>SUM(B46:M46)</f>
        <v>-6446.0250619999988</v>
      </c>
      <c r="O46" s="21">
        <f t="shared" si="4"/>
        <v>5.4041406774006148E-3</v>
      </c>
      <c r="Q46" s="98">
        <f t="shared" si="0"/>
        <v>-6446.0250619999988</v>
      </c>
      <c r="R46" s="98">
        <f t="shared" si="1"/>
        <v>0</v>
      </c>
    </row>
    <row r="47" spans="1:18" x14ac:dyDescent="0.2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62"/>
      <c r="Q47" s="98">
        <f t="shared" si="0"/>
        <v>0</v>
      </c>
      <c r="R47" s="98">
        <f t="shared" si="1"/>
        <v>0</v>
      </c>
    </row>
    <row r="48" spans="1:18" x14ac:dyDescent="0.25">
      <c r="A48" s="113" t="s">
        <v>57</v>
      </c>
      <c r="B48" s="142">
        <f t="shared" ref="B48:L48" si="9">B40*5.56%</f>
        <v>-1039.4247640000001</v>
      </c>
      <c r="C48" s="142">
        <f t="shared" si="9"/>
        <v>-2051.2157720000005</v>
      </c>
      <c r="D48" s="142">
        <f t="shared" si="9"/>
        <v>-2147.6350679999996</v>
      </c>
      <c r="E48" s="142">
        <f t="shared" si="9"/>
        <v>-3142.8800719999995</v>
      </c>
      <c r="F48" s="142">
        <f t="shared" si="9"/>
        <v>-5557.6142039999995</v>
      </c>
      <c r="G48" s="142">
        <f t="shared" si="9"/>
        <v>0</v>
      </c>
      <c r="H48" s="142">
        <f t="shared" si="9"/>
        <v>0</v>
      </c>
      <c r="I48" s="142">
        <f t="shared" si="9"/>
        <v>0</v>
      </c>
      <c r="J48" s="142">
        <f t="shared" si="9"/>
        <v>0</v>
      </c>
      <c r="K48" s="142">
        <f t="shared" si="9"/>
        <v>0</v>
      </c>
      <c r="L48" s="142">
        <f t="shared" si="9"/>
        <v>0</v>
      </c>
      <c r="M48" s="142">
        <f>M40*5.56%</f>
        <v>0</v>
      </c>
      <c r="N48" s="119">
        <f>SUM(B48:M48)</f>
        <v>-13938.76988</v>
      </c>
      <c r="O48" s="21">
        <f t="shared" si="4"/>
        <v>1.1685817628214877E-2</v>
      </c>
      <c r="Q48" s="98">
        <f t="shared" si="0"/>
        <v>-13938.76988</v>
      </c>
      <c r="R48" s="98">
        <f t="shared" si="1"/>
        <v>0</v>
      </c>
    </row>
    <row r="49" spans="1:18" x14ac:dyDescent="0.2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62"/>
      <c r="Q49" s="98">
        <f t="shared" si="0"/>
        <v>0</v>
      </c>
      <c r="R49" s="98">
        <f t="shared" si="1"/>
        <v>0</v>
      </c>
    </row>
    <row r="50" spans="1:18" x14ac:dyDescent="0.25">
      <c r="A50" s="113" t="s">
        <v>58</v>
      </c>
      <c r="B50" s="142">
        <f t="shared" ref="B50:L50" si="10">B40*0.01%</f>
        <v>-1.8694690000000003</v>
      </c>
      <c r="C50" s="142">
        <f t="shared" si="10"/>
        <v>-3.6892370000000012</v>
      </c>
      <c r="D50" s="142">
        <f t="shared" si="10"/>
        <v>-3.8626529999999994</v>
      </c>
      <c r="E50" s="142">
        <f t="shared" si="10"/>
        <v>-5.6526619999999994</v>
      </c>
      <c r="F50" s="142">
        <f t="shared" si="10"/>
        <v>-9.9957089999999997</v>
      </c>
      <c r="G50" s="142">
        <f t="shared" si="10"/>
        <v>0</v>
      </c>
      <c r="H50" s="142">
        <f t="shared" si="10"/>
        <v>0</v>
      </c>
      <c r="I50" s="142">
        <f t="shared" si="10"/>
        <v>0</v>
      </c>
      <c r="J50" s="142">
        <f t="shared" si="10"/>
        <v>0</v>
      </c>
      <c r="K50" s="142">
        <f t="shared" si="10"/>
        <v>0</v>
      </c>
      <c r="L50" s="142">
        <f t="shared" si="10"/>
        <v>0</v>
      </c>
      <c r="M50" s="142">
        <f>M40*0.01%</f>
        <v>0</v>
      </c>
      <c r="N50" s="119">
        <f>SUM(B50:M50)</f>
        <v>-25.06973</v>
      </c>
      <c r="O50" s="21">
        <f t="shared" si="4"/>
        <v>2.1017657604703017E-5</v>
      </c>
      <c r="Q50" s="98">
        <f t="shared" si="0"/>
        <v>-25.06973</v>
      </c>
      <c r="R50" s="98">
        <f t="shared" si="1"/>
        <v>0</v>
      </c>
    </row>
    <row r="51" spans="1:18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62"/>
      <c r="Q51" s="98">
        <f t="shared" si="0"/>
        <v>0</v>
      </c>
      <c r="R51" s="98">
        <f t="shared" si="1"/>
        <v>0</v>
      </c>
    </row>
    <row r="52" spans="1:18" x14ac:dyDescent="0.25">
      <c r="A52" s="135" t="s">
        <v>321</v>
      </c>
      <c r="B52" s="136">
        <f t="shared" ref="B52:L52" si="11">B42+B48+B50+B44+B46</f>
        <v>-19735.984233000003</v>
      </c>
      <c r="C52" s="165">
        <f t="shared" si="11"/>
        <v>57278.146064999994</v>
      </c>
      <c r="D52" s="165">
        <f t="shared" si="11"/>
        <v>115789.416696</v>
      </c>
      <c r="E52" s="165">
        <f t="shared" si="11"/>
        <v>345269.60890500009</v>
      </c>
      <c r="F52" s="165">
        <f t="shared" si="11"/>
        <v>353605.67153000011</v>
      </c>
      <c r="G52" s="136">
        <f t="shared" si="11"/>
        <v>0</v>
      </c>
      <c r="H52" s="136">
        <f t="shared" si="11"/>
        <v>0</v>
      </c>
      <c r="I52" s="136">
        <f t="shared" si="11"/>
        <v>0</v>
      </c>
      <c r="J52" s="136">
        <f t="shared" si="11"/>
        <v>0</v>
      </c>
      <c r="K52" s="136">
        <f t="shared" si="11"/>
        <v>0</v>
      </c>
      <c r="L52" s="136">
        <f t="shared" si="11"/>
        <v>0</v>
      </c>
      <c r="M52" s="136">
        <f>M42+M48+M50+M44+M46</f>
        <v>0</v>
      </c>
      <c r="N52" s="166">
        <f>SUM(B52:M52)</f>
        <v>852206.85896300012</v>
      </c>
      <c r="O52" s="21">
        <f>N52/$N$11</f>
        <v>0.71446289888498082</v>
      </c>
      <c r="Q52" s="98">
        <f t="shared" si="0"/>
        <v>852206.85896300012</v>
      </c>
      <c r="R52" s="98">
        <f t="shared" si="1"/>
        <v>0</v>
      </c>
    </row>
    <row r="53" spans="1:18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63"/>
    </row>
    <row r="54" spans="1:18" x14ac:dyDescent="0.25">
      <c r="A54" s="144" t="s">
        <v>35</v>
      </c>
      <c r="B54" s="13">
        <v>4</v>
      </c>
      <c r="C54" s="13">
        <v>7</v>
      </c>
      <c r="D54" s="13">
        <v>9</v>
      </c>
      <c r="E54" s="13">
        <v>13</v>
      </c>
      <c r="F54" s="13">
        <v>15</v>
      </c>
      <c r="G54" s="13"/>
      <c r="H54" s="13"/>
      <c r="I54" s="13"/>
      <c r="J54" s="13"/>
      <c r="K54" s="13"/>
      <c r="L54" s="13"/>
      <c r="M54" s="13"/>
      <c r="N54" s="145"/>
      <c r="O54" s="163"/>
    </row>
    <row r="55" spans="1:18" x14ac:dyDescent="0.25">
      <c r="A55" s="80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53"/>
    </row>
    <row r="56" spans="1:18" x14ac:dyDescent="0.25">
      <c r="A56" s="146" t="s">
        <v>36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64">
        <v>46203</v>
      </c>
    </row>
    <row r="57" spans="1:18" x14ac:dyDescent="0.25">
      <c r="B57" s="98">
        <f t="shared" ref="B57:N57" si="12">B11+B40+B44+B46+B48+B50</f>
        <v>-19735.984233000003</v>
      </c>
      <c r="C57" s="98">
        <f t="shared" si="12"/>
        <v>57278.146064999994</v>
      </c>
      <c r="D57" s="98">
        <f t="shared" si="12"/>
        <v>115789.416696</v>
      </c>
      <c r="E57" s="98">
        <f t="shared" si="12"/>
        <v>345269.60890500009</v>
      </c>
      <c r="F57" s="98">
        <f t="shared" si="12"/>
        <v>353605.67153000011</v>
      </c>
      <c r="G57" s="98">
        <f t="shared" si="12"/>
        <v>0</v>
      </c>
      <c r="H57" s="98">
        <f t="shared" si="12"/>
        <v>0</v>
      </c>
      <c r="I57" s="98">
        <f t="shared" si="12"/>
        <v>0</v>
      </c>
      <c r="J57" s="98">
        <f t="shared" si="12"/>
        <v>0</v>
      </c>
      <c r="K57" s="98">
        <f t="shared" si="12"/>
        <v>0</v>
      </c>
      <c r="L57" s="98">
        <f t="shared" si="12"/>
        <v>0</v>
      </c>
      <c r="M57" s="98">
        <f t="shared" si="12"/>
        <v>0</v>
      </c>
      <c r="N57" s="98">
        <f t="shared" si="12"/>
        <v>852206.85896299989</v>
      </c>
      <c r="O57" s="153"/>
    </row>
    <row r="58" spans="1:18" x14ac:dyDescent="0.25">
      <c r="O58" s="153"/>
    </row>
    <row r="59" spans="1:18" x14ac:dyDescent="0.25">
      <c r="B59" s="98">
        <f t="shared" ref="B59:N59" si="13">B57-B52</f>
        <v>0</v>
      </c>
      <c r="C59" s="98">
        <f t="shared" si="13"/>
        <v>0</v>
      </c>
      <c r="D59" s="98">
        <f t="shared" si="13"/>
        <v>0</v>
      </c>
      <c r="E59" s="98">
        <f t="shared" si="13"/>
        <v>0</v>
      </c>
      <c r="F59" s="98">
        <f t="shared" si="13"/>
        <v>0</v>
      </c>
      <c r="G59" s="98">
        <f t="shared" si="13"/>
        <v>0</v>
      </c>
      <c r="H59" s="98">
        <f t="shared" si="13"/>
        <v>0</v>
      </c>
      <c r="I59" s="98">
        <f t="shared" si="13"/>
        <v>0</v>
      </c>
      <c r="J59" s="98">
        <f t="shared" si="13"/>
        <v>0</v>
      </c>
      <c r="K59" s="98">
        <f t="shared" si="13"/>
        <v>0</v>
      </c>
      <c r="L59" s="98">
        <f t="shared" si="13"/>
        <v>0</v>
      </c>
      <c r="M59" s="98">
        <f t="shared" si="13"/>
        <v>0</v>
      </c>
      <c r="N59" s="98">
        <f t="shared" si="13"/>
        <v>0</v>
      </c>
      <c r="O59" s="153"/>
    </row>
    <row r="60" spans="1:18" x14ac:dyDescent="0.25">
      <c r="O60" s="153"/>
    </row>
  </sheetData>
  <mergeCells count="3">
    <mergeCell ref="A1:O1"/>
    <mergeCell ref="A3:O3"/>
    <mergeCell ref="A5:O5"/>
  </mergeCells>
  <printOptions horizontalCentered="1" verticalCentered="1"/>
  <pageMargins left="0.51181102362204722" right="0.51181102362204722" top="0.31496062992125984" bottom="0" header="0.19685039370078741" footer="0"/>
  <pageSetup paperSize="9" scale="71" orientation="landscape" r:id="rId1"/>
  <headerFooter>
    <oddHeader>&amp;L&amp;"-,Negrito"&amp;14                                                                                                                                            
&amp;C&amp;"-,Negrito"&amp;16BELA NOVA CONSTRUTORA LTDA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9"/>
  </sheetPr>
  <dimension ref="A1:T60"/>
  <sheetViews>
    <sheetView zoomScale="85" zoomScaleNormal="85" workbookViewId="0">
      <pane xSplit="1" topLeftCell="B1" activePane="topRight" state="frozen"/>
      <selection activeCell="E21" sqref="E21"/>
      <selection pane="topRight" activeCell="G13" sqref="G13"/>
    </sheetView>
  </sheetViews>
  <sheetFormatPr defaultRowHeight="15" x14ac:dyDescent="0.25"/>
  <cols>
    <col min="1" max="1" width="61.5703125" bestFit="1" customWidth="1"/>
    <col min="2" max="8" width="17" customWidth="1"/>
    <col min="9" max="12" width="17" hidden="1" customWidth="1"/>
    <col min="13" max="13" width="16.85546875" hidden="1" customWidth="1"/>
    <col min="14" max="14" width="16.7109375" hidden="1" customWidth="1"/>
    <col min="15" max="15" width="16.140625" bestFit="1" customWidth="1"/>
    <col min="16" max="16" width="11" bestFit="1" customWidth="1"/>
    <col min="18" max="18" width="17" bestFit="1" customWidth="1"/>
    <col min="20" max="20" width="16" bestFit="1" customWidth="1"/>
  </cols>
  <sheetData>
    <row r="1" spans="1:20" ht="15.75" x14ac:dyDescent="0.25">
      <c r="A1" s="203" t="s">
        <v>186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20" ht="11.25" customHeight="1" x14ac:dyDescent="0.25">
      <c r="A2" s="108"/>
    </row>
    <row r="3" spans="1:20" ht="15.75" x14ac:dyDescent="0.25">
      <c r="A3" s="203" t="s">
        <v>302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</row>
    <row r="4" spans="1:20" ht="10.5" customHeight="1" x14ac:dyDescent="0.25">
      <c r="A4" s="108"/>
    </row>
    <row r="5" spans="1:20" ht="16.5" customHeight="1" x14ac:dyDescent="0.25">
      <c r="A5" s="209" t="s">
        <v>292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R5" s="172">
        <f>'OBRA 251'!Q13+'OBRA 274'!R14+'OBRA 283'!Q11+'OBRA 286'!Q11+'OBRA 287'!Q11+'OBRA 291'!Q11+'OBRA 295'!P11+'OBRA 296'!P11+'OBRA 298'!P12+'OBRA 299'!O11+'OBRA 300'!P12+'OBRA 301'!P11+'OBRA 302'!O11+'OBRA 303'!P11+'OBRA 304'!P11+'OBRA 305'!O11+'OBRA 306'!P11+'OBRA 307'!O11+'OBRA 308'!O11+'OBRA 309'!M11+'OBRA 310'!O11+'OBRA 311'!O11+'OBRA 312'!O11+'OBRA 315'!O11</f>
        <v>32449829.930000003</v>
      </c>
      <c r="S5" s="107" t="s">
        <v>264</v>
      </c>
      <c r="T5" s="107"/>
    </row>
    <row r="6" spans="1:20" x14ac:dyDescent="0.25">
      <c r="A6" s="110"/>
      <c r="R6" s="172">
        <f>TOTAIS!Z58</f>
        <v>736072.65690300171</v>
      </c>
      <c r="S6" s="107" t="s">
        <v>265</v>
      </c>
      <c r="T6" s="107"/>
    </row>
    <row r="7" spans="1:20" x14ac:dyDescent="0.25">
      <c r="A7" s="111"/>
      <c r="B7" s="60" t="s">
        <v>318</v>
      </c>
      <c r="C7" s="60" t="s">
        <v>304</v>
      </c>
      <c r="D7" s="60" t="s">
        <v>305</v>
      </c>
      <c r="E7" s="60" t="s">
        <v>306</v>
      </c>
      <c r="F7" s="60" t="s">
        <v>307</v>
      </c>
      <c r="G7" s="60" t="s">
        <v>308</v>
      </c>
      <c r="H7" s="60" t="s">
        <v>309</v>
      </c>
      <c r="I7" s="60" t="s">
        <v>310</v>
      </c>
      <c r="J7" s="60" t="s">
        <v>311</v>
      </c>
      <c r="K7" s="60" t="s">
        <v>312</v>
      </c>
      <c r="L7" s="60" t="s">
        <v>313</v>
      </c>
      <c r="M7" s="60" t="s">
        <v>314</v>
      </c>
      <c r="N7" s="60" t="s">
        <v>225</v>
      </c>
      <c r="O7" s="113" t="s">
        <v>1</v>
      </c>
      <c r="P7" s="158" t="s">
        <v>2</v>
      </c>
    </row>
    <row r="8" spans="1:20" x14ac:dyDescent="0.25">
      <c r="A8" s="114" t="s">
        <v>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6"/>
      <c r="P8" s="159"/>
    </row>
    <row r="9" spans="1:20" x14ac:dyDescent="0.25">
      <c r="A9" s="117" t="s">
        <v>4</v>
      </c>
      <c r="B9" s="118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  <c r="O9" s="119">
        <f>SUM(B9:N9)</f>
        <v>0</v>
      </c>
      <c r="P9" s="21">
        <v>1</v>
      </c>
      <c r="R9" s="98">
        <f t="shared" ref="R9:R52" si="0">SUM(A9:N9)</f>
        <v>0</v>
      </c>
      <c r="S9" s="98">
        <f>R9-O9</f>
        <v>0</v>
      </c>
    </row>
    <row r="10" spans="1:20" x14ac:dyDescent="0.25">
      <c r="A10" s="114" t="s">
        <v>5</v>
      </c>
      <c r="B10" s="118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  <c r="O10" s="119">
        <f>SUM(B10:N10)</f>
        <v>0</v>
      </c>
      <c r="P10" s="21"/>
      <c r="R10" s="98">
        <f t="shared" si="0"/>
        <v>0</v>
      </c>
      <c r="S10" s="98">
        <f t="shared" ref="S10:S52" si="1">R10-O10</f>
        <v>0</v>
      </c>
    </row>
    <row r="11" spans="1:20" x14ac:dyDescent="0.25">
      <c r="A11" s="121" t="s">
        <v>6</v>
      </c>
      <c r="B11" s="122">
        <f t="shared" ref="B11:C11" si="2">SUM(B9:B10)</f>
        <v>0</v>
      </c>
      <c r="C11" s="122">
        <f t="shared" si="2"/>
        <v>0</v>
      </c>
      <c r="D11" s="122">
        <f t="shared" ref="D11:N11" si="3">SUM(D9:D10)</f>
        <v>0</v>
      </c>
      <c r="E11" s="122">
        <f t="shared" si="3"/>
        <v>0</v>
      </c>
      <c r="F11" s="122">
        <f t="shared" si="3"/>
        <v>0</v>
      </c>
      <c r="G11" s="122">
        <f t="shared" si="3"/>
        <v>0</v>
      </c>
      <c r="H11" s="122">
        <f t="shared" si="3"/>
        <v>0</v>
      </c>
      <c r="I11" s="122">
        <f t="shared" si="3"/>
        <v>0</v>
      </c>
      <c r="J11" s="122">
        <f t="shared" si="3"/>
        <v>0</v>
      </c>
      <c r="K11" s="122">
        <f t="shared" si="3"/>
        <v>0</v>
      </c>
      <c r="L11" s="122">
        <f t="shared" si="3"/>
        <v>0</v>
      </c>
      <c r="M11" s="122">
        <f t="shared" si="3"/>
        <v>0</v>
      </c>
      <c r="N11" s="122">
        <f t="shared" si="3"/>
        <v>0</v>
      </c>
      <c r="O11" s="122">
        <f>SUM(O9:O10)</f>
        <v>0</v>
      </c>
      <c r="P11" s="21">
        <v>1</v>
      </c>
      <c r="R11" s="98">
        <f t="shared" si="0"/>
        <v>0</v>
      </c>
      <c r="S11" s="98">
        <f t="shared" si="1"/>
        <v>0</v>
      </c>
    </row>
    <row r="12" spans="1:20" x14ac:dyDescent="0.25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5"/>
      <c r="P12" s="160"/>
      <c r="R12" s="98">
        <f t="shared" si="0"/>
        <v>0</v>
      </c>
      <c r="S12" s="98">
        <f t="shared" si="1"/>
        <v>0</v>
      </c>
    </row>
    <row r="13" spans="1:20" x14ac:dyDescent="0.25">
      <c r="A13" s="126" t="s">
        <v>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/>
      <c r="P13" s="161"/>
      <c r="R13" s="98">
        <f t="shared" si="0"/>
        <v>0</v>
      </c>
      <c r="S13" s="98">
        <f t="shared" si="1"/>
        <v>0</v>
      </c>
    </row>
    <row r="14" spans="1:20" x14ac:dyDescent="0.25">
      <c r="A14" s="114" t="s">
        <v>8</v>
      </c>
      <c r="B14" s="128">
        <v>-836.51</v>
      </c>
      <c r="C14" s="128">
        <v>-760.47</v>
      </c>
      <c r="D14" s="128">
        <v>-4056.84</v>
      </c>
      <c r="E14" s="128">
        <v>-8832.4</v>
      </c>
      <c r="F14" s="128">
        <v>-4301.75</v>
      </c>
      <c r="G14" s="128">
        <v>-8978.56</v>
      </c>
      <c r="H14" s="128">
        <v>0</v>
      </c>
      <c r="I14" s="128">
        <v>0</v>
      </c>
      <c r="J14" s="128">
        <v>0</v>
      </c>
      <c r="K14" s="128">
        <v>0</v>
      </c>
      <c r="L14" s="128">
        <v>0</v>
      </c>
      <c r="M14" s="128">
        <v>0</v>
      </c>
      <c r="N14" s="128">
        <v>0</v>
      </c>
      <c r="O14" s="119">
        <f>SUM(B14:N14)</f>
        <v>-27766.53</v>
      </c>
      <c r="P14" s="21"/>
      <c r="R14" s="98">
        <f t="shared" si="0"/>
        <v>-27766.53</v>
      </c>
      <c r="S14" s="98">
        <f t="shared" si="1"/>
        <v>0</v>
      </c>
    </row>
    <row r="15" spans="1:20" x14ac:dyDescent="0.25">
      <c r="A15" s="129" t="s">
        <v>9</v>
      </c>
      <c r="B15" s="128">
        <v>0</v>
      </c>
      <c r="C15" s="128">
        <v>0</v>
      </c>
      <c r="D15" s="128">
        <v>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0</v>
      </c>
      <c r="L15" s="128">
        <v>0</v>
      </c>
      <c r="M15" s="128">
        <v>0</v>
      </c>
      <c r="N15" s="128">
        <v>0</v>
      </c>
      <c r="O15" s="119">
        <f t="shared" ref="O15:O39" si="4">SUM(B15:N15)</f>
        <v>0</v>
      </c>
      <c r="P15" s="21"/>
      <c r="R15" s="98">
        <f t="shared" si="0"/>
        <v>0</v>
      </c>
      <c r="S15" s="98">
        <f t="shared" si="1"/>
        <v>0</v>
      </c>
    </row>
    <row r="16" spans="1:20" x14ac:dyDescent="0.25">
      <c r="A16" s="114" t="s">
        <v>10</v>
      </c>
      <c r="B16" s="128">
        <v>0</v>
      </c>
      <c r="C16" s="128">
        <v>0</v>
      </c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28">
        <v>0</v>
      </c>
      <c r="O16" s="119">
        <f t="shared" si="4"/>
        <v>0</v>
      </c>
      <c r="P16" s="21"/>
      <c r="R16" s="98">
        <f t="shared" si="0"/>
        <v>0</v>
      </c>
      <c r="S16" s="98">
        <f t="shared" si="1"/>
        <v>0</v>
      </c>
    </row>
    <row r="17" spans="1:19" x14ac:dyDescent="0.25">
      <c r="A17" s="129" t="s">
        <v>11</v>
      </c>
      <c r="B17" s="128">
        <v>-44.76</v>
      </c>
      <c r="C17" s="128">
        <v>-140.13</v>
      </c>
      <c r="D17" s="128">
        <v>0</v>
      </c>
      <c r="E17" s="128">
        <v>0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28">
        <v>0</v>
      </c>
      <c r="O17" s="119">
        <f t="shared" si="4"/>
        <v>-184.89</v>
      </c>
      <c r="P17" s="21"/>
      <c r="R17" s="98">
        <f t="shared" si="0"/>
        <v>-184.89</v>
      </c>
      <c r="S17" s="98">
        <f t="shared" si="1"/>
        <v>0</v>
      </c>
    </row>
    <row r="18" spans="1:19" x14ac:dyDescent="0.25">
      <c r="A18" s="114" t="s">
        <v>12</v>
      </c>
      <c r="B18" s="128">
        <v>-693.16</v>
      </c>
      <c r="C18" s="128">
        <v>-2344.52</v>
      </c>
      <c r="D18" s="128">
        <v>-4052.31</v>
      </c>
      <c r="E18" s="128">
        <v>-3544.75</v>
      </c>
      <c r="F18" s="128">
        <v>-5499.37</v>
      </c>
      <c r="G18" s="128">
        <v>-7408.79</v>
      </c>
      <c r="H18" s="128">
        <v>0</v>
      </c>
      <c r="I18" s="128">
        <v>0</v>
      </c>
      <c r="J18" s="128">
        <v>0</v>
      </c>
      <c r="K18" s="128">
        <v>0</v>
      </c>
      <c r="L18" s="128">
        <v>0</v>
      </c>
      <c r="M18" s="128">
        <v>0</v>
      </c>
      <c r="N18" s="128">
        <v>0</v>
      </c>
      <c r="O18" s="119">
        <f t="shared" si="4"/>
        <v>-23542.9</v>
      </c>
      <c r="P18" s="21"/>
      <c r="R18" s="98">
        <f t="shared" si="0"/>
        <v>-23542.9</v>
      </c>
      <c r="S18" s="98">
        <f t="shared" si="1"/>
        <v>0</v>
      </c>
    </row>
    <row r="19" spans="1:19" x14ac:dyDescent="0.25">
      <c r="A19" s="114" t="s">
        <v>13</v>
      </c>
      <c r="B19" s="128">
        <v>-510.72</v>
      </c>
      <c r="C19" s="128">
        <v>-1389.62</v>
      </c>
      <c r="D19" s="128">
        <v>-3162.05</v>
      </c>
      <c r="E19" s="128">
        <v>-2731.82</v>
      </c>
      <c r="F19" s="128">
        <v>-4204.6099999999997</v>
      </c>
      <c r="G19" s="128">
        <v>-6947.03</v>
      </c>
      <c r="H19" s="128">
        <v>0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  <c r="N19" s="128">
        <v>0</v>
      </c>
      <c r="O19" s="119">
        <f t="shared" si="4"/>
        <v>-18945.849999999999</v>
      </c>
      <c r="P19" s="21"/>
      <c r="R19" s="98">
        <f t="shared" si="0"/>
        <v>-18945.849999999999</v>
      </c>
      <c r="S19" s="98">
        <f t="shared" si="1"/>
        <v>0</v>
      </c>
    </row>
    <row r="20" spans="1:19" x14ac:dyDescent="0.25">
      <c r="A20" s="114" t="s">
        <v>14</v>
      </c>
      <c r="B20" s="128">
        <v>-117.42</v>
      </c>
      <c r="C20" s="128">
        <v>-361.1</v>
      </c>
      <c r="D20" s="128">
        <v>-3473.62</v>
      </c>
      <c r="E20" s="128">
        <v>-4021.2</v>
      </c>
      <c r="F20" s="128">
        <v>-7467.29</v>
      </c>
      <c r="G20" s="128">
        <v>-12186.82</v>
      </c>
      <c r="H20" s="128">
        <v>0</v>
      </c>
      <c r="I20" s="128">
        <v>0</v>
      </c>
      <c r="J20" s="128">
        <v>0</v>
      </c>
      <c r="K20" s="128">
        <v>0</v>
      </c>
      <c r="L20" s="128">
        <v>0</v>
      </c>
      <c r="M20" s="128">
        <v>0</v>
      </c>
      <c r="N20" s="128">
        <v>0</v>
      </c>
      <c r="O20" s="119">
        <f t="shared" si="4"/>
        <v>-27627.45</v>
      </c>
      <c r="P20" s="21"/>
      <c r="R20" s="98">
        <f t="shared" si="0"/>
        <v>-27627.45</v>
      </c>
      <c r="S20" s="98">
        <f t="shared" si="1"/>
        <v>0</v>
      </c>
    </row>
    <row r="21" spans="1:19" x14ac:dyDescent="0.25">
      <c r="A21" s="114" t="s">
        <v>15</v>
      </c>
      <c r="B21" s="128">
        <v>0</v>
      </c>
      <c r="C21" s="128">
        <v>0</v>
      </c>
      <c r="D21" s="128">
        <v>0</v>
      </c>
      <c r="E21" s="128">
        <v>0</v>
      </c>
      <c r="F21" s="128">
        <v>1812.81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28">
        <v>0</v>
      </c>
      <c r="N21" s="128">
        <v>0</v>
      </c>
      <c r="O21" s="119">
        <f t="shared" si="4"/>
        <v>1812.81</v>
      </c>
      <c r="P21" s="21"/>
      <c r="R21" s="98">
        <f t="shared" si="0"/>
        <v>1812.81</v>
      </c>
      <c r="S21" s="98">
        <f t="shared" si="1"/>
        <v>0</v>
      </c>
    </row>
    <row r="22" spans="1:19" x14ac:dyDescent="0.25">
      <c r="A22" s="114" t="s">
        <v>16</v>
      </c>
      <c r="B22" s="128">
        <v>0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19">
        <f t="shared" si="4"/>
        <v>0</v>
      </c>
      <c r="P22" s="21"/>
      <c r="R22" s="98">
        <f t="shared" si="0"/>
        <v>0</v>
      </c>
      <c r="S22" s="98">
        <f t="shared" si="1"/>
        <v>0</v>
      </c>
    </row>
    <row r="23" spans="1:19" x14ac:dyDescent="0.25">
      <c r="A23" s="114" t="s">
        <v>17</v>
      </c>
      <c r="B23" s="128">
        <v>-968.38</v>
      </c>
      <c r="C23" s="128">
        <v>-3698.22</v>
      </c>
      <c r="D23" s="128">
        <v>-7392.8</v>
      </c>
      <c r="E23" s="128">
        <v>-6971.37</v>
      </c>
      <c r="F23" s="128">
        <v>-10942.01</v>
      </c>
      <c r="G23" s="128">
        <v>-13457.74</v>
      </c>
      <c r="H23" s="128">
        <v>0</v>
      </c>
      <c r="I23" s="128">
        <v>0</v>
      </c>
      <c r="J23" s="128">
        <v>0</v>
      </c>
      <c r="K23" s="128">
        <v>0</v>
      </c>
      <c r="L23" s="128">
        <v>0</v>
      </c>
      <c r="M23" s="128">
        <v>0</v>
      </c>
      <c r="N23" s="128">
        <v>0</v>
      </c>
      <c r="O23" s="119">
        <f t="shared" si="4"/>
        <v>-43430.52</v>
      </c>
      <c r="P23" s="21"/>
      <c r="R23" s="98">
        <f t="shared" si="0"/>
        <v>-43430.52</v>
      </c>
      <c r="S23" s="98">
        <f t="shared" si="1"/>
        <v>0</v>
      </c>
    </row>
    <row r="24" spans="1:19" x14ac:dyDescent="0.25">
      <c r="A24" s="114" t="s">
        <v>18</v>
      </c>
      <c r="B24" s="128">
        <v>0</v>
      </c>
      <c r="C24" s="128">
        <v>0</v>
      </c>
      <c r="D24" s="128">
        <v>0</v>
      </c>
      <c r="E24" s="128">
        <v>0</v>
      </c>
      <c r="F24" s="128">
        <v>0</v>
      </c>
      <c r="G24" s="128">
        <v>0</v>
      </c>
      <c r="H24" s="128">
        <v>0</v>
      </c>
      <c r="I24" s="128">
        <v>0</v>
      </c>
      <c r="J24" s="128">
        <v>0</v>
      </c>
      <c r="K24" s="128">
        <v>0</v>
      </c>
      <c r="L24" s="128">
        <v>0</v>
      </c>
      <c r="M24" s="128">
        <v>0</v>
      </c>
      <c r="N24" s="128">
        <v>0</v>
      </c>
      <c r="O24" s="119">
        <f t="shared" si="4"/>
        <v>0</v>
      </c>
      <c r="P24" s="21"/>
      <c r="R24" s="98">
        <f t="shared" si="0"/>
        <v>0</v>
      </c>
      <c r="S24" s="98">
        <f t="shared" si="1"/>
        <v>0</v>
      </c>
    </row>
    <row r="25" spans="1:19" x14ac:dyDescent="0.25">
      <c r="A25" s="114" t="s">
        <v>19</v>
      </c>
      <c r="B25" s="128">
        <v>0</v>
      </c>
      <c r="C25" s="128">
        <v>0</v>
      </c>
      <c r="D25" s="128">
        <v>0</v>
      </c>
      <c r="E25" s="128">
        <v>0</v>
      </c>
      <c r="F25" s="128">
        <v>0</v>
      </c>
      <c r="G25" s="128">
        <v>0</v>
      </c>
      <c r="H25" s="128">
        <v>0</v>
      </c>
      <c r="I25" s="128">
        <v>0</v>
      </c>
      <c r="J25" s="128">
        <v>0</v>
      </c>
      <c r="K25" s="128">
        <v>0</v>
      </c>
      <c r="L25" s="128">
        <v>0</v>
      </c>
      <c r="M25" s="128">
        <v>0</v>
      </c>
      <c r="N25" s="128">
        <v>0</v>
      </c>
      <c r="O25" s="119">
        <f t="shared" si="4"/>
        <v>0</v>
      </c>
      <c r="P25" s="21"/>
      <c r="R25" s="98">
        <f t="shared" si="0"/>
        <v>0</v>
      </c>
      <c r="S25" s="98">
        <f t="shared" si="1"/>
        <v>0</v>
      </c>
    </row>
    <row r="26" spans="1:19" x14ac:dyDescent="0.25">
      <c r="A26" s="114" t="s">
        <v>20</v>
      </c>
      <c r="B26" s="128">
        <v>0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28">
        <v>0</v>
      </c>
      <c r="L26" s="128">
        <v>0</v>
      </c>
      <c r="M26" s="128">
        <v>0</v>
      </c>
      <c r="N26" s="128">
        <v>0</v>
      </c>
      <c r="O26" s="119">
        <f t="shared" si="4"/>
        <v>0</v>
      </c>
      <c r="P26" s="21"/>
      <c r="R26" s="98">
        <f t="shared" si="0"/>
        <v>0</v>
      </c>
      <c r="S26" s="98">
        <f t="shared" si="1"/>
        <v>0</v>
      </c>
    </row>
    <row r="27" spans="1:19" x14ac:dyDescent="0.25">
      <c r="A27" s="114" t="s">
        <v>59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28">
        <v>0</v>
      </c>
      <c r="L27" s="128">
        <v>0</v>
      </c>
      <c r="M27" s="128">
        <v>0</v>
      </c>
      <c r="N27" s="128">
        <v>0</v>
      </c>
      <c r="O27" s="119">
        <f t="shared" si="4"/>
        <v>0</v>
      </c>
      <c r="P27" s="21"/>
      <c r="R27" s="98">
        <f t="shared" si="0"/>
        <v>0</v>
      </c>
      <c r="S27" s="98">
        <f t="shared" si="1"/>
        <v>0</v>
      </c>
    </row>
    <row r="28" spans="1:19" x14ac:dyDescent="0.25">
      <c r="A28" s="114" t="s">
        <v>21</v>
      </c>
      <c r="B28" s="128">
        <v>0</v>
      </c>
      <c r="C28" s="128">
        <v>0</v>
      </c>
      <c r="D28" s="128">
        <v>-1080</v>
      </c>
      <c r="E28" s="128">
        <v>-405</v>
      </c>
      <c r="F28" s="128">
        <v>-540</v>
      </c>
      <c r="G28" s="128">
        <v>-810</v>
      </c>
      <c r="H28" s="128">
        <v>0</v>
      </c>
      <c r="I28" s="128">
        <v>0</v>
      </c>
      <c r="J28" s="128">
        <v>0</v>
      </c>
      <c r="K28" s="128">
        <v>0</v>
      </c>
      <c r="L28" s="128">
        <v>0</v>
      </c>
      <c r="M28" s="128">
        <v>0</v>
      </c>
      <c r="N28" s="128">
        <v>0</v>
      </c>
      <c r="O28" s="119">
        <f t="shared" si="4"/>
        <v>-2835</v>
      </c>
      <c r="P28" s="21"/>
      <c r="R28" s="98">
        <f t="shared" si="0"/>
        <v>-2835</v>
      </c>
      <c r="S28" s="98">
        <f t="shared" si="1"/>
        <v>0</v>
      </c>
    </row>
    <row r="29" spans="1:19" x14ac:dyDescent="0.25">
      <c r="A29" s="114" t="s">
        <v>22</v>
      </c>
      <c r="B29" s="128">
        <v>0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28">
        <v>0</v>
      </c>
      <c r="O29" s="119">
        <f t="shared" si="4"/>
        <v>0</v>
      </c>
      <c r="P29" s="21"/>
      <c r="R29" s="98">
        <f t="shared" si="0"/>
        <v>0</v>
      </c>
      <c r="S29" s="98">
        <f t="shared" si="1"/>
        <v>0</v>
      </c>
    </row>
    <row r="30" spans="1:19" x14ac:dyDescent="0.25">
      <c r="A30" s="129" t="s">
        <v>23</v>
      </c>
      <c r="B30" s="128">
        <v>0</v>
      </c>
      <c r="C30" s="128">
        <v>0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8">
        <v>0</v>
      </c>
      <c r="K30" s="128">
        <v>0</v>
      </c>
      <c r="L30" s="128">
        <v>0</v>
      </c>
      <c r="M30" s="128">
        <v>0</v>
      </c>
      <c r="N30" s="128">
        <v>0</v>
      </c>
      <c r="O30" s="119">
        <f t="shared" si="4"/>
        <v>0</v>
      </c>
      <c r="P30" s="21"/>
      <c r="R30" s="98">
        <f t="shared" si="0"/>
        <v>0</v>
      </c>
      <c r="S30" s="98">
        <f t="shared" si="1"/>
        <v>0</v>
      </c>
    </row>
    <row r="31" spans="1:19" x14ac:dyDescent="0.25">
      <c r="A31" s="114" t="s">
        <v>24</v>
      </c>
      <c r="B31" s="128">
        <v>-8303.6</v>
      </c>
      <c r="C31" s="128">
        <v>-8657.65</v>
      </c>
      <c r="D31" s="128">
        <v>-15743.88</v>
      </c>
      <c r="E31" s="128">
        <v>-21095</v>
      </c>
      <c r="F31" s="128">
        <v>-16867</v>
      </c>
      <c r="G31" s="128">
        <v>-31056</v>
      </c>
      <c r="H31" s="128">
        <v>0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28">
        <v>0</v>
      </c>
      <c r="O31" s="119">
        <f t="shared" si="4"/>
        <v>-101723.13</v>
      </c>
      <c r="P31" s="21"/>
      <c r="R31" s="98">
        <f t="shared" si="0"/>
        <v>-101723.13</v>
      </c>
      <c r="S31" s="98">
        <f t="shared" si="1"/>
        <v>0</v>
      </c>
    </row>
    <row r="32" spans="1:19" x14ac:dyDescent="0.25">
      <c r="A32" s="130" t="s">
        <v>25</v>
      </c>
      <c r="B32" s="128">
        <v>-5081.5200000000004</v>
      </c>
      <c r="C32" s="128">
        <v>-16716.810000000001</v>
      </c>
      <c r="D32" s="128">
        <v>-32486.84</v>
      </c>
      <c r="E32" s="128">
        <v>-27615.8</v>
      </c>
      <c r="F32" s="128">
        <v>-48552.62</v>
      </c>
      <c r="G32" s="128">
        <v>-56131.13</v>
      </c>
      <c r="H32" s="128">
        <v>0</v>
      </c>
      <c r="I32" s="128">
        <v>0</v>
      </c>
      <c r="J32" s="128">
        <v>0</v>
      </c>
      <c r="K32" s="128">
        <v>0</v>
      </c>
      <c r="L32" s="128">
        <v>0</v>
      </c>
      <c r="M32" s="128">
        <v>0</v>
      </c>
      <c r="N32" s="128">
        <v>0</v>
      </c>
      <c r="O32" s="119">
        <f t="shared" si="4"/>
        <v>-186584.72</v>
      </c>
      <c r="P32" s="21"/>
      <c r="R32" s="98">
        <f t="shared" si="0"/>
        <v>-186584.72</v>
      </c>
      <c r="S32" s="98">
        <f t="shared" si="1"/>
        <v>0</v>
      </c>
    </row>
    <row r="33" spans="1:19" x14ac:dyDescent="0.25">
      <c r="A33" s="114" t="s">
        <v>26</v>
      </c>
      <c r="B33" s="128">
        <v>-270</v>
      </c>
      <c r="C33" s="128">
        <v>0</v>
      </c>
      <c r="D33" s="128">
        <v>0</v>
      </c>
      <c r="E33" s="128">
        <v>0</v>
      </c>
      <c r="F33" s="128">
        <v>0</v>
      </c>
      <c r="G33" s="128">
        <v>0</v>
      </c>
      <c r="H33" s="128">
        <v>0</v>
      </c>
      <c r="I33" s="128">
        <v>0</v>
      </c>
      <c r="J33" s="128">
        <v>0</v>
      </c>
      <c r="K33" s="128">
        <v>0</v>
      </c>
      <c r="L33" s="128">
        <v>0</v>
      </c>
      <c r="M33" s="128">
        <v>0</v>
      </c>
      <c r="N33" s="128">
        <v>0</v>
      </c>
      <c r="O33" s="119">
        <f t="shared" si="4"/>
        <v>-270</v>
      </c>
      <c r="P33" s="21"/>
      <c r="R33" s="98">
        <f t="shared" si="0"/>
        <v>-270</v>
      </c>
      <c r="S33" s="98">
        <f t="shared" si="1"/>
        <v>0</v>
      </c>
    </row>
    <row r="34" spans="1:19" x14ac:dyDescent="0.25">
      <c r="A34" s="114" t="s">
        <v>27</v>
      </c>
      <c r="B34" s="128">
        <v>0</v>
      </c>
      <c r="C34" s="128">
        <v>0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19">
        <f t="shared" si="4"/>
        <v>0</v>
      </c>
      <c r="P34" s="21"/>
      <c r="R34" s="98">
        <f t="shared" si="0"/>
        <v>0</v>
      </c>
      <c r="S34" s="98">
        <f t="shared" si="1"/>
        <v>0</v>
      </c>
    </row>
    <row r="35" spans="1:19" x14ac:dyDescent="0.25">
      <c r="A35" s="129" t="s">
        <v>28</v>
      </c>
      <c r="B35" s="128">
        <v>-44.34</v>
      </c>
      <c r="C35" s="128">
        <v>0</v>
      </c>
      <c r="D35" s="128">
        <v>0</v>
      </c>
      <c r="E35" s="128">
        <v>0</v>
      </c>
      <c r="F35" s="128">
        <v>0</v>
      </c>
      <c r="G35" s="128">
        <v>0</v>
      </c>
      <c r="H35" s="128">
        <v>0</v>
      </c>
      <c r="I35" s="128">
        <v>0</v>
      </c>
      <c r="J35" s="128">
        <v>0</v>
      </c>
      <c r="K35" s="128">
        <v>0</v>
      </c>
      <c r="L35" s="128">
        <v>0</v>
      </c>
      <c r="M35" s="128">
        <v>0</v>
      </c>
      <c r="N35" s="128">
        <v>0</v>
      </c>
      <c r="O35" s="119">
        <f t="shared" si="4"/>
        <v>-44.34</v>
      </c>
      <c r="P35" s="21"/>
      <c r="R35" s="98">
        <f t="shared" si="0"/>
        <v>-44.34</v>
      </c>
      <c r="S35" s="98">
        <f t="shared" si="1"/>
        <v>0</v>
      </c>
    </row>
    <row r="36" spans="1:19" x14ac:dyDescent="0.25">
      <c r="A36" s="114" t="s">
        <v>29</v>
      </c>
      <c r="B36" s="128">
        <v>-325.19</v>
      </c>
      <c r="C36" s="128">
        <v>-1033.26</v>
      </c>
      <c r="D36" s="128">
        <v>-2689.16</v>
      </c>
      <c r="E36" s="128">
        <v>-3221.55</v>
      </c>
      <c r="F36" s="128">
        <v>-1286</v>
      </c>
      <c r="G36" s="128">
        <v>-4294.3500000000004</v>
      </c>
      <c r="H36" s="128">
        <v>0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28">
        <v>0</v>
      </c>
      <c r="O36" s="119">
        <f t="shared" si="4"/>
        <v>-12849.51</v>
      </c>
      <c r="P36" s="21"/>
      <c r="R36" s="98">
        <f t="shared" si="0"/>
        <v>-12849.51</v>
      </c>
      <c r="S36" s="98">
        <f t="shared" si="1"/>
        <v>0</v>
      </c>
    </row>
    <row r="37" spans="1:19" x14ac:dyDescent="0.25">
      <c r="A37" s="15" t="s">
        <v>276</v>
      </c>
      <c r="B37" s="128">
        <v>-360.02</v>
      </c>
      <c r="C37" s="128">
        <v>-1712.11</v>
      </c>
      <c r="D37" s="128">
        <v>-3252.7</v>
      </c>
      <c r="E37" s="128">
        <v>-2872.04</v>
      </c>
      <c r="F37" s="128">
        <v>-4384.28</v>
      </c>
      <c r="G37" s="128">
        <v>-5829.72</v>
      </c>
      <c r="H37" s="128">
        <v>0</v>
      </c>
      <c r="I37" s="128">
        <v>0</v>
      </c>
      <c r="J37" s="128">
        <v>0</v>
      </c>
      <c r="K37" s="128">
        <v>0</v>
      </c>
      <c r="L37" s="128">
        <v>0</v>
      </c>
      <c r="M37" s="128">
        <v>0</v>
      </c>
      <c r="N37" s="128">
        <v>0</v>
      </c>
      <c r="O37" s="119">
        <f t="shared" si="4"/>
        <v>-18410.87</v>
      </c>
      <c r="P37" s="21"/>
      <c r="R37" s="98">
        <f t="shared" si="0"/>
        <v>-18410.87</v>
      </c>
      <c r="S37" s="98">
        <f t="shared" si="1"/>
        <v>0</v>
      </c>
    </row>
    <row r="38" spans="1:19" x14ac:dyDescent="0.25">
      <c r="A38" s="114" t="s">
        <v>97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28">
        <v>0</v>
      </c>
      <c r="N38" s="128">
        <v>0</v>
      </c>
      <c r="O38" s="119">
        <f t="shared" si="4"/>
        <v>0</v>
      </c>
      <c r="P38" s="21"/>
      <c r="R38" s="98">
        <f t="shared" si="0"/>
        <v>0</v>
      </c>
      <c r="S38" s="98">
        <f t="shared" si="1"/>
        <v>0</v>
      </c>
    </row>
    <row r="39" spans="1:19" x14ac:dyDescent="0.25">
      <c r="A39" s="114" t="s">
        <v>114</v>
      </c>
      <c r="B39" s="128">
        <v>0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28">
        <v>0</v>
      </c>
      <c r="O39" s="119">
        <f t="shared" si="4"/>
        <v>0</v>
      </c>
      <c r="P39" s="21"/>
      <c r="R39" s="98">
        <f t="shared" si="0"/>
        <v>0</v>
      </c>
      <c r="S39" s="98">
        <f t="shared" si="1"/>
        <v>0</v>
      </c>
    </row>
    <row r="40" spans="1:19" x14ac:dyDescent="0.25">
      <c r="A40" s="131" t="s">
        <v>31</v>
      </c>
      <c r="B40" s="132">
        <f t="shared" ref="B40:C40" si="5">SUM(B14:B39)</f>
        <v>-17555.62</v>
      </c>
      <c r="C40" s="132">
        <f t="shared" si="5"/>
        <v>-36813.890000000007</v>
      </c>
      <c r="D40" s="132">
        <f t="shared" ref="D40:N40" si="6">SUM(D14:D39)</f>
        <v>-77390.2</v>
      </c>
      <c r="E40" s="132">
        <f t="shared" si="6"/>
        <v>-81310.929999999993</v>
      </c>
      <c r="F40" s="132">
        <f t="shared" si="6"/>
        <v>-102232.12</v>
      </c>
      <c r="G40" s="132">
        <f t="shared" si="6"/>
        <v>-147100.14000000001</v>
      </c>
      <c r="H40" s="132">
        <f t="shared" si="6"/>
        <v>0</v>
      </c>
      <c r="I40" s="132">
        <f t="shared" si="6"/>
        <v>0</v>
      </c>
      <c r="J40" s="132">
        <f t="shared" si="6"/>
        <v>0</v>
      </c>
      <c r="K40" s="132">
        <f t="shared" si="6"/>
        <v>0</v>
      </c>
      <c r="L40" s="132">
        <f t="shared" si="6"/>
        <v>0</v>
      </c>
      <c r="M40" s="132">
        <f t="shared" si="6"/>
        <v>0</v>
      </c>
      <c r="N40" s="132">
        <f t="shared" si="6"/>
        <v>0</v>
      </c>
      <c r="O40" s="132">
        <f>SUM(O14:O39)</f>
        <v>-462402.9</v>
      </c>
      <c r="P40" s="21"/>
      <c r="R40" s="98">
        <f t="shared" si="0"/>
        <v>-462402.9</v>
      </c>
      <c r="S40" s="98">
        <f t="shared" si="1"/>
        <v>0</v>
      </c>
    </row>
    <row r="41" spans="1:19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25"/>
      <c r="P41" s="159"/>
      <c r="R41" s="98">
        <f t="shared" si="0"/>
        <v>0</v>
      </c>
      <c r="S41" s="98">
        <f t="shared" si="1"/>
        <v>0</v>
      </c>
    </row>
    <row r="42" spans="1:19" x14ac:dyDescent="0.25">
      <c r="A42" s="135" t="s">
        <v>32</v>
      </c>
      <c r="B42" s="136">
        <f t="shared" ref="B42:C42" si="7">B11+B40</f>
        <v>-17555.62</v>
      </c>
      <c r="C42" s="136">
        <f t="shared" si="7"/>
        <v>-36813.890000000007</v>
      </c>
      <c r="D42" s="136">
        <f t="shared" ref="D42:N42" si="8">D11+D40</f>
        <v>-77390.2</v>
      </c>
      <c r="E42" s="136">
        <f t="shared" si="8"/>
        <v>-81310.929999999993</v>
      </c>
      <c r="F42" s="136">
        <f t="shared" si="8"/>
        <v>-102232.12</v>
      </c>
      <c r="G42" s="136">
        <f t="shared" si="8"/>
        <v>-147100.14000000001</v>
      </c>
      <c r="H42" s="136">
        <f t="shared" si="8"/>
        <v>0</v>
      </c>
      <c r="I42" s="136">
        <f t="shared" si="8"/>
        <v>0</v>
      </c>
      <c r="J42" s="136">
        <f t="shared" si="8"/>
        <v>0</v>
      </c>
      <c r="K42" s="136">
        <f t="shared" si="8"/>
        <v>0</v>
      </c>
      <c r="L42" s="136">
        <f t="shared" si="8"/>
        <v>0</v>
      </c>
      <c r="M42" s="136">
        <f t="shared" si="8"/>
        <v>0</v>
      </c>
      <c r="N42" s="136">
        <f t="shared" si="8"/>
        <v>0</v>
      </c>
      <c r="O42" s="157">
        <f>SUM(B42:N42)</f>
        <v>-462402.9</v>
      </c>
      <c r="P42" s="21"/>
      <c r="R42" s="98">
        <f t="shared" si="0"/>
        <v>-462402.9</v>
      </c>
      <c r="S42" s="98">
        <f t="shared" si="1"/>
        <v>0</v>
      </c>
    </row>
    <row r="43" spans="1:19" x14ac:dyDescent="0.25">
      <c r="A43" s="13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62"/>
      <c r="R43" s="98">
        <f t="shared" si="0"/>
        <v>0</v>
      </c>
      <c r="S43" s="98">
        <f t="shared" si="1"/>
        <v>0</v>
      </c>
    </row>
    <row r="44" spans="1:19" x14ac:dyDescent="0.25">
      <c r="A44" s="126" t="s">
        <v>56</v>
      </c>
      <c r="B44" s="139">
        <f t="shared" ref="B44:C44" si="9">-B9*13.15%</f>
        <v>0</v>
      </c>
      <c r="C44" s="139">
        <f t="shared" si="9"/>
        <v>0</v>
      </c>
      <c r="D44" s="139">
        <f t="shared" ref="D44:N44" si="10">-D9*13.15%</f>
        <v>0</v>
      </c>
      <c r="E44" s="139">
        <f t="shared" si="10"/>
        <v>0</v>
      </c>
      <c r="F44" s="139">
        <f t="shared" si="10"/>
        <v>0</v>
      </c>
      <c r="G44" s="139">
        <f t="shared" si="10"/>
        <v>0</v>
      </c>
      <c r="H44" s="139">
        <f t="shared" si="10"/>
        <v>0</v>
      </c>
      <c r="I44" s="139">
        <f t="shared" si="10"/>
        <v>0</v>
      </c>
      <c r="J44" s="139">
        <f t="shared" si="10"/>
        <v>0</v>
      </c>
      <c r="K44" s="139">
        <f t="shared" si="10"/>
        <v>0</v>
      </c>
      <c r="L44" s="139">
        <f t="shared" si="10"/>
        <v>0</v>
      </c>
      <c r="M44" s="139">
        <f t="shared" si="10"/>
        <v>0</v>
      </c>
      <c r="N44" s="139">
        <f t="shared" si="10"/>
        <v>0</v>
      </c>
      <c r="O44" s="119">
        <f t="shared" ref="O44" si="11">SUM(B44:N44)</f>
        <v>0</v>
      </c>
      <c r="P44" s="21"/>
      <c r="R44" s="98">
        <f t="shared" si="0"/>
        <v>0</v>
      </c>
      <c r="S44" s="98">
        <f t="shared" si="1"/>
        <v>0</v>
      </c>
    </row>
    <row r="45" spans="1:19" x14ac:dyDescent="0.25">
      <c r="A45" s="137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62"/>
      <c r="R45" s="98">
        <f t="shared" si="0"/>
        <v>0</v>
      </c>
      <c r="S45" s="98">
        <f t="shared" si="1"/>
        <v>0</v>
      </c>
    </row>
    <row r="46" spans="1:19" x14ac:dyDescent="0.25">
      <c r="A46" s="126" t="s">
        <v>33</v>
      </c>
      <c r="B46" s="139">
        <f t="shared" ref="B46:C46" si="12">-B9*1.22%</f>
        <v>0</v>
      </c>
      <c r="C46" s="139">
        <f t="shared" si="12"/>
        <v>0</v>
      </c>
      <c r="D46" s="139">
        <f t="shared" ref="D46:N46" si="13">-D9*1.22%</f>
        <v>0</v>
      </c>
      <c r="E46" s="139">
        <f t="shared" si="13"/>
        <v>0</v>
      </c>
      <c r="F46" s="139">
        <f t="shared" si="13"/>
        <v>0</v>
      </c>
      <c r="G46" s="139">
        <f t="shared" si="13"/>
        <v>0</v>
      </c>
      <c r="H46" s="139">
        <f t="shared" si="13"/>
        <v>0</v>
      </c>
      <c r="I46" s="139">
        <f t="shared" si="13"/>
        <v>0</v>
      </c>
      <c r="J46" s="139">
        <f t="shared" si="13"/>
        <v>0</v>
      </c>
      <c r="K46" s="139">
        <f t="shared" si="13"/>
        <v>0</v>
      </c>
      <c r="L46" s="139">
        <f t="shared" si="13"/>
        <v>0</v>
      </c>
      <c r="M46" s="139">
        <f t="shared" si="13"/>
        <v>0</v>
      </c>
      <c r="N46" s="139">
        <f t="shared" si="13"/>
        <v>0</v>
      </c>
      <c r="O46" s="119">
        <f t="shared" ref="O46" si="14">SUM(B46:N46)</f>
        <v>0</v>
      </c>
      <c r="P46" s="21"/>
      <c r="R46" s="98">
        <f t="shared" si="0"/>
        <v>0</v>
      </c>
      <c r="S46" s="98">
        <f t="shared" si="1"/>
        <v>0</v>
      </c>
    </row>
    <row r="47" spans="1:19" x14ac:dyDescent="0.2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62"/>
      <c r="R47" s="98">
        <f t="shared" si="0"/>
        <v>0</v>
      </c>
      <c r="S47" s="98">
        <f t="shared" si="1"/>
        <v>0</v>
      </c>
    </row>
    <row r="48" spans="1:19" x14ac:dyDescent="0.25">
      <c r="A48" s="113" t="s">
        <v>57</v>
      </c>
      <c r="B48" s="142">
        <f>B40*5.56%</f>
        <v>-976.09247199999993</v>
      </c>
      <c r="C48" s="142">
        <f>C40*5.56%</f>
        <v>-2046.8522840000003</v>
      </c>
      <c r="D48" s="142">
        <f t="shared" ref="D48:N48" si="15">D40*5.56%</f>
        <v>-4302.8951199999992</v>
      </c>
      <c r="E48" s="142">
        <f t="shared" si="15"/>
        <v>-4520.8877079999993</v>
      </c>
      <c r="F48" s="142">
        <f t="shared" si="15"/>
        <v>-5684.1058719999992</v>
      </c>
      <c r="G48" s="142">
        <f t="shared" si="15"/>
        <v>-8178.7677840000006</v>
      </c>
      <c r="H48" s="142">
        <f t="shared" si="15"/>
        <v>0</v>
      </c>
      <c r="I48" s="142">
        <f t="shared" si="15"/>
        <v>0</v>
      </c>
      <c r="J48" s="142">
        <f t="shared" si="15"/>
        <v>0</v>
      </c>
      <c r="K48" s="142">
        <f t="shared" si="15"/>
        <v>0</v>
      </c>
      <c r="L48" s="142">
        <f t="shared" si="15"/>
        <v>0</v>
      </c>
      <c r="M48" s="142">
        <f t="shared" si="15"/>
        <v>0</v>
      </c>
      <c r="N48" s="142">
        <f t="shared" si="15"/>
        <v>0</v>
      </c>
      <c r="O48" s="119">
        <f t="shared" ref="O48" si="16">SUM(B48:N48)</f>
        <v>-25709.60124</v>
      </c>
      <c r="P48" s="21"/>
      <c r="R48" s="98">
        <f t="shared" si="0"/>
        <v>-25709.60124</v>
      </c>
      <c r="S48" s="98">
        <f t="shared" si="1"/>
        <v>0</v>
      </c>
    </row>
    <row r="49" spans="1:19" x14ac:dyDescent="0.2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62"/>
      <c r="R49" s="98">
        <f t="shared" si="0"/>
        <v>0</v>
      </c>
      <c r="S49" s="98">
        <f t="shared" si="1"/>
        <v>0</v>
      </c>
    </row>
    <row r="50" spans="1:19" x14ac:dyDescent="0.25">
      <c r="A50" s="113" t="s">
        <v>58</v>
      </c>
      <c r="B50" s="142">
        <f>B40*0.01%</f>
        <v>-1.7555620000000001</v>
      </c>
      <c r="C50" s="142">
        <f>C40*0.01%</f>
        <v>-3.6813890000000007</v>
      </c>
      <c r="D50" s="142">
        <f t="shared" ref="D50:N50" si="17">D40*0.01%</f>
        <v>-7.73902</v>
      </c>
      <c r="E50" s="142">
        <f t="shared" si="17"/>
        <v>-8.1310929999999999</v>
      </c>
      <c r="F50" s="142">
        <f t="shared" si="17"/>
        <v>-10.223212</v>
      </c>
      <c r="G50" s="142">
        <f t="shared" si="17"/>
        <v>-14.710014000000003</v>
      </c>
      <c r="H50" s="142">
        <f t="shared" si="17"/>
        <v>0</v>
      </c>
      <c r="I50" s="142">
        <f t="shared" si="17"/>
        <v>0</v>
      </c>
      <c r="J50" s="142">
        <f t="shared" si="17"/>
        <v>0</v>
      </c>
      <c r="K50" s="142">
        <f t="shared" si="17"/>
        <v>0</v>
      </c>
      <c r="L50" s="142">
        <f t="shared" si="17"/>
        <v>0</v>
      </c>
      <c r="M50" s="142">
        <f t="shared" si="17"/>
        <v>0</v>
      </c>
      <c r="N50" s="142">
        <f t="shared" si="17"/>
        <v>0</v>
      </c>
      <c r="O50" s="119">
        <f t="shared" ref="O50" si="18">SUM(B50:N50)</f>
        <v>-46.240290000000002</v>
      </c>
      <c r="P50" s="21"/>
      <c r="R50" s="98">
        <f t="shared" si="0"/>
        <v>-46.240290000000002</v>
      </c>
      <c r="S50" s="98">
        <f t="shared" si="1"/>
        <v>0</v>
      </c>
    </row>
    <row r="51" spans="1:19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62"/>
      <c r="R51" s="98">
        <f t="shared" si="0"/>
        <v>0</v>
      </c>
      <c r="S51" s="98">
        <f t="shared" si="1"/>
        <v>0</v>
      </c>
    </row>
    <row r="52" spans="1:19" x14ac:dyDescent="0.25">
      <c r="A52" s="135" t="s">
        <v>296</v>
      </c>
      <c r="B52" s="136">
        <f t="shared" ref="B52:C52" si="19">B42+B48+B50+B44+B46</f>
        <v>-18533.468033999998</v>
      </c>
      <c r="C52" s="136">
        <f t="shared" si="19"/>
        <v>-38864.423673000005</v>
      </c>
      <c r="D52" s="136">
        <f t="shared" ref="D52:N52" si="20">D42+D48+D50+D44+D46</f>
        <v>-81700.834139999992</v>
      </c>
      <c r="E52" s="136">
        <f t="shared" si="20"/>
        <v>-85839.948800999991</v>
      </c>
      <c r="F52" s="136">
        <f t="shared" si="20"/>
        <v>-107926.44908399999</v>
      </c>
      <c r="G52" s="136">
        <f t="shared" si="20"/>
        <v>-155293.61779800002</v>
      </c>
      <c r="H52" s="136">
        <f t="shared" si="20"/>
        <v>0</v>
      </c>
      <c r="I52" s="136">
        <f t="shared" si="20"/>
        <v>0</v>
      </c>
      <c r="J52" s="136">
        <f t="shared" si="20"/>
        <v>0</v>
      </c>
      <c r="K52" s="136">
        <f t="shared" si="20"/>
        <v>0</v>
      </c>
      <c r="L52" s="136">
        <f t="shared" si="20"/>
        <v>0</v>
      </c>
      <c r="M52" s="136">
        <f t="shared" si="20"/>
        <v>0</v>
      </c>
      <c r="N52" s="136">
        <f t="shared" si="20"/>
        <v>0</v>
      </c>
      <c r="O52" s="157">
        <f>SUM(B52:N52)</f>
        <v>-488158.74153</v>
      </c>
      <c r="P52" s="21"/>
      <c r="R52" s="98">
        <f t="shared" si="0"/>
        <v>-488158.74153</v>
      </c>
      <c r="S52" s="98">
        <f t="shared" si="1"/>
        <v>0</v>
      </c>
    </row>
    <row r="53" spans="1:19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63"/>
    </row>
    <row r="54" spans="1:19" x14ac:dyDescent="0.25">
      <c r="A54" s="144" t="s">
        <v>35</v>
      </c>
      <c r="B54" s="13"/>
      <c r="C54" s="13">
        <v>10</v>
      </c>
      <c r="D54" s="13">
        <v>16</v>
      </c>
      <c r="E54" s="13">
        <v>15</v>
      </c>
      <c r="F54" s="13">
        <v>24</v>
      </c>
      <c r="G54" s="13">
        <v>24</v>
      </c>
      <c r="H54" s="13"/>
      <c r="I54" s="13"/>
      <c r="J54" s="13"/>
      <c r="K54" s="13"/>
      <c r="L54" s="13"/>
      <c r="M54" s="13"/>
      <c r="N54" s="13"/>
      <c r="O54" s="145"/>
      <c r="P54" s="163"/>
    </row>
    <row r="55" spans="1:19" x14ac:dyDescent="0.25">
      <c r="A55" s="80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53"/>
    </row>
    <row r="56" spans="1:19" x14ac:dyDescent="0.25">
      <c r="A56" s="146" t="s">
        <v>36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64">
        <v>46203</v>
      </c>
    </row>
    <row r="57" spans="1:19" x14ac:dyDescent="0.25">
      <c r="B57" s="98">
        <f t="shared" ref="B57:O57" si="21">B11+B40+B44+B46+B48+B50</f>
        <v>-18533.468033999998</v>
      </c>
      <c r="C57" s="98">
        <f t="shared" si="21"/>
        <v>-38864.423673000005</v>
      </c>
      <c r="D57" s="98">
        <f t="shared" si="21"/>
        <v>-81700.834139999992</v>
      </c>
      <c r="E57" s="98">
        <f t="shared" si="21"/>
        <v>-85839.948800999991</v>
      </c>
      <c r="F57" s="98">
        <f t="shared" si="21"/>
        <v>-107926.44908399999</v>
      </c>
      <c r="G57" s="98">
        <f t="shared" si="21"/>
        <v>-155293.61779800002</v>
      </c>
      <c r="H57" s="98">
        <f t="shared" si="21"/>
        <v>0</v>
      </c>
      <c r="I57" s="98">
        <f t="shared" si="21"/>
        <v>0</v>
      </c>
      <c r="J57" s="98">
        <f t="shared" si="21"/>
        <v>0</v>
      </c>
      <c r="K57" s="98">
        <f t="shared" si="21"/>
        <v>0</v>
      </c>
      <c r="L57" s="98">
        <f t="shared" si="21"/>
        <v>0</v>
      </c>
      <c r="M57" s="98">
        <f t="shared" si="21"/>
        <v>0</v>
      </c>
      <c r="N57" s="98">
        <f t="shared" si="21"/>
        <v>0</v>
      </c>
      <c r="O57" s="98">
        <f t="shared" si="21"/>
        <v>-488158.74153</v>
      </c>
      <c r="P57" s="153"/>
    </row>
    <row r="58" spans="1:19" x14ac:dyDescent="0.25">
      <c r="P58" s="153"/>
    </row>
    <row r="59" spans="1:19" x14ac:dyDescent="0.25">
      <c r="B59" s="98">
        <f t="shared" ref="B59:O59" si="22">B57-B52</f>
        <v>0</v>
      </c>
      <c r="C59" s="98">
        <f t="shared" si="22"/>
        <v>0</v>
      </c>
      <c r="D59" s="98">
        <f t="shared" si="22"/>
        <v>0</v>
      </c>
      <c r="E59" s="98">
        <f t="shared" si="22"/>
        <v>0</v>
      </c>
      <c r="F59" s="98">
        <f t="shared" si="22"/>
        <v>0</v>
      </c>
      <c r="G59" s="98">
        <f t="shared" si="22"/>
        <v>0</v>
      </c>
      <c r="H59" s="98">
        <f t="shared" si="22"/>
        <v>0</v>
      </c>
      <c r="I59" s="98">
        <f t="shared" si="22"/>
        <v>0</v>
      </c>
      <c r="J59" s="98">
        <f t="shared" si="22"/>
        <v>0</v>
      </c>
      <c r="K59" s="98">
        <f t="shared" si="22"/>
        <v>0</v>
      </c>
      <c r="L59" s="98">
        <f t="shared" si="22"/>
        <v>0</v>
      </c>
      <c r="M59" s="98">
        <f t="shared" si="22"/>
        <v>0</v>
      </c>
      <c r="N59" s="98">
        <f t="shared" si="22"/>
        <v>0</v>
      </c>
      <c r="O59" s="98">
        <f t="shared" si="22"/>
        <v>0</v>
      </c>
      <c r="P59" s="153"/>
    </row>
    <row r="60" spans="1:19" x14ac:dyDescent="0.25">
      <c r="P60" s="153"/>
    </row>
  </sheetData>
  <mergeCells count="3">
    <mergeCell ref="A1:P1"/>
    <mergeCell ref="A3:P3"/>
    <mergeCell ref="A5:P5"/>
  </mergeCells>
  <printOptions horizontalCentered="1" verticalCentered="1"/>
  <pageMargins left="0.51181102362204722" right="0.51181102362204722" top="0.31496062992125984" bottom="0" header="0.19685039370078741" footer="0"/>
  <pageSetup paperSize="9" scale="71" orientation="landscape" r:id="rId1"/>
  <headerFooter>
    <oddHeader>&amp;L&amp;"-,Negrito"&amp;14                                                                                                                                            
&amp;C&amp;"-,Negrito"&amp;16BELA NOVA CONSTRUTORA LTDA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9"/>
  </sheetPr>
  <dimension ref="A1:T60"/>
  <sheetViews>
    <sheetView topLeftCell="A31" zoomScale="85" zoomScaleNormal="85" workbookViewId="0">
      <pane xSplit="1" topLeftCell="H1" activePane="topRight" state="frozen"/>
      <selection activeCell="E21" sqref="E21"/>
      <selection pane="topRight" activeCell="H55" sqref="H55"/>
    </sheetView>
  </sheetViews>
  <sheetFormatPr defaultRowHeight="15" x14ac:dyDescent="0.25"/>
  <cols>
    <col min="1" max="1" width="61.5703125" bestFit="1" customWidth="1"/>
    <col min="2" max="8" width="16.85546875" customWidth="1"/>
    <col min="9" max="13" width="16.85546875" hidden="1" customWidth="1"/>
    <col min="14" max="14" width="16.7109375" hidden="1" customWidth="1"/>
    <col min="15" max="15" width="16.140625" bestFit="1" customWidth="1"/>
    <col min="16" max="16" width="11" bestFit="1" customWidth="1"/>
    <col min="18" max="18" width="17" bestFit="1" customWidth="1"/>
    <col min="20" max="20" width="16" bestFit="1" customWidth="1"/>
  </cols>
  <sheetData>
    <row r="1" spans="1:20" ht="15.75" x14ac:dyDescent="0.25">
      <c r="A1" s="203" t="s">
        <v>186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20" ht="11.25" customHeight="1" x14ac:dyDescent="0.25">
      <c r="A2" s="108"/>
    </row>
    <row r="3" spans="1:20" ht="15.75" x14ac:dyDescent="0.25">
      <c r="A3" s="203" t="s">
        <v>299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</row>
    <row r="4" spans="1:20" ht="10.5" customHeight="1" x14ac:dyDescent="0.25">
      <c r="A4" s="108"/>
    </row>
    <row r="5" spans="1:20" ht="16.5" customHeight="1" x14ac:dyDescent="0.25">
      <c r="A5" s="209" t="s">
        <v>292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R5" s="177"/>
      <c r="S5" s="86"/>
      <c r="T5" s="86"/>
    </row>
    <row r="6" spans="1:20" x14ac:dyDescent="0.25">
      <c r="A6" s="110"/>
      <c r="R6" s="177"/>
      <c r="S6" s="86"/>
      <c r="T6" s="86"/>
    </row>
    <row r="7" spans="1:20" x14ac:dyDescent="0.25">
      <c r="A7" s="111"/>
      <c r="B7" s="60" t="s">
        <v>319</v>
      </c>
      <c r="C7" s="60" t="s">
        <v>304</v>
      </c>
      <c r="D7" s="60" t="s">
        <v>305</v>
      </c>
      <c r="E7" s="60" t="s">
        <v>306</v>
      </c>
      <c r="F7" s="60" t="s">
        <v>307</v>
      </c>
      <c r="G7" s="60" t="s">
        <v>308</v>
      </c>
      <c r="H7" s="60" t="s">
        <v>309</v>
      </c>
      <c r="I7" s="60" t="s">
        <v>310</v>
      </c>
      <c r="J7" s="60" t="s">
        <v>311</v>
      </c>
      <c r="K7" s="60" t="s">
        <v>312</v>
      </c>
      <c r="L7" s="60" t="s">
        <v>313</v>
      </c>
      <c r="M7" s="60" t="s">
        <v>314</v>
      </c>
      <c r="N7" s="60" t="s">
        <v>225</v>
      </c>
      <c r="O7" s="113" t="s">
        <v>1</v>
      </c>
      <c r="P7" s="158" t="s">
        <v>2</v>
      </c>
    </row>
    <row r="8" spans="1:20" x14ac:dyDescent="0.25">
      <c r="A8" s="114" t="s">
        <v>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6"/>
      <c r="P8" s="159"/>
    </row>
    <row r="9" spans="1:20" x14ac:dyDescent="0.25">
      <c r="A9" s="117" t="s">
        <v>4</v>
      </c>
      <c r="B9" s="118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  <c r="O9" s="119">
        <f>SUM(B9:N9)</f>
        <v>0</v>
      </c>
      <c r="P9" s="21">
        <v>1</v>
      </c>
      <c r="R9" s="98">
        <f t="shared" ref="R9:R52" si="0">SUM(A9:N9)</f>
        <v>0</v>
      </c>
      <c r="S9" s="98">
        <f>R9-O9</f>
        <v>0</v>
      </c>
    </row>
    <row r="10" spans="1:20" x14ac:dyDescent="0.25">
      <c r="A10" s="114" t="s">
        <v>5</v>
      </c>
      <c r="B10" s="118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  <c r="O10" s="119">
        <f>SUM(B10:N10)</f>
        <v>0</v>
      </c>
      <c r="P10" s="21"/>
      <c r="R10" s="98">
        <f t="shared" si="0"/>
        <v>0</v>
      </c>
      <c r="S10" s="98">
        <f t="shared" ref="S10:S52" si="1">R10-O10</f>
        <v>0</v>
      </c>
    </row>
    <row r="11" spans="1:20" x14ac:dyDescent="0.25">
      <c r="A11" s="121" t="s">
        <v>6</v>
      </c>
      <c r="B11" s="122">
        <f t="shared" ref="B11" si="2">SUM(B9:B10)</f>
        <v>0</v>
      </c>
      <c r="C11" s="122">
        <f t="shared" ref="C11:N11" si="3">SUM(C9:C10)</f>
        <v>0</v>
      </c>
      <c r="D11" s="122">
        <f t="shared" si="3"/>
        <v>0</v>
      </c>
      <c r="E11" s="122">
        <f t="shared" si="3"/>
        <v>0</v>
      </c>
      <c r="F11" s="122">
        <f t="shared" si="3"/>
        <v>0</v>
      </c>
      <c r="G11" s="122">
        <f t="shared" si="3"/>
        <v>0</v>
      </c>
      <c r="H11" s="122">
        <f t="shared" si="3"/>
        <v>0</v>
      </c>
      <c r="I11" s="122">
        <f t="shared" si="3"/>
        <v>0</v>
      </c>
      <c r="J11" s="122">
        <f t="shared" si="3"/>
        <v>0</v>
      </c>
      <c r="K11" s="122">
        <f t="shared" si="3"/>
        <v>0</v>
      </c>
      <c r="L11" s="122">
        <f t="shared" si="3"/>
        <v>0</v>
      </c>
      <c r="M11" s="122">
        <f t="shared" si="3"/>
        <v>0</v>
      </c>
      <c r="N11" s="122">
        <f t="shared" si="3"/>
        <v>0</v>
      </c>
      <c r="O11" s="122">
        <f>SUM(O9:O10)</f>
        <v>0</v>
      </c>
      <c r="P11" s="21">
        <v>1</v>
      </c>
      <c r="R11" s="98">
        <f t="shared" si="0"/>
        <v>0</v>
      </c>
      <c r="S11" s="98">
        <f t="shared" si="1"/>
        <v>0</v>
      </c>
    </row>
    <row r="12" spans="1:20" x14ac:dyDescent="0.25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5"/>
      <c r="P12" s="160"/>
      <c r="R12" s="98">
        <f t="shared" si="0"/>
        <v>0</v>
      </c>
      <c r="S12" s="98">
        <f t="shared" si="1"/>
        <v>0</v>
      </c>
    </row>
    <row r="13" spans="1:20" x14ac:dyDescent="0.25">
      <c r="A13" s="126" t="s">
        <v>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/>
      <c r="P13" s="161"/>
      <c r="R13" s="98">
        <f t="shared" si="0"/>
        <v>0</v>
      </c>
      <c r="S13" s="98">
        <f t="shared" si="1"/>
        <v>0</v>
      </c>
    </row>
    <row r="14" spans="1:20" x14ac:dyDescent="0.25">
      <c r="A14" s="114" t="s">
        <v>8</v>
      </c>
      <c r="B14" s="128">
        <v>-600.91999999999996</v>
      </c>
      <c r="C14" s="128">
        <v>-865.49</v>
      </c>
      <c r="D14" s="128">
        <v>-1100.0999999999999</v>
      </c>
      <c r="E14" s="128">
        <v>-2992.61</v>
      </c>
      <c r="F14" s="128">
        <v>-4617.4799999999996</v>
      </c>
      <c r="G14" s="128">
        <v>-7199.66</v>
      </c>
      <c r="H14" s="128">
        <v>-7920.38</v>
      </c>
      <c r="I14" s="128">
        <v>0</v>
      </c>
      <c r="J14" s="128">
        <v>0</v>
      </c>
      <c r="K14" s="128">
        <v>0</v>
      </c>
      <c r="L14" s="128">
        <v>0</v>
      </c>
      <c r="M14" s="128">
        <v>0</v>
      </c>
      <c r="N14" s="128">
        <v>0</v>
      </c>
      <c r="O14" s="119">
        <f>SUM(B14:N14)</f>
        <v>-25296.639999999999</v>
      </c>
      <c r="P14" s="21"/>
      <c r="R14" s="98">
        <f t="shared" si="0"/>
        <v>-25296.639999999999</v>
      </c>
      <c r="S14" s="98">
        <f t="shared" si="1"/>
        <v>0</v>
      </c>
    </row>
    <row r="15" spans="1:20" x14ac:dyDescent="0.25">
      <c r="A15" s="129" t="s">
        <v>9</v>
      </c>
      <c r="B15" s="128">
        <v>0</v>
      </c>
      <c r="C15" s="128">
        <v>0</v>
      </c>
      <c r="D15" s="128">
        <v>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0</v>
      </c>
      <c r="L15" s="128">
        <v>0</v>
      </c>
      <c r="M15" s="128">
        <v>0</v>
      </c>
      <c r="N15" s="128">
        <v>0</v>
      </c>
      <c r="O15" s="119">
        <f t="shared" ref="O15:O39" si="4">SUM(B15:N15)</f>
        <v>0</v>
      </c>
      <c r="P15" s="21"/>
      <c r="R15" s="98">
        <f t="shared" si="0"/>
        <v>0</v>
      </c>
      <c r="S15" s="98">
        <f t="shared" si="1"/>
        <v>0</v>
      </c>
    </row>
    <row r="16" spans="1:20" x14ac:dyDescent="0.25">
      <c r="A16" s="114" t="s">
        <v>10</v>
      </c>
      <c r="B16" s="128">
        <v>0</v>
      </c>
      <c r="C16" s="128">
        <v>0</v>
      </c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28">
        <v>0</v>
      </c>
      <c r="O16" s="119">
        <f t="shared" si="4"/>
        <v>0</v>
      </c>
      <c r="P16" s="21"/>
      <c r="R16" s="98">
        <f t="shared" si="0"/>
        <v>0</v>
      </c>
      <c r="S16" s="98">
        <f t="shared" si="1"/>
        <v>0</v>
      </c>
    </row>
    <row r="17" spans="1:19" x14ac:dyDescent="0.25">
      <c r="A17" s="129" t="s">
        <v>11</v>
      </c>
      <c r="B17" s="128">
        <v>0</v>
      </c>
      <c r="C17" s="128">
        <v>0</v>
      </c>
      <c r="D17" s="128">
        <v>0</v>
      </c>
      <c r="E17" s="128">
        <f>-16.68</f>
        <v>-16.68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28">
        <v>0</v>
      </c>
      <c r="O17" s="119">
        <f t="shared" si="4"/>
        <v>-16.68</v>
      </c>
      <c r="P17" s="21"/>
      <c r="R17" s="98">
        <f t="shared" si="0"/>
        <v>-16.68</v>
      </c>
      <c r="S17" s="98">
        <f t="shared" si="1"/>
        <v>0</v>
      </c>
    </row>
    <row r="18" spans="1:19" x14ac:dyDescent="0.25">
      <c r="A18" s="114" t="s">
        <v>12</v>
      </c>
      <c r="B18" s="128">
        <v>-1386.34</v>
      </c>
      <c r="C18" s="128">
        <v>-661.82</v>
      </c>
      <c r="D18" s="128">
        <v>-2331.8000000000002</v>
      </c>
      <c r="E18" s="128">
        <v>-2393.5100000000002</v>
      </c>
      <c r="F18" s="128">
        <v>-4917.3900000000003</v>
      </c>
      <c r="G18" s="128">
        <v>-5105.74</v>
      </c>
      <c r="H18" s="128">
        <v>-3349.75</v>
      </c>
      <c r="I18" s="128">
        <v>0</v>
      </c>
      <c r="J18" s="128">
        <v>0</v>
      </c>
      <c r="K18" s="128">
        <v>0</v>
      </c>
      <c r="L18" s="128">
        <v>0</v>
      </c>
      <c r="M18" s="128">
        <v>0</v>
      </c>
      <c r="N18" s="128">
        <v>0</v>
      </c>
      <c r="O18" s="119">
        <f t="shared" si="4"/>
        <v>-20146.349999999999</v>
      </c>
      <c r="P18" s="21"/>
      <c r="R18" s="98">
        <f t="shared" si="0"/>
        <v>-20146.349999999999</v>
      </c>
      <c r="S18" s="98">
        <f t="shared" si="1"/>
        <v>0</v>
      </c>
    </row>
    <row r="19" spans="1:19" x14ac:dyDescent="0.25">
      <c r="A19" s="114" t="s">
        <v>13</v>
      </c>
      <c r="B19" s="128">
        <v>-1331.88</v>
      </c>
      <c r="C19" s="128">
        <v>-466.54</v>
      </c>
      <c r="D19" s="128">
        <v>-1717.51</v>
      </c>
      <c r="E19" s="128">
        <v>-1708.05</v>
      </c>
      <c r="F19" s="128">
        <v>-3480.92</v>
      </c>
      <c r="G19" s="128">
        <v>-3507.66</v>
      </c>
      <c r="H19" s="128">
        <v>-2022.46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  <c r="N19" s="128">
        <v>0</v>
      </c>
      <c r="O19" s="119">
        <f t="shared" si="4"/>
        <v>-14235.02</v>
      </c>
      <c r="P19" s="21"/>
      <c r="R19" s="98">
        <f t="shared" si="0"/>
        <v>-14235.02</v>
      </c>
      <c r="S19" s="98">
        <f t="shared" si="1"/>
        <v>0</v>
      </c>
    </row>
    <row r="20" spans="1:19" x14ac:dyDescent="0.25">
      <c r="A20" s="114" t="s">
        <v>14</v>
      </c>
      <c r="B20" s="128">
        <v>-1669.82</v>
      </c>
      <c r="C20" s="128">
        <v>0</v>
      </c>
      <c r="D20" s="128">
        <v>-3328.88</v>
      </c>
      <c r="E20" s="128">
        <v>-1494.96</v>
      </c>
      <c r="F20" s="128">
        <v>-1539.24</v>
      </c>
      <c r="G20" s="128">
        <v>-5141.93</v>
      </c>
      <c r="H20" s="128">
        <v>-4131.13</v>
      </c>
      <c r="I20" s="128">
        <v>0</v>
      </c>
      <c r="J20" s="128">
        <v>0</v>
      </c>
      <c r="K20" s="128">
        <v>0</v>
      </c>
      <c r="L20" s="128">
        <v>0</v>
      </c>
      <c r="M20" s="128">
        <v>0</v>
      </c>
      <c r="N20" s="128">
        <v>0</v>
      </c>
      <c r="O20" s="119">
        <f t="shared" si="4"/>
        <v>-17305.96</v>
      </c>
      <c r="P20" s="21"/>
      <c r="R20" s="98">
        <f t="shared" si="0"/>
        <v>-17305.96</v>
      </c>
      <c r="S20" s="98">
        <f t="shared" si="1"/>
        <v>0</v>
      </c>
    </row>
    <row r="21" spans="1:19" x14ac:dyDescent="0.25">
      <c r="A21" s="114" t="s">
        <v>15</v>
      </c>
      <c r="B21" s="128">
        <v>0</v>
      </c>
      <c r="C21" s="128">
        <v>0</v>
      </c>
      <c r="D21" s="128">
        <v>-347.49</v>
      </c>
      <c r="E21" s="128">
        <v>0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28">
        <v>0</v>
      </c>
      <c r="N21" s="128">
        <v>0</v>
      </c>
      <c r="O21" s="119">
        <f t="shared" si="4"/>
        <v>-347.49</v>
      </c>
      <c r="P21" s="21"/>
      <c r="R21" s="98">
        <f t="shared" si="0"/>
        <v>-347.49</v>
      </c>
      <c r="S21" s="98">
        <f t="shared" si="1"/>
        <v>0</v>
      </c>
    </row>
    <row r="22" spans="1:19" x14ac:dyDescent="0.25">
      <c r="A22" s="114" t="s">
        <v>16</v>
      </c>
      <c r="B22" s="128">
        <v>0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19">
        <f t="shared" si="4"/>
        <v>0</v>
      </c>
      <c r="P22" s="21"/>
      <c r="R22" s="98">
        <f t="shared" si="0"/>
        <v>0</v>
      </c>
      <c r="S22" s="98">
        <f t="shared" si="1"/>
        <v>0</v>
      </c>
    </row>
    <row r="23" spans="1:19" x14ac:dyDescent="0.25">
      <c r="A23" s="114" t="s">
        <v>17</v>
      </c>
      <c r="B23" s="128">
        <v>-1696.91</v>
      </c>
      <c r="C23" s="128">
        <v>-1379.14</v>
      </c>
      <c r="D23" s="128">
        <v>-4452.12</v>
      </c>
      <c r="E23" s="128">
        <v>-3987.48</v>
      </c>
      <c r="F23" s="128">
        <v>-8185.4</v>
      </c>
      <c r="G23" s="128">
        <v>-8569.49</v>
      </c>
      <c r="H23" s="128">
        <v>-5193.3900000000003</v>
      </c>
      <c r="I23" s="128">
        <v>0</v>
      </c>
      <c r="J23" s="128">
        <v>0</v>
      </c>
      <c r="K23" s="128">
        <v>0</v>
      </c>
      <c r="L23" s="128">
        <v>0</v>
      </c>
      <c r="M23" s="128">
        <v>0</v>
      </c>
      <c r="N23" s="128">
        <v>0</v>
      </c>
      <c r="O23" s="119">
        <f t="shared" si="4"/>
        <v>-33463.93</v>
      </c>
      <c r="P23" s="21"/>
      <c r="R23" s="98">
        <f t="shared" si="0"/>
        <v>-33463.93</v>
      </c>
      <c r="S23" s="98">
        <f t="shared" si="1"/>
        <v>0</v>
      </c>
    </row>
    <row r="24" spans="1:19" x14ac:dyDescent="0.25">
      <c r="A24" s="114" t="s">
        <v>18</v>
      </c>
      <c r="B24" s="128">
        <v>0</v>
      </c>
      <c r="C24" s="128">
        <v>0</v>
      </c>
      <c r="D24" s="128">
        <v>0</v>
      </c>
      <c r="E24" s="128">
        <v>0</v>
      </c>
      <c r="F24" s="128">
        <v>0</v>
      </c>
      <c r="G24" s="128">
        <v>0</v>
      </c>
      <c r="H24" s="128">
        <v>0</v>
      </c>
      <c r="I24" s="128">
        <v>0</v>
      </c>
      <c r="J24" s="128">
        <v>0</v>
      </c>
      <c r="K24" s="128">
        <v>0</v>
      </c>
      <c r="L24" s="128">
        <v>0</v>
      </c>
      <c r="M24" s="128">
        <v>0</v>
      </c>
      <c r="N24" s="128">
        <v>0</v>
      </c>
      <c r="O24" s="119">
        <f t="shared" si="4"/>
        <v>0</v>
      </c>
      <c r="P24" s="21"/>
      <c r="R24" s="98">
        <f t="shared" si="0"/>
        <v>0</v>
      </c>
      <c r="S24" s="98">
        <f t="shared" si="1"/>
        <v>0</v>
      </c>
    </row>
    <row r="25" spans="1:19" x14ac:dyDescent="0.25">
      <c r="A25" s="114" t="s">
        <v>19</v>
      </c>
      <c r="B25" s="128">
        <v>0</v>
      </c>
      <c r="C25" s="128">
        <v>0</v>
      </c>
      <c r="D25" s="128">
        <v>0</v>
      </c>
      <c r="E25" s="128">
        <v>-480</v>
      </c>
      <c r="F25" s="128">
        <v>0</v>
      </c>
      <c r="G25" s="128">
        <v>0</v>
      </c>
      <c r="H25" s="128">
        <v>0</v>
      </c>
      <c r="I25" s="128">
        <v>0</v>
      </c>
      <c r="J25" s="128">
        <v>0</v>
      </c>
      <c r="K25" s="128">
        <v>0</v>
      </c>
      <c r="L25" s="128">
        <v>0</v>
      </c>
      <c r="M25" s="128">
        <v>0</v>
      </c>
      <c r="N25" s="128">
        <v>0</v>
      </c>
      <c r="O25" s="119">
        <f t="shared" si="4"/>
        <v>-480</v>
      </c>
      <c r="P25" s="21"/>
      <c r="R25" s="98">
        <f t="shared" si="0"/>
        <v>-480</v>
      </c>
      <c r="S25" s="98">
        <f t="shared" si="1"/>
        <v>0</v>
      </c>
    </row>
    <row r="26" spans="1:19" x14ac:dyDescent="0.25">
      <c r="A26" s="114" t="s">
        <v>20</v>
      </c>
      <c r="B26" s="128">
        <v>0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28">
        <v>0</v>
      </c>
      <c r="L26" s="128">
        <v>0</v>
      </c>
      <c r="M26" s="128">
        <v>0</v>
      </c>
      <c r="N26" s="128">
        <v>0</v>
      </c>
      <c r="O26" s="119">
        <f t="shared" si="4"/>
        <v>0</v>
      </c>
      <c r="P26" s="21"/>
      <c r="R26" s="98">
        <f t="shared" si="0"/>
        <v>0</v>
      </c>
      <c r="S26" s="98">
        <f t="shared" si="1"/>
        <v>0</v>
      </c>
    </row>
    <row r="27" spans="1:19" x14ac:dyDescent="0.25">
      <c r="A27" s="114" t="s">
        <v>59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28">
        <v>0</v>
      </c>
      <c r="L27" s="128">
        <v>0</v>
      </c>
      <c r="M27" s="128">
        <v>0</v>
      </c>
      <c r="N27" s="128">
        <v>0</v>
      </c>
      <c r="O27" s="119">
        <f t="shared" si="4"/>
        <v>0</v>
      </c>
      <c r="P27" s="21"/>
      <c r="R27" s="98">
        <f t="shared" si="0"/>
        <v>0</v>
      </c>
      <c r="S27" s="98">
        <f t="shared" si="1"/>
        <v>0</v>
      </c>
    </row>
    <row r="28" spans="1:19" x14ac:dyDescent="0.25">
      <c r="A28" s="114" t="s">
        <v>21</v>
      </c>
      <c r="B28" s="128">
        <v>0</v>
      </c>
      <c r="C28" s="128">
        <v>0</v>
      </c>
      <c r="D28" s="128">
        <v>-135</v>
      </c>
      <c r="E28" s="128">
        <v>-405</v>
      </c>
      <c r="F28" s="128">
        <v>-405</v>
      </c>
      <c r="G28" s="128">
        <v>-135</v>
      </c>
      <c r="H28" s="128">
        <v>-405</v>
      </c>
      <c r="I28" s="128">
        <v>0</v>
      </c>
      <c r="J28" s="128">
        <v>0</v>
      </c>
      <c r="K28" s="128">
        <v>0</v>
      </c>
      <c r="L28" s="128">
        <v>0</v>
      </c>
      <c r="M28" s="128">
        <v>0</v>
      </c>
      <c r="N28" s="128">
        <v>0</v>
      </c>
      <c r="O28" s="119">
        <f t="shared" si="4"/>
        <v>-1485</v>
      </c>
      <c r="P28" s="21"/>
      <c r="R28" s="98">
        <f t="shared" si="0"/>
        <v>-1485</v>
      </c>
      <c r="S28" s="98">
        <f t="shared" si="1"/>
        <v>0</v>
      </c>
    </row>
    <row r="29" spans="1:19" x14ac:dyDescent="0.25">
      <c r="A29" s="114" t="s">
        <v>22</v>
      </c>
      <c r="B29" s="128">
        <v>0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28">
        <v>0</v>
      </c>
      <c r="O29" s="119">
        <f t="shared" si="4"/>
        <v>0</v>
      </c>
      <c r="P29" s="21"/>
      <c r="R29" s="98">
        <f t="shared" si="0"/>
        <v>0</v>
      </c>
      <c r="S29" s="98">
        <f t="shared" si="1"/>
        <v>0</v>
      </c>
    </row>
    <row r="30" spans="1:19" x14ac:dyDescent="0.25">
      <c r="A30" s="129" t="s">
        <v>23</v>
      </c>
      <c r="B30" s="128">
        <v>0</v>
      </c>
      <c r="C30" s="128">
        <v>0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8">
        <v>0</v>
      </c>
      <c r="K30" s="128">
        <v>0</v>
      </c>
      <c r="L30" s="128">
        <v>0</v>
      </c>
      <c r="M30" s="128">
        <v>0</v>
      </c>
      <c r="N30" s="128">
        <v>0</v>
      </c>
      <c r="O30" s="119">
        <f t="shared" si="4"/>
        <v>0</v>
      </c>
      <c r="P30" s="21"/>
      <c r="R30" s="98">
        <f t="shared" si="0"/>
        <v>0</v>
      </c>
      <c r="S30" s="98">
        <f t="shared" si="1"/>
        <v>0</v>
      </c>
    </row>
    <row r="31" spans="1:19" x14ac:dyDescent="0.25">
      <c r="A31" s="114" t="s">
        <v>24</v>
      </c>
      <c r="B31" s="128">
        <v>-13806</v>
      </c>
      <c r="C31" s="128">
        <v>-507</v>
      </c>
      <c r="D31" s="128">
        <v>-22714</v>
      </c>
      <c r="E31" s="128">
        <v>-25716</v>
      </c>
      <c r="F31" s="128">
        <v>-31717</v>
      </c>
      <c r="G31" s="128">
        <v>-32117</v>
      </c>
      <c r="H31" s="128">
        <v>-17139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28">
        <v>0</v>
      </c>
      <c r="O31" s="119">
        <f t="shared" si="4"/>
        <v>-143716</v>
      </c>
      <c r="P31" s="21"/>
      <c r="R31" s="98">
        <f t="shared" si="0"/>
        <v>-143716</v>
      </c>
      <c r="S31" s="98">
        <f t="shared" si="1"/>
        <v>0</v>
      </c>
    </row>
    <row r="32" spans="1:19" x14ac:dyDescent="0.25">
      <c r="A32" s="130" t="s">
        <v>25</v>
      </c>
      <c r="B32" s="128">
        <v>-8880.16</v>
      </c>
      <c r="C32" s="128">
        <v>-4885.99</v>
      </c>
      <c r="D32" s="128">
        <v>-20022.580000000002</v>
      </c>
      <c r="E32" s="128">
        <v>-17021.05</v>
      </c>
      <c r="F32" s="128">
        <v>-41973.16</v>
      </c>
      <c r="G32" s="128">
        <v>-37975.919999999998</v>
      </c>
      <c r="H32" s="128">
        <v>-21096.400000000001</v>
      </c>
      <c r="I32" s="128">
        <v>0</v>
      </c>
      <c r="J32" s="128">
        <v>0</v>
      </c>
      <c r="K32" s="128">
        <v>0</v>
      </c>
      <c r="L32" s="128">
        <v>0</v>
      </c>
      <c r="M32" s="128">
        <v>0</v>
      </c>
      <c r="N32" s="128">
        <v>0</v>
      </c>
      <c r="O32" s="119">
        <f t="shared" si="4"/>
        <v>-151855.26</v>
      </c>
      <c r="P32" s="21"/>
      <c r="R32" s="98">
        <f t="shared" si="0"/>
        <v>-151855.26</v>
      </c>
      <c r="S32" s="98">
        <f t="shared" si="1"/>
        <v>0</v>
      </c>
    </row>
    <row r="33" spans="1:19" x14ac:dyDescent="0.25">
      <c r="A33" s="114" t="s">
        <v>26</v>
      </c>
      <c r="B33" s="128">
        <v>0</v>
      </c>
      <c r="C33" s="128">
        <v>0</v>
      </c>
      <c r="D33" s="128">
        <v>0</v>
      </c>
      <c r="E33" s="128">
        <v>0</v>
      </c>
      <c r="F33" s="128">
        <v>0</v>
      </c>
      <c r="G33" s="128">
        <v>0</v>
      </c>
      <c r="H33" s="128">
        <v>0</v>
      </c>
      <c r="I33" s="128">
        <v>0</v>
      </c>
      <c r="J33" s="128">
        <v>0</v>
      </c>
      <c r="K33" s="128">
        <v>0</v>
      </c>
      <c r="L33" s="128">
        <v>0</v>
      </c>
      <c r="M33" s="128">
        <v>0</v>
      </c>
      <c r="N33" s="128">
        <v>0</v>
      </c>
      <c r="O33" s="119">
        <f t="shared" si="4"/>
        <v>0</v>
      </c>
      <c r="P33" s="21"/>
      <c r="R33" s="98">
        <f t="shared" si="0"/>
        <v>0</v>
      </c>
      <c r="S33" s="98">
        <f t="shared" si="1"/>
        <v>0</v>
      </c>
    </row>
    <row r="34" spans="1:19" x14ac:dyDescent="0.25">
      <c r="A34" s="114" t="s">
        <v>27</v>
      </c>
      <c r="B34" s="128">
        <v>0</v>
      </c>
      <c r="C34" s="128">
        <v>0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19">
        <f t="shared" si="4"/>
        <v>0</v>
      </c>
      <c r="P34" s="21"/>
      <c r="R34" s="98">
        <f t="shared" si="0"/>
        <v>0</v>
      </c>
      <c r="S34" s="98">
        <f t="shared" si="1"/>
        <v>0</v>
      </c>
    </row>
    <row r="35" spans="1:19" x14ac:dyDescent="0.25">
      <c r="A35" s="129" t="s">
        <v>28</v>
      </c>
      <c r="B35" s="128">
        <v>0</v>
      </c>
      <c r="C35" s="128">
        <v>0</v>
      </c>
      <c r="D35" s="128">
        <v>-56.71</v>
      </c>
      <c r="E35" s="128">
        <v>0</v>
      </c>
      <c r="F35" s="128">
        <v>-434.45</v>
      </c>
      <c r="G35" s="128">
        <v>0</v>
      </c>
      <c r="H35" s="128">
        <v>0</v>
      </c>
      <c r="I35" s="128">
        <v>0</v>
      </c>
      <c r="J35" s="128">
        <v>0</v>
      </c>
      <c r="K35" s="128">
        <v>0</v>
      </c>
      <c r="L35" s="128">
        <v>0</v>
      </c>
      <c r="M35" s="128">
        <v>0</v>
      </c>
      <c r="N35" s="128">
        <v>0</v>
      </c>
      <c r="O35" s="119">
        <f t="shared" si="4"/>
        <v>-491.15999999999997</v>
      </c>
      <c r="P35" s="21"/>
      <c r="R35" s="98">
        <f t="shared" si="0"/>
        <v>-491.15999999999997</v>
      </c>
      <c r="S35" s="98">
        <f t="shared" si="1"/>
        <v>0</v>
      </c>
    </row>
    <row r="36" spans="1:19" x14ac:dyDescent="0.25">
      <c r="A36" s="114" t="s">
        <v>29</v>
      </c>
      <c r="B36" s="128">
        <v>-298.77999999999997</v>
      </c>
      <c r="C36" s="128">
        <v>-338.2</v>
      </c>
      <c r="D36" s="128">
        <v>-1038.93</v>
      </c>
      <c r="E36" s="128">
        <v>-1424.37</v>
      </c>
      <c r="F36" s="128">
        <v>-342.37</v>
      </c>
      <c r="G36" s="128">
        <v>-4222.37</v>
      </c>
      <c r="H36" s="128">
        <v>-4580.93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28">
        <v>0</v>
      </c>
      <c r="O36" s="119">
        <f t="shared" si="4"/>
        <v>-12245.95</v>
      </c>
      <c r="P36" s="21"/>
      <c r="R36" s="98">
        <f t="shared" si="0"/>
        <v>-12245.95</v>
      </c>
      <c r="S36" s="98">
        <f t="shared" si="1"/>
        <v>0</v>
      </c>
    </row>
    <row r="37" spans="1:19" x14ac:dyDescent="0.25">
      <c r="A37" s="15" t="s">
        <v>276</v>
      </c>
      <c r="B37" s="128">
        <v>-720.03</v>
      </c>
      <c r="C37" s="128">
        <v>-496.37</v>
      </c>
      <c r="D37" s="128">
        <v>-2008.61</v>
      </c>
      <c r="E37" s="128">
        <v>-2054.89</v>
      </c>
      <c r="F37" s="128">
        <v>-4161.2700000000004</v>
      </c>
      <c r="G37" s="128">
        <v>-3829.3</v>
      </c>
      <c r="H37" s="128">
        <v>-2512.3200000000002</v>
      </c>
      <c r="I37" s="128">
        <v>0</v>
      </c>
      <c r="J37" s="128">
        <v>0</v>
      </c>
      <c r="K37" s="128">
        <v>0</v>
      </c>
      <c r="L37" s="128">
        <v>0</v>
      </c>
      <c r="M37" s="128">
        <v>0</v>
      </c>
      <c r="N37" s="128">
        <v>0</v>
      </c>
      <c r="O37" s="119">
        <f t="shared" si="4"/>
        <v>-15782.79</v>
      </c>
      <c r="P37" s="21"/>
      <c r="R37" s="98">
        <f t="shared" si="0"/>
        <v>-15782.79</v>
      </c>
      <c r="S37" s="98">
        <f t="shared" si="1"/>
        <v>0</v>
      </c>
    </row>
    <row r="38" spans="1:19" x14ac:dyDescent="0.25">
      <c r="A38" s="114" t="s">
        <v>97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28">
        <v>0</v>
      </c>
      <c r="N38" s="128">
        <v>0</v>
      </c>
      <c r="O38" s="119">
        <f t="shared" si="4"/>
        <v>0</v>
      </c>
      <c r="P38" s="21"/>
      <c r="R38" s="98">
        <f t="shared" si="0"/>
        <v>0</v>
      </c>
      <c r="S38" s="98">
        <f t="shared" si="1"/>
        <v>0</v>
      </c>
    </row>
    <row r="39" spans="1:19" x14ac:dyDescent="0.25">
      <c r="A39" s="114" t="s">
        <v>114</v>
      </c>
      <c r="B39" s="128">
        <v>0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28">
        <v>0</v>
      </c>
      <c r="O39" s="119">
        <f t="shared" si="4"/>
        <v>0</v>
      </c>
      <c r="P39" s="21"/>
      <c r="R39" s="98">
        <f t="shared" si="0"/>
        <v>0</v>
      </c>
      <c r="S39" s="98">
        <f t="shared" si="1"/>
        <v>0</v>
      </c>
    </row>
    <row r="40" spans="1:19" x14ac:dyDescent="0.25">
      <c r="A40" s="131" t="s">
        <v>31</v>
      </c>
      <c r="B40" s="132">
        <f t="shared" ref="B40:L40" si="5">SUM(B14:B39)</f>
        <v>-30390.839999999997</v>
      </c>
      <c r="C40" s="132">
        <f t="shared" si="5"/>
        <v>-9600.5500000000011</v>
      </c>
      <c r="D40" s="132">
        <f t="shared" si="5"/>
        <v>-59253.73</v>
      </c>
      <c r="E40" s="132">
        <f t="shared" si="5"/>
        <v>-59694.6</v>
      </c>
      <c r="F40" s="132">
        <f t="shared" si="5"/>
        <v>-101773.68</v>
      </c>
      <c r="G40" s="132">
        <f t="shared" si="5"/>
        <v>-107804.06999999999</v>
      </c>
      <c r="H40" s="132">
        <f t="shared" si="5"/>
        <v>-68350.760000000009</v>
      </c>
      <c r="I40" s="132">
        <f t="shared" si="5"/>
        <v>0</v>
      </c>
      <c r="J40" s="132">
        <f t="shared" si="5"/>
        <v>0</v>
      </c>
      <c r="K40" s="132">
        <f t="shared" si="5"/>
        <v>0</v>
      </c>
      <c r="L40" s="132">
        <f t="shared" si="5"/>
        <v>0</v>
      </c>
      <c r="M40" s="132">
        <f t="shared" ref="M40:N40" si="6">SUM(M14:M39)</f>
        <v>0</v>
      </c>
      <c r="N40" s="132">
        <f t="shared" si="6"/>
        <v>0</v>
      </c>
      <c r="O40" s="132">
        <f>SUM(O14:O39)</f>
        <v>-436868.23</v>
      </c>
      <c r="P40" s="21"/>
      <c r="R40" s="98">
        <f t="shared" si="0"/>
        <v>-436868.23</v>
      </c>
      <c r="S40" s="98">
        <f t="shared" si="1"/>
        <v>0</v>
      </c>
    </row>
    <row r="41" spans="1:19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25"/>
      <c r="P41" s="159"/>
      <c r="R41" s="98">
        <f t="shared" si="0"/>
        <v>0</v>
      </c>
      <c r="S41" s="98">
        <f t="shared" si="1"/>
        <v>0</v>
      </c>
    </row>
    <row r="42" spans="1:19" x14ac:dyDescent="0.25">
      <c r="A42" s="135" t="s">
        <v>32</v>
      </c>
      <c r="B42" s="136">
        <f t="shared" ref="B42:M42" si="7">B11+B40</f>
        <v>-30390.839999999997</v>
      </c>
      <c r="C42" s="136">
        <f t="shared" ref="C42:L42" si="8">C11+C40</f>
        <v>-9600.5500000000011</v>
      </c>
      <c r="D42" s="136">
        <f t="shared" si="8"/>
        <v>-59253.73</v>
      </c>
      <c r="E42" s="136">
        <f t="shared" si="8"/>
        <v>-59694.6</v>
      </c>
      <c r="F42" s="136">
        <f t="shared" si="8"/>
        <v>-101773.68</v>
      </c>
      <c r="G42" s="136">
        <f t="shared" si="8"/>
        <v>-107804.06999999999</v>
      </c>
      <c r="H42" s="136">
        <f t="shared" si="8"/>
        <v>-68350.760000000009</v>
      </c>
      <c r="I42" s="136">
        <f t="shared" si="8"/>
        <v>0</v>
      </c>
      <c r="J42" s="136">
        <f t="shared" si="8"/>
        <v>0</v>
      </c>
      <c r="K42" s="136">
        <f t="shared" si="8"/>
        <v>0</v>
      </c>
      <c r="L42" s="136">
        <f t="shared" si="8"/>
        <v>0</v>
      </c>
      <c r="M42" s="136">
        <f t="shared" si="7"/>
        <v>0</v>
      </c>
      <c r="N42" s="136">
        <f>N11+N40</f>
        <v>0</v>
      </c>
      <c r="O42" s="157">
        <f>SUM(B42:N42)</f>
        <v>-436868.23</v>
      </c>
      <c r="P42" s="21"/>
      <c r="R42" s="98">
        <f t="shared" si="0"/>
        <v>-436868.23</v>
      </c>
      <c r="S42" s="98">
        <f t="shared" si="1"/>
        <v>0</v>
      </c>
    </row>
    <row r="43" spans="1:19" x14ac:dyDescent="0.25">
      <c r="A43" s="13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62"/>
      <c r="R43" s="98">
        <f t="shared" si="0"/>
        <v>0</v>
      </c>
      <c r="S43" s="98">
        <f t="shared" si="1"/>
        <v>0</v>
      </c>
    </row>
    <row r="44" spans="1:19" x14ac:dyDescent="0.25">
      <c r="A44" s="126" t="s">
        <v>56</v>
      </c>
      <c r="B44" s="139">
        <f t="shared" ref="B44:L44" si="9">-B9*13.15%</f>
        <v>0</v>
      </c>
      <c r="C44" s="139">
        <f t="shared" si="9"/>
        <v>0</v>
      </c>
      <c r="D44" s="139">
        <f t="shared" si="9"/>
        <v>0</v>
      </c>
      <c r="E44" s="139">
        <f t="shared" si="9"/>
        <v>0</v>
      </c>
      <c r="F44" s="139">
        <f t="shared" si="9"/>
        <v>0</v>
      </c>
      <c r="G44" s="139">
        <f t="shared" si="9"/>
        <v>0</v>
      </c>
      <c r="H44" s="139">
        <f t="shared" si="9"/>
        <v>0</v>
      </c>
      <c r="I44" s="139">
        <f t="shared" si="9"/>
        <v>0</v>
      </c>
      <c r="J44" s="139">
        <f t="shared" si="9"/>
        <v>0</v>
      </c>
      <c r="K44" s="139">
        <f t="shared" si="9"/>
        <v>0</v>
      </c>
      <c r="L44" s="139">
        <f t="shared" si="9"/>
        <v>0</v>
      </c>
      <c r="M44" s="139">
        <f t="shared" ref="M44:N44" si="10">-M9*13.15%</f>
        <v>0</v>
      </c>
      <c r="N44" s="139">
        <f t="shared" si="10"/>
        <v>0</v>
      </c>
      <c r="O44" s="119">
        <f t="shared" ref="O44" si="11">SUM(B44:N44)</f>
        <v>0</v>
      </c>
      <c r="P44" s="21"/>
      <c r="R44" s="98">
        <f t="shared" si="0"/>
        <v>0</v>
      </c>
      <c r="S44" s="98">
        <f t="shared" si="1"/>
        <v>0</v>
      </c>
    </row>
    <row r="45" spans="1:19" x14ac:dyDescent="0.25">
      <c r="A45" s="137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62"/>
      <c r="R45" s="98">
        <f t="shared" si="0"/>
        <v>0</v>
      </c>
      <c r="S45" s="98">
        <f t="shared" si="1"/>
        <v>0</v>
      </c>
    </row>
    <row r="46" spans="1:19" x14ac:dyDescent="0.25">
      <c r="A46" s="126" t="s">
        <v>33</v>
      </c>
      <c r="B46" s="139">
        <f t="shared" ref="B46:L46" si="12">-B9*1.22%</f>
        <v>0</v>
      </c>
      <c r="C46" s="139">
        <f t="shared" si="12"/>
        <v>0</v>
      </c>
      <c r="D46" s="139">
        <f t="shared" si="12"/>
        <v>0</v>
      </c>
      <c r="E46" s="139">
        <f t="shared" si="12"/>
        <v>0</v>
      </c>
      <c r="F46" s="139">
        <f t="shared" si="12"/>
        <v>0</v>
      </c>
      <c r="G46" s="139">
        <f t="shared" si="12"/>
        <v>0</v>
      </c>
      <c r="H46" s="139">
        <f t="shared" si="12"/>
        <v>0</v>
      </c>
      <c r="I46" s="139">
        <f t="shared" si="12"/>
        <v>0</v>
      </c>
      <c r="J46" s="139">
        <f t="shared" si="12"/>
        <v>0</v>
      </c>
      <c r="K46" s="139">
        <f t="shared" si="12"/>
        <v>0</v>
      </c>
      <c r="L46" s="139">
        <f t="shared" si="12"/>
        <v>0</v>
      </c>
      <c r="M46" s="139">
        <f t="shared" ref="M46:N46" si="13">-M9*1.22%</f>
        <v>0</v>
      </c>
      <c r="N46" s="139">
        <f t="shared" si="13"/>
        <v>0</v>
      </c>
      <c r="O46" s="119">
        <f t="shared" ref="O46" si="14">SUM(B46:N46)</f>
        <v>0</v>
      </c>
      <c r="P46" s="21"/>
      <c r="R46" s="98">
        <f t="shared" si="0"/>
        <v>0</v>
      </c>
      <c r="S46" s="98">
        <f t="shared" si="1"/>
        <v>0</v>
      </c>
    </row>
    <row r="47" spans="1:19" x14ac:dyDescent="0.2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62"/>
      <c r="R47" s="98">
        <f t="shared" si="0"/>
        <v>0</v>
      </c>
      <c r="S47" s="98">
        <f t="shared" si="1"/>
        <v>0</v>
      </c>
    </row>
    <row r="48" spans="1:19" x14ac:dyDescent="0.25">
      <c r="A48" s="113" t="s">
        <v>57</v>
      </c>
      <c r="B48" s="142">
        <f t="shared" ref="B48:M48" si="15">B40*5.56%</f>
        <v>-1689.7307039999996</v>
      </c>
      <c r="C48" s="142">
        <f t="shared" ref="C48:L48" si="16">C40*5.56%</f>
        <v>-533.79057999999998</v>
      </c>
      <c r="D48" s="142">
        <f t="shared" si="16"/>
        <v>-3294.507388</v>
      </c>
      <c r="E48" s="142">
        <f t="shared" si="16"/>
        <v>-3319.0197599999997</v>
      </c>
      <c r="F48" s="142">
        <f t="shared" si="16"/>
        <v>-5658.6166079999994</v>
      </c>
      <c r="G48" s="142">
        <f t="shared" si="16"/>
        <v>-5993.9062919999997</v>
      </c>
      <c r="H48" s="142">
        <f t="shared" si="16"/>
        <v>-3800.3022560000004</v>
      </c>
      <c r="I48" s="142">
        <f t="shared" si="16"/>
        <v>0</v>
      </c>
      <c r="J48" s="142">
        <f t="shared" si="16"/>
        <v>0</v>
      </c>
      <c r="K48" s="142">
        <f t="shared" si="16"/>
        <v>0</v>
      </c>
      <c r="L48" s="142">
        <f t="shared" si="16"/>
        <v>0</v>
      </c>
      <c r="M48" s="142">
        <f t="shared" si="15"/>
        <v>0</v>
      </c>
      <c r="N48" s="142">
        <f>N40*5.56%</f>
        <v>0</v>
      </c>
      <c r="O48" s="119">
        <f t="shared" ref="O48" si="17">SUM(B48:N48)</f>
        <v>-24289.873587999999</v>
      </c>
      <c r="P48" s="21"/>
      <c r="R48" s="98">
        <f t="shared" si="0"/>
        <v>-24289.873587999999</v>
      </c>
      <c r="S48" s="98">
        <f t="shared" si="1"/>
        <v>0</v>
      </c>
    </row>
    <row r="49" spans="1:19" x14ac:dyDescent="0.2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62"/>
      <c r="R49" s="98">
        <f t="shared" si="0"/>
        <v>0</v>
      </c>
      <c r="S49" s="98">
        <f t="shared" si="1"/>
        <v>0</v>
      </c>
    </row>
    <row r="50" spans="1:19" x14ac:dyDescent="0.25">
      <c r="A50" s="113" t="s">
        <v>58</v>
      </c>
      <c r="B50" s="142">
        <f t="shared" ref="B50:M50" si="18">B40*0.01%</f>
        <v>-3.0390839999999999</v>
      </c>
      <c r="C50" s="142">
        <f t="shared" ref="C50:L50" si="19">C40*0.01%</f>
        <v>-0.9600550000000001</v>
      </c>
      <c r="D50" s="142">
        <f t="shared" si="19"/>
        <v>-5.9253730000000004</v>
      </c>
      <c r="E50" s="142">
        <f t="shared" si="19"/>
        <v>-5.9694599999999998</v>
      </c>
      <c r="F50" s="142">
        <f t="shared" si="19"/>
        <v>-10.177368</v>
      </c>
      <c r="G50" s="142">
        <f t="shared" si="19"/>
        <v>-10.780407</v>
      </c>
      <c r="H50" s="142">
        <f t="shared" si="19"/>
        <v>-6.8350760000000008</v>
      </c>
      <c r="I50" s="142">
        <f t="shared" si="19"/>
        <v>0</v>
      </c>
      <c r="J50" s="142">
        <f t="shared" si="19"/>
        <v>0</v>
      </c>
      <c r="K50" s="142">
        <f t="shared" si="19"/>
        <v>0</v>
      </c>
      <c r="L50" s="142">
        <f t="shared" si="19"/>
        <v>0</v>
      </c>
      <c r="M50" s="142">
        <f t="shared" si="18"/>
        <v>0</v>
      </c>
      <c r="N50" s="142">
        <f>N40*0.01%</f>
        <v>0</v>
      </c>
      <c r="O50" s="119">
        <f t="shared" ref="O50" si="20">SUM(B50:N50)</f>
        <v>-43.686823000000004</v>
      </c>
      <c r="P50" s="21"/>
      <c r="R50" s="98">
        <f t="shared" si="0"/>
        <v>-43.686823000000004</v>
      </c>
      <c r="S50" s="98">
        <f t="shared" si="1"/>
        <v>0</v>
      </c>
    </row>
    <row r="51" spans="1:19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62"/>
      <c r="R51" s="98">
        <f t="shared" si="0"/>
        <v>0</v>
      </c>
      <c r="S51" s="98">
        <f t="shared" si="1"/>
        <v>0</v>
      </c>
    </row>
    <row r="52" spans="1:19" x14ac:dyDescent="0.25">
      <c r="A52" s="135" t="s">
        <v>295</v>
      </c>
      <c r="B52" s="136">
        <f t="shared" ref="B52:M52" si="21">B42+B48+B50+B44+B46</f>
        <v>-32083.609787999998</v>
      </c>
      <c r="C52" s="136">
        <f t="shared" ref="C52:L52" si="22">C42+C48+C50+C44+C46</f>
        <v>-10135.300635000001</v>
      </c>
      <c r="D52" s="136">
        <f t="shared" si="22"/>
        <v>-62554.162761</v>
      </c>
      <c r="E52" s="136">
        <f t="shared" si="22"/>
        <v>-63019.589220000002</v>
      </c>
      <c r="F52" s="136">
        <f t="shared" si="22"/>
        <v>-107442.47397599999</v>
      </c>
      <c r="G52" s="136">
        <f t="shared" si="22"/>
        <v>-113808.75669899999</v>
      </c>
      <c r="H52" s="136">
        <f t="shared" si="22"/>
        <v>-72157.897332000008</v>
      </c>
      <c r="I52" s="136">
        <f t="shared" si="22"/>
        <v>0</v>
      </c>
      <c r="J52" s="136">
        <f t="shared" si="22"/>
        <v>0</v>
      </c>
      <c r="K52" s="136">
        <f t="shared" si="22"/>
        <v>0</v>
      </c>
      <c r="L52" s="136">
        <f t="shared" si="22"/>
        <v>0</v>
      </c>
      <c r="M52" s="136">
        <f t="shared" si="21"/>
        <v>0</v>
      </c>
      <c r="N52" s="136">
        <f>N42+N48+N50+N44+N46</f>
        <v>0</v>
      </c>
      <c r="O52" s="157">
        <f>SUM(B52:N52)</f>
        <v>-461201.79041099997</v>
      </c>
      <c r="P52" s="21"/>
      <c r="R52" s="98">
        <f t="shared" si="0"/>
        <v>-461201.79041099997</v>
      </c>
      <c r="S52" s="98">
        <f t="shared" si="1"/>
        <v>0</v>
      </c>
    </row>
    <row r="53" spans="1:19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63"/>
    </row>
    <row r="54" spans="1:19" x14ac:dyDescent="0.25">
      <c r="A54" s="144" t="s">
        <v>35</v>
      </c>
      <c r="B54" s="13"/>
      <c r="C54" s="13">
        <v>4</v>
      </c>
      <c r="D54" s="13">
        <v>9</v>
      </c>
      <c r="E54" s="13">
        <v>9</v>
      </c>
      <c r="F54" s="13">
        <v>17</v>
      </c>
      <c r="G54" s="13">
        <v>16</v>
      </c>
      <c r="H54" s="13">
        <v>10</v>
      </c>
      <c r="I54" s="13"/>
      <c r="J54" s="13"/>
      <c r="K54" s="13"/>
      <c r="L54" s="13"/>
      <c r="M54" s="13"/>
      <c r="N54" s="13"/>
      <c r="O54" s="145"/>
      <c r="P54" s="163"/>
    </row>
    <row r="55" spans="1:19" x14ac:dyDescent="0.25">
      <c r="A55" s="80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53"/>
    </row>
    <row r="56" spans="1:19" x14ac:dyDescent="0.25">
      <c r="A56" s="146" t="s">
        <v>36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64">
        <v>46203</v>
      </c>
    </row>
    <row r="57" spans="1:19" x14ac:dyDescent="0.25">
      <c r="B57" s="98">
        <f t="shared" ref="B57:N57" si="23">B11+B40+B44+B46+B48+B50</f>
        <v>-32083.609787999998</v>
      </c>
      <c r="C57" s="98">
        <f t="shared" si="23"/>
        <v>-10135.300635000001</v>
      </c>
      <c r="D57" s="98">
        <f t="shared" si="23"/>
        <v>-62554.162761</v>
      </c>
      <c r="E57" s="98">
        <f t="shared" si="23"/>
        <v>-63019.589220000002</v>
      </c>
      <c r="F57" s="98">
        <f t="shared" si="23"/>
        <v>-107442.47397599999</v>
      </c>
      <c r="G57" s="98">
        <f t="shared" si="23"/>
        <v>-113808.75669899999</v>
      </c>
      <c r="H57" s="98">
        <f t="shared" si="23"/>
        <v>-72157.897332000008</v>
      </c>
      <c r="I57" s="98">
        <f t="shared" si="23"/>
        <v>0</v>
      </c>
      <c r="J57" s="98">
        <f t="shared" si="23"/>
        <v>0</v>
      </c>
      <c r="K57" s="98">
        <f t="shared" si="23"/>
        <v>0</v>
      </c>
      <c r="L57" s="98">
        <f t="shared" si="23"/>
        <v>0</v>
      </c>
      <c r="M57" s="98">
        <f t="shared" si="23"/>
        <v>0</v>
      </c>
      <c r="N57" s="98">
        <f t="shared" si="23"/>
        <v>0</v>
      </c>
      <c r="O57" s="98">
        <f t="shared" ref="O57" si="24">O11+O40+O44+O46+O48+O50</f>
        <v>-461201.79041100002</v>
      </c>
      <c r="P57" s="153"/>
    </row>
    <row r="58" spans="1:19" x14ac:dyDescent="0.25">
      <c r="P58" s="153"/>
    </row>
    <row r="59" spans="1:19" x14ac:dyDescent="0.25">
      <c r="B59" s="98">
        <f t="shared" ref="B59:N59" si="25">B57-B52</f>
        <v>0</v>
      </c>
      <c r="C59" s="98">
        <f t="shared" si="25"/>
        <v>0</v>
      </c>
      <c r="D59" s="98">
        <f t="shared" si="25"/>
        <v>0</v>
      </c>
      <c r="E59" s="98">
        <f t="shared" si="25"/>
        <v>0</v>
      </c>
      <c r="F59" s="98">
        <f t="shared" si="25"/>
        <v>0</v>
      </c>
      <c r="G59" s="98">
        <f t="shared" si="25"/>
        <v>0</v>
      </c>
      <c r="H59" s="98">
        <f t="shared" si="25"/>
        <v>0</v>
      </c>
      <c r="I59" s="98">
        <f t="shared" si="25"/>
        <v>0</v>
      </c>
      <c r="J59" s="98">
        <f t="shared" si="25"/>
        <v>0</v>
      </c>
      <c r="K59" s="98">
        <f t="shared" si="25"/>
        <v>0</v>
      </c>
      <c r="L59" s="98">
        <f t="shared" si="25"/>
        <v>0</v>
      </c>
      <c r="M59" s="98">
        <f t="shared" si="25"/>
        <v>0</v>
      </c>
      <c r="N59" s="98">
        <f t="shared" si="25"/>
        <v>0</v>
      </c>
      <c r="O59" s="98">
        <f t="shared" ref="O59" si="26">O57-O52</f>
        <v>0</v>
      </c>
      <c r="P59" s="153"/>
    </row>
    <row r="60" spans="1:19" x14ac:dyDescent="0.25">
      <c r="P60" s="153"/>
    </row>
  </sheetData>
  <mergeCells count="3">
    <mergeCell ref="A1:P1"/>
    <mergeCell ref="A3:P3"/>
    <mergeCell ref="A5:P5"/>
  </mergeCells>
  <printOptions horizontalCentered="1" verticalCentered="1"/>
  <pageMargins left="0.51181102362204722" right="0.51181102362204722" top="0.31496062992125984" bottom="0" header="0.19685039370078741" footer="0"/>
  <pageSetup paperSize="9" scale="71" orientation="landscape" r:id="rId1"/>
  <headerFooter>
    <oddHeader>&amp;L&amp;"-,Negrito"&amp;14                                                                                                                                            
&amp;C&amp;"-,Negrito"&amp;16BELA NOVA CONSTRUTORA LTDA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9"/>
  </sheetPr>
  <dimension ref="A1:T60"/>
  <sheetViews>
    <sheetView topLeftCell="A10" zoomScale="85" zoomScaleNormal="85" workbookViewId="0">
      <pane xSplit="1" topLeftCell="B1" activePane="topRight" state="frozen"/>
      <selection activeCell="E21" sqref="E21"/>
      <selection pane="topRight" activeCell="G12" sqref="G12"/>
    </sheetView>
  </sheetViews>
  <sheetFormatPr defaultRowHeight="15" x14ac:dyDescent="0.25"/>
  <cols>
    <col min="1" max="1" width="61.5703125" bestFit="1" customWidth="1"/>
    <col min="2" max="8" width="16.85546875" customWidth="1"/>
    <col min="9" max="13" width="16.85546875" hidden="1" customWidth="1"/>
    <col min="14" max="14" width="16.7109375" hidden="1" customWidth="1"/>
    <col min="15" max="15" width="16.140625" bestFit="1" customWidth="1"/>
    <col min="16" max="16" width="11" bestFit="1" customWidth="1"/>
    <col min="18" max="18" width="17" bestFit="1" customWidth="1"/>
    <col min="20" max="20" width="16" bestFit="1" customWidth="1"/>
  </cols>
  <sheetData>
    <row r="1" spans="1:20" ht="15.75" x14ac:dyDescent="0.25">
      <c r="A1" s="203" t="s">
        <v>186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20" ht="11.25" customHeight="1" x14ac:dyDescent="0.25">
      <c r="A2" s="108"/>
    </row>
    <row r="3" spans="1:20" ht="15.75" x14ac:dyDescent="0.25">
      <c r="A3" s="203" t="s">
        <v>297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</row>
    <row r="4" spans="1:20" ht="10.5" customHeight="1" x14ac:dyDescent="0.25">
      <c r="A4" s="108"/>
    </row>
    <row r="5" spans="1:20" ht="16.5" customHeight="1" x14ac:dyDescent="0.25">
      <c r="A5" s="209" t="s">
        <v>292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R5" s="177"/>
      <c r="S5" s="86"/>
      <c r="T5" s="86"/>
    </row>
    <row r="6" spans="1:20" x14ac:dyDescent="0.25">
      <c r="A6" s="110"/>
      <c r="R6" s="177"/>
      <c r="S6" s="86"/>
      <c r="T6" s="86"/>
    </row>
    <row r="7" spans="1:20" x14ac:dyDescent="0.25">
      <c r="A7" s="111"/>
      <c r="B7" s="60" t="s">
        <v>319</v>
      </c>
      <c r="C7" s="60" t="s">
        <v>304</v>
      </c>
      <c r="D7" s="60" t="s">
        <v>305</v>
      </c>
      <c r="E7" s="60" t="s">
        <v>306</v>
      </c>
      <c r="F7" s="60" t="s">
        <v>307</v>
      </c>
      <c r="G7" s="60" t="s">
        <v>308</v>
      </c>
      <c r="H7" s="60" t="s">
        <v>309</v>
      </c>
      <c r="I7" s="60" t="s">
        <v>310</v>
      </c>
      <c r="J7" s="60" t="s">
        <v>311</v>
      </c>
      <c r="K7" s="60" t="s">
        <v>312</v>
      </c>
      <c r="L7" s="60" t="s">
        <v>313</v>
      </c>
      <c r="M7" s="60" t="s">
        <v>314</v>
      </c>
      <c r="N7" s="60" t="s">
        <v>225</v>
      </c>
      <c r="O7" s="113" t="s">
        <v>1</v>
      </c>
      <c r="P7" s="158" t="s">
        <v>2</v>
      </c>
    </row>
    <row r="8" spans="1:20" x14ac:dyDescent="0.25">
      <c r="A8" s="114" t="s">
        <v>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6"/>
      <c r="P8" s="159"/>
    </row>
    <row r="9" spans="1:20" x14ac:dyDescent="0.25">
      <c r="A9" s="117" t="s">
        <v>4</v>
      </c>
      <c r="B9" s="118">
        <v>0</v>
      </c>
      <c r="C9" s="118">
        <v>73765.929999999993</v>
      </c>
      <c r="D9" s="118">
        <v>0</v>
      </c>
      <c r="E9" s="118">
        <v>449639.41</v>
      </c>
      <c r="F9" s="118">
        <v>215300.83</v>
      </c>
      <c r="G9" s="118">
        <v>252885.93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  <c r="O9" s="119">
        <f>SUM(B9:N9)</f>
        <v>991592.09999999986</v>
      </c>
      <c r="P9" s="21">
        <v>1</v>
      </c>
      <c r="R9" s="98">
        <f t="shared" ref="R9:R52" si="0">SUM(A9:N9)</f>
        <v>991592.09999999986</v>
      </c>
      <c r="S9" s="98">
        <f>R9-O9</f>
        <v>0</v>
      </c>
    </row>
    <row r="10" spans="1:20" x14ac:dyDescent="0.25">
      <c r="A10" s="114" t="s">
        <v>5</v>
      </c>
      <c r="B10" s="118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  <c r="O10" s="119">
        <f>SUM(B10:N10)</f>
        <v>0</v>
      </c>
      <c r="P10" s="21"/>
      <c r="R10" s="98">
        <f t="shared" si="0"/>
        <v>0</v>
      </c>
      <c r="S10" s="98">
        <f t="shared" ref="S10:S52" si="1">R10-O10</f>
        <v>0</v>
      </c>
    </row>
    <row r="11" spans="1:20" x14ac:dyDescent="0.25">
      <c r="A11" s="121" t="s">
        <v>6</v>
      </c>
      <c r="B11" s="122">
        <f t="shared" ref="B11" si="2">SUM(B9:B10)</f>
        <v>0</v>
      </c>
      <c r="C11" s="122">
        <f t="shared" ref="C11:N11" si="3">SUM(C9:C10)</f>
        <v>73765.929999999993</v>
      </c>
      <c r="D11" s="122">
        <f t="shared" si="3"/>
        <v>0</v>
      </c>
      <c r="E11" s="122">
        <f t="shared" si="3"/>
        <v>449639.41</v>
      </c>
      <c r="F11" s="122">
        <f t="shared" si="3"/>
        <v>215300.83</v>
      </c>
      <c r="G11" s="122">
        <f t="shared" si="3"/>
        <v>252885.93</v>
      </c>
      <c r="H11" s="122">
        <f t="shared" si="3"/>
        <v>0</v>
      </c>
      <c r="I11" s="122">
        <f t="shared" si="3"/>
        <v>0</v>
      </c>
      <c r="J11" s="122">
        <f t="shared" si="3"/>
        <v>0</v>
      </c>
      <c r="K11" s="122">
        <f t="shared" si="3"/>
        <v>0</v>
      </c>
      <c r="L11" s="122">
        <f t="shared" si="3"/>
        <v>0</v>
      </c>
      <c r="M11" s="122">
        <f t="shared" si="3"/>
        <v>0</v>
      </c>
      <c r="N11" s="122">
        <f t="shared" si="3"/>
        <v>0</v>
      </c>
      <c r="O11" s="122">
        <f>SUM(O9:O10)</f>
        <v>991592.09999999986</v>
      </c>
      <c r="P11" s="21">
        <v>1</v>
      </c>
      <c r="R11" s="98">
        <f t="shared" si="0"/>
        <v>991592.09999999986</v>
      </c>
      <c r="S11" s="98">
        <f t="shared" si="1"/>
        <v>0</v>
      </c>
    </row>
    <row r="12" spans="1:20" x14ac:dyDescent="0.25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5"/>
      <c r="P12" s="160"/>
      <c r="R12" s="98">
        <f t="shared" si="0"/>
        <v>0</v>
      </c>
      <c r="S12" s="98">
        <f t="shared" si="1"/>
        <v>0</v>
      </c>
    </row>
    <row r="13" spans="1:20" x14ac:dyDescent="0.25">
      <c r="A13" s="126" t="s">
        <v>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/>
      <c r="P13" s="161"/>
      <c r="R13" s="98">
        <f t="shared" si="0"/>
        <v>0</v>
      </c>
      <c r="S13" s="98">
        <f t="shared" si="1"/>
        <v>0</v>
      </c>
    </row>
    <row r="14" spans="1:20" x14ac:dyDescent="0.25">
      <c r="A14" s="114" t="s">
        <v>8</v>
      </c>
      <c r="B14" s="128">
        <v>-1186.77</v>
      </c>
      <c r="C14" s="128">
        <v>-4789.1400000000003</v>
      </c>
      <c r="D14" s="128">
        <v>-6749.01</v>
      </c>
      <c r="E14" s="128">
        <v>-2907.26</v>
      </c>
      <c r="F14" s="128">
        <v>-11336.12</v>
      </c>
      <c r="G14" s="128">
        <v>-8551.34</v>
      </c>
      <c r="H14" s="128">
        <v>0</v>
      </c>
      <c r="I14" s="128">
        <v>0</v>
      </c>
      <c r="J14" s="128">
        <v>0</v>
      </c>
      <c r="K14" s="128">
        <v>0</v>
      </c>
      <c r="L14" s="128">
        <v>0</v>
      </c>
      <c r="M14" s="128">
        <v>0</v>
      </c>
      <c r="N14" s="128">
        <v>0</v>
      </c>
      <c r="O14" s="119">
        <f>SUM(B14:N14)</f>
        <v>-35519.64</v>
      </c>
      <c r="P14" s="21">
        <f>-O14/$O$11</f>
        <v>3.5820817854438337E-2</v>
      </c>
      <c r="R14" s="98">
        <f t="shared" si="0"/>
        <v>-35519.64</v>
      </c>
      <c r="S14" s="98">
        <f t="shared" si="1"/>
        <v>0</v>
      </c>
    </row>
    <row r="15" spans="1:20" x14ac:dyDescent="0.25">
      <c r="A15" s="129" t="s">
        <v>9</v>
      </c>
      <c r="B15" s="128">
        <v>0</v>
      </c>
      <c r="C15" s="128">
        <v>0</v>
      </c>
      <c r="D15" s="128">
        <v>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0</v>
      </c>
      <c r="L15" s="128">
        <v>0</v>
      </c>
      <c r="M15" s="128">
        <v>0</v>
      </c>
      <c r="N15" s="128">
        <v>0</v>
      </c>
      <c r="O15" s="119">
        <f t="shared" ref="O15:O39" si="4">SUM(B15:N15)</f>
        <v>0</v>
      </c>
      <c r="P15" s="21">
        <f t="shared" ref="P15:P50" si="5">-O15/$O$11</f>
        <v>0</v>
      </c>
      <c r="R15" s="98">
        <f t="shared" si="0"/>
        <v>0</v>
      </c>
      <c r="S15" s="98">
        <f t="shared" si="1"/>
        <v>0</v>
      </c>
    </row>
    <row r="16" spans="1:20" x14ac:dyDescent="0.25">
      <c r="A16" s="114" t="s">
        <v>10</v>
      </c>
      <c r="B16" s="128">
        <v>0</v>
      </c>
      <c r="C16" s="128">
        <v>0</v>
      </c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28">
        <v>0</v>
      </c>
      <c r="O16" s="119">
        <f t="shared" si="4"/>
        <v>0</v>
      </c>
      <c r="P16" s="21">
        <f t="shared" si="5"/>
        <v>0</v>
      </c>
      <c r="R16" s="98">
        <f t="shared" si="0"/>
        <v>0</v>
      </c>
      <c r="S16" s="98">
        <f t="shared" si="1"/>
        <v>0</v>
      </c>
    </row>
    <row r="17" spans="1:19" x14ac:dyDescent="0.25">
      <c r="A17" s="129" t="s">
        <v>11</v>
      </c>
      <c r="B17" s="128">
        <v>-436.04</v>
      </c>
      <c r="C17" s="128">
        <v>-458.2</v>
      </c>
      <c r="D17" s="128">
        <v>0</v>
      </c>
      <c r="E17" s="128">
        <f>-28.76</f>
        <v>-28.76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28">
        <v>0</v>
      </c>
      <c r="O17" s="119">
        <f t="shared" si="4"/>
        <v>-923</v>
      </c>
      <c r="P17" s="21">
        <f t="shared" si="5"/>
        <v>9.308262944006917E-4</v>
      </c>
      <c r="R17" s="98">
        <f t="shared" si="0"/>
        <v>-923</v>
      </c>
      <c r="S17" s="98">
        <f t="shared" si="1"/>
        <v>0</v>
      </c>
    </row>
    <row r="18" spans="1:19" x14ac:dyDescent="0.25">
      <c r="A18" s="114" t="s">
        <v>12</v>
      </c>
      <c r="B18" s="128">
        <v>-3166.35</v>
      </c>
      <c r="C18" s="128">
        <v>-2563.9899999999998</v>
      </c>
      <c r="D18" s="128">
        <v>-1954.61</v>
      </c>
      <c r="E18" s="128">
        <v>-2155.94</v>
      </c>
      <c r="F18" s="128">
        <v>-2786.91</v>
      </c>
      <c r="G18" s="128">
        <v>-3294.6</v>
      </c>
      <c r="H18" s="128">
        <v>0</v>
      </c>
      <c r="I18" s="128">
        <v>0</v>
      </c>
      <c r="J18" s="128">
        <v>0</v>
      </c>
      <c r="K18" s="128">
        <v>0</v>
      </c>
      <c r="L18" s="128">
        <v>0</v>
      </c>
      <c r="M18" s="128">
        <v>0</v>
      </c>
      <c r="N18" s="128">
        <v>0</v>
      </c>
      <c r="O18" s="119">
        <f t="shared" si="4"/>
        <v>-15922.4</v>
      </c>
      <c r="P18" s="21">
        <f t="shared" si="5"/>
        <v>1.605740908988686E-2</v>
      </c>
      <c r="R18" s="98">
        <f t="shared" si="0"/>
        <v>-15922.4</v>
      </c>
      <c r="S18" s="98">
        <f t="shared" si="1"/>
        <v>0</v>
      </c>
    </row>
    <row r="19" spans="1:19" x14ac:dyDescent="0.25">
      <c r="A19" s="114" t="s">
        <v>13</v>
      </c>
      <c r="B19" s="128">
        <v>-2384.65</v>
      </c>
      <c r="C19" s="128">
        <v>-2251.4699999999998</v>
      </c>
      <c r="D19" s="128">
        <v>-1861.68</v>
      </c>
      <c r="E19" s="128">
        <v>-1901.78</v>
      </c>
      <c r="F19" s="128">
        <v>-2019.24</v>
      </c>
      <c r="G19" s="128">
        <v>-2440.7800000000002</v>
      </c>
      <c r="H19" s="128">
        <v>0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  <c r="N19" s="128">
        <v>0</v>
      </c>
      <c r="O19" s="119">
        <f t="shared" si="4"/>
        <v>-12859.6</v>
      </c>
      <c r="P19" s="21">
        <f t="shared" si="5"/>
        <v>1.2968639020016399E-2</v>
      </c>
      <c r="R19" s="98">
        <f t="shared" si="0"/>
        <v>-12859.6</v>
      </c>
      <c r="S19" s="98">
        <f t="shared" si="1"/>
        <v>0</v>
      </c>
    </row>
    <row r="20" spans="1:19" x14ac:dyDescent="0.25">
      <c r="A20" s="114" t="s">
        <v>14</v>
      </c>
      <c r="B20" s="128">
        <v>-1554.79</v>
      </c>
      <c r="C20" s="128">
        <v>-1154.24</v>
      </c>
      <c r="D20" s="128">
        <v>-3896.34</v>
      </c>
      <c r="E20" s="128">
        <v>-2268.42</v>
      </c>
      <c r="F20" s="128">
        <v>-2252.9899999999998</v>
      </c>
      <c r="G20" s="128">
        <v>-3361.72</v>
      </c>
      <c r="H20" s="128">
        <v>0</v>
      </c>
      <c r="I20" s="128">
        <v>0</v>
      </c>
      <c r="J20" s="128">
        <v>0</v>
      </c>
      <c r="K20" s="128">
        <v>0</v>
      </c>
      <c r="L20" s="128">
        <v>0</v>
      </c>
      <c r="M20" s="128">
        <v>0</v>
      </c>
      <c r="N20" s="128">
        <v>0</v>
      </c>
      <c r="O20" s="119">
        <f t="shared" si="4"/>
        <v>-14488.5</v>
      </c>
      <c r="P20" s="21">
        <f t="shared" si="5"/>
        <v>1.461135077619114E-2</v>
      </c>
      <c r="R20" s="98">
        <f t="shared" si="0"/>
        <v>-14488.5</v>
      </c>
      <c r="S20" s="98">
        <f t="shared" si="1"/>
        <v>0</v>
      </c>
    </row>
    <row r="21" spans="1:19" x14ac:dyDescent="0.25">
      <c r="A21" s="114" t="s">
        <v>15</v>
      </c>
      <c r="B21" s="128">
        <v>0</v>
      </c>
      <c r="C21" s="128">
        <v>-291.99</v>
      </c>
      <c r="D21" s="128">
        <v>0</v>
      </c>
      <c r="E21" s="128">
        <v>0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28">
        <v>0</v>
      </c>
      <c r="N21" s="128">
        <v>0</v>
      </c>
      <c r="O21" s="119">
        <f t="shared" si="4"/>
        <v>-291.99</v>
      </c>
      <c r="P21" s="21">
        <f t="shared" si="5"/>
        <v>2.94465839330507E-4</v>
      </c>
      <c r="R21" s="98">
        <f t="shared" si="0"/>
        <v>-291.99</v>
      </c>
      <c r="S21" s="98">
        <f t="shared" si="1"/>
        <v>0</v>
      </c>
    </row>
    <row r="22" spans="1:19" x14ac:dyDescent="0.25">
      <c r="A22" s="114" t="s">
        <v>16</v>
      </c>
      <c r="B22" s="128">
        <v>0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19">
        <f t="shared" si="4"/>
        <v>0</v>
      </c>
      <c r="P22" s="21">
        <f t="shared" si="5"/>
        <v>0</v>
      </c>
      <c r="R22" s="98">
        <f t="shared" si="0"/>
        <v>0</v>
      </c>
      <c r="S22" s="98">
        <f t="shared" si="1"/>
        <v>0</v>
      </c>
    </row>
    <row r="23" spans="1:19" x14ac:dyDescent="0.25">
      <c r="A23" s="114" t="s">
        <v>17</v>
      </c>
      <c r="B23" s="128">
        <v>-4435.76</v>
      </c>
      <c r="C23" s="128">
        <v>-5201.58</v>
      </c>
      <c r="D23" s="128">
        <v>-4168.3500000000004</v>
      </c>
      <c r="E23" s="128">
        <v>-4216.97</v>
      </c>
      <c r="F23" s="128">
        <v>-4531.3</v>
      </c>
      <c r="G23" s="128">
        <v>-5633.07</v>
      </c>
      <c r="H23" s="128">
        <v>0</v>
      </c>
      <c r="I23" s="128">
        <v>0</v>
      </c>
      <c r="J23" s="128">
        <v>0</v>
      </c>
      <c r="K23" s="128">
        <v>0</v>
      </c>
      <c r="L23" s="128">
        <v>0</v>
      </c>
      <c r="M23" s="128">
        <v>0</v>
      </c>
      <c r="N23" s="128">
        <v>0</v>
      </c>
      <c r="O23" s="119">
        <f t="shared" si="4"/>
        <v>-28187.03</v>
      </c>
      <c r="P23" s="21">
        <f t="shared" si="5"/>
        <v>2.8426033244919966E-2</v>
      </c>
      <c r="R23" s="98">
        <f t="shared" si="0"/>
        <v>-28187.03</v>
      </c>
      <c r="S23" s="98">
        <f t="shared" si="1"/>
        <v>0</v>
      </c>
    </row>
    <row r="24" spans="1:19" x14ac:dyDescent="0.25">
      <c r="A24" s="114" t="s">
        <v>18</v>
      </c>
      <c r="B24" s="128">
        <v>0</v>
      </c>
      <c r="C24" s="128">
        <v>0</v>
      </c>
      <c r="D24" s="128">
        <v>0</v>
      </c>
      <c r="E24" s="128">
        <v>0</v>
      </c>
      <c r="F24" s="128">
        <v>0</v>
      </c>
      <c r="G24" s="128">
        <v>0</v>
      </c>
      <c r="H24" s="128">
        <v>0</v>
      </c>
      <c r="I24" s="128">
        <v>0</v>
      </c>
      <c r="J24" s="128">
        <v>0</v>
      </c>
      <c r="K24" s="128">
        <v>0</v>
      </c>
      <c r="L24" s="128">
        <v>0</v>
      </c>
      <c r="M24" s="128">
        <v>0</v>
      </c>
      <c r="N24" s="128">
        <v>0</v>
      </c>
      <c r="O24" s="119">
        <f t="shared" si="4"/>
        <v>0</v>
      </c>
      <c r="P24" s="21">
        <f t="shared" si="5"/>
        <v>0</v>
      </c>
      <c r="R24" s="98">
        <f t="shared" si="0"/>
        <v>0</v>
      </c>
      <c r="S24" s="98">
        <f t="shared" si="1"/>
        <v>0</v>
      </c>
    </row>
    <row r="25" spans="1:19" x14ac:dyDescent="0.25">
      <c r="A25" s="114" t="s">
        <v>19</v>
      </c>
      <c r="B25" s="128">
        <v>0</v>
      </c>
      <c r="C25" s="128">
        <v>-1656.64</v>
      </c>
      <c r="D25" s="128">
        <v>-2741.26</v>
      </c>
      <c r="E25" s="128">
        <v>-4398.6400000000003</v>
      </c>
      <c r="F25" s="128">
        <v>-4900</v>
      </c>
      <c r="G25" s="128">
        <v>-7212.63</v>
      </c>
      <c r="H25" s="128">
        <v>0</v>
      </c>
      <c r="I25" s="128">
        <v>0</v>
      </c>
      <c r="J25" s="128">
        <v>0</v>
      </c>
      <c r="K25" s="128">
        <v>0</v>
      </c>
      <c r="L25" s="128">
        <v>0</v>
      </c>
      <c r="M25" s="128">
        <v>0</v>
      </c>
      <c r="N25" s="128">
        <v>0</v>
      </c>
      <c r="O25" s="119">
        <f t="shared" si="4"/>
        <v>-20909.170000000002</v>
      </c>
      <c r="P25" s="21">
        <f t="shared" si="5"/>
        <v>2.1086462871174553E-2</v>
      </c>
      <c r="R25" s="98">
        <f t="shared" si="0"/>
        <v>-20909.170000000002</v>
      </c>
      <c r="S25" s="98">
        <f t="shared" si="1"/>
        <v>0</v>
      </c>
    </row>
    <row r="26" spans="1:19" x14ac:dyDescent="0.25">
      <c r="A26" s="114" t="s">
        <v>20</v>
      </c>
      <c r="B26" s="128">
        <v>0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28">
        <v>0</v>
      </c>
      <c r="L26" s="128">
        <v>0</v>
      </c>
      <c r="M26" s="128">
        <v>0</v>
      </c>
      <c r="N26" s="128">
        <v>0</v>
      </c>
      <c r="O26" s="119">
        <f t="shared" si="4"/>
        <v>0</v>
      </c>
      <c r="P26" s="21">
        <f t="shared" si="5"/>
        <v>0</v>
      </c>
      <c r="R26" s="98">
        <f t="shared" si="0"/>
        <v>0</v>
      </c>
      <c r="S26" s="98">
        <f t="shared" si="1"/>
        <v>0</v>
      </c>
    </row>
    <row r="27" spans="1:19" x14ac:dyDescent="0.25">
      <c r="A27" s="114" t="s">
        <v>59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28">
        <v>0</v>
      </c>
      <c r="L27" s="128">
        <v>0</v>
      </c>
      <c r="M27" s="128">
        <v>0</v>
      </c>
      <c r="N27" s="128">
        <v>0</v>
      </c>
      <c r="O27" s="119">
        <f t="shared" si="4"/>
        <v>0</v>
      </c>
      <c r="P27" s="21">
        <f t="shared" si="5"/>
        <v>0</v>
      </c>
      <c r="R27" s="98">
        <f t="shared" si="0"/>
        <v>0</v>
      </c>
      <c r="S27" s="98">
        <f t="shared" si="1"/>
        <v>0</v>
      </c>
    </row>
    <row r="28" spans="1:19" x14ac:dyDescent="0.25">
      <c r="A28" s="114" t="s">
        <v>21</v>
      </c>
      <c r="B28" s="128">
        <v>0</v>
      </c>
      <c r="C28" s="128">
        <v>0</v>
      </c>
      <c r="D28" s="128">
        <v>0</v>
      </c>
      <c r="E28" s="128">
        <v>-270</v>
      </c>
      <c r="F28" s="128">
        <v>-135</v>
      </c>
      <c r="G28" s="128">
        <v>0</v>
      </c>
      <c r="H28" s="128">
        <v>0</v>
      </c>
      <c r="I28" s="128">
        <v>0</v>
      </c>
      <c r="J28" s="128">
        <v>0</v>
      </c>
      <c r="K28" s="128">
        <v>0</v>
      </c>
      <c r="L28" s="128">
        <v>0</v>
      </c>
      <c r="M28" s="128">
        <v>0</v>
      </c>
      <c r="N28" s="128">
        <v>0</v>
      </c>
      <c r="O28" s="119">
        <f t="shared" si="4"/>
        <v>-405</v>
      </c>
      <c r="P28" s="21">
        <f t="shared" si="5"/>
        <v>4.0843407284104022E-4</v>
      </c>
      <c r="R28" s="98">
        <f t="shared" si="0"/>
        <v>-405</v>
      </c>
      <c r="S28" s="98">
        <f t="shared" si="1"/>
        <v>0</v>
      </c>
    </row>
    <row r="29" spans="1:19" x14ac:dyDescent="0.25">
      <c r="A29" s="114" t="s">
        <v>22</v>
      </c>
      <c r="B29" s="128">
        <v>0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28">
        <v>0</v>
      </c>
      <c r="O29" s="119">
        <f t="shared" si="4"/>
        <v>0</v>
      </c>
      <c r="P29" s="21">
        <f t="shared" si="5"/>
        <v>0</v>
      </c>
      <c r="R29" s="98">
        <f t="shared" si="0"/>
        <v>0</v>
      </c>
      <c r="S29" s="98">
        <f t="shared" si="1"/>
        <v>0</v>
      </c>
    </row>
    <row r="30" spans="1:19" x14ac:dyDescent="0.25">
      <c r="A30" s="129" t="s">
        <v>23</v>
      </c>
      <c r="B30" s="128">
        <v>-20.61</v>
      </c>
      <c r="C30" s="128">
        <v>0</v>
      </c>
      <c r="D30" s="128">
        <v>0</v>
      </c>
      <c r="E30" s="128">
        <f>-25.27</f>
        <v>-25.27</v>
      </c>
      <c r="F30" s="128">
        <v>0</v>
      </c>
      <c r="G30" s="128">
        <v>-593.19000000000005</v>
      </c>
      <c r="H30" s="128">
        <v>0</v>
      </c>
      <c r="I30" s="128">
        <v>0</v>
      </c>
      <c r="J30" s="128">
        <v>0</v>
      </c>
      <c r="K30" s="128">
        <v>0</v>
      </c>
      <c r="L30" s="128">
        <v>0</v>
      </c>
      <c r="M30" s="128">
        <v>0</v>
      </c>
      <c r="N30" s="128">
        <v>0</v>
      </c>
      <c r="O30" s="119">
        <f t="shared" si="4"/>
        <v>-639.07000000000005</v>
      </c>
      <c r="P30" s="21">
        <f t="shared" si="5"/>
        <v>6.444887973593176E-4</v>
      </c>
      <c r="R30" s="98">
        <f t="shared" si="0"/>
        <v>-639.07000000000005</v>
      </c>
      <c r="S30" s="98">
        <f t="shared" si="1"/>
        <v>0</v>
      </c>
    </row>
    <row r="31" spans="1:19" x14ac:dyDescent="0.25">
      <c r="A31" s="114" t="s">
        <v>24</v>
      </c>
      <c r="B31" s="128">
        <v>-13785.61</v>
      </c>
      <c r="C31" s="128">
        <v>-13836.75</v>
      </c>
      <c r="D31" s="128">
        <v>-7343</v>
      </c>
      <c r="E31" s="128">
        <v>-6859</v>
      </c>
      <c r="F31" s="128">
        <v>-8756</v>
      </c>
      <c r="G31" s="128">
        <v>-12478</v>
      </c>
      <c r="H31" s="128">
        <v>0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28">
        <v>0</v>
      </c>
      <c r="O31" s="119">
        <f t="shared" si="4"/>
        <v>-63058.36</v>
      </c>
      <c r="P31" s="21">
        <f t="shared" si="5"/>
        <v>6.3593043954263059E-2</v>
      </c>
      <c r="R31" s="98">
        <f t="shared" si="0"/>
        <v>-63058.36</v>
      </c>
      <c r="S31" s="98">
        <f t="shared" si="1"/>
        <v>0</v>
      </c>
    </row>
    <row r="32" spans="1:19" x14ac:dyDescent="0.25">
      <c r="A32" s="130" t="s">
        <v>25</v>
      </c>
      <c r="B32" s="128">
        <v>-27592.01</v>
      </c>
      <c r="C32" s="128">
        <v>-23603.58</v>
      </c>
      <c r="D32" s="128">
        <v>-16237.78</v>
      </c>
      <c r="E32" s="128">
        <v>-17593.5</v>
      </c>
      <c r="F32" s="128">
        <v>-22986.61</v>
      </c>
      <c r="G32" s="128">
        <v>-27147.98</v>
      </c>
      <c r="H32" s="128">
        <v>0</v>
      </c>
      <c r="I32" s="128">
        <v>0</v>
      </c>
      <c r="J32" s="128">
        <v>0</v>
      </c>
      <c r="K32" s="128">
        <v>0</v>
      </c>
      <c r="L32" s="128">
        <v>0</v>
      </c>
      <c r="M32" s="128">
        <v>0</v>
      </c>
      <c r="N32" s="128">
        <v>0</v>
      </c>
      <c r="O32" s="119">
        <f t="shared" si="4"/>
        <v>-135161.46</v>
      </c>
      <c r="P32" s="21">
        <f t="shared" si="5"/>
        <v>0.13630751999738602</v>
      </c>
      <c r="R32" s="98">
        <f t="shared" si="0"/>
        <v>-135161.46</v>
      </c>
      <c r="S32" s="98">
        <f t="shared" si="1"/>
        <v>0</v>
      </c>
    </row>
    <row r="33" spans="1:19" x14ac:dyDescent="0.25">
      <c r="A33" s="114" t="s">
        <v>26</v>
      </c>
      <c r="B33" s="128">
        <v>-1022.23</v>
      </c>
      <c r="C33" s="128">
        <v>-347.23</v>
      </c>
      <c r="D33" s="128">
        <v>0</v>
      </c>
      <c r="E33" s="128">
        <v>-330</v>
      </c>
      <c r="F33" s="128">
        <v>-342.58</v>
      </c>
      <c r="G33" s="128">
        <v>-347.23</v>
      </c>
      <c r="H33" s="128">
        <v>0</v>
      </c>
      <c r="I33" s="128">
        <v>0</v>
      </c>
      <c r="J33" s="128">
        <v>0</v>
      </c>
      <c r="K33" s="128">
        <v>0</v>
      </c>
      <c r="L33" s="128">
        <v>0</v>
      </c>
      <c r="M33" s="128">
        <v>0</v>
      </c>
      <c r="N33" s="128">
        <v>0</v>
      </c>
      <c r="O33" s="119">
        <f t="shared" si="4"/>
        <v>-2389.27</v>
      </c>
      <c r="P33" s="21">
        <f t="shared" si="5"/>
        <v>2.4095290795479313E-3</v>
      </c>
      <c r="R33" s="98">
        <f t="shared" si="0"/>
        <v>-2389.27</v>
      </c>
      <c r="S33" s="98">
        <f t="shared" si="1"/>
        <v>0</v>
      </c>
    </row>
    <row r="34" spans="1:19" x14ac:dyDescent="0.25">
      <c r="A34" s="114" t="s">
        <v>27</v>
      </c>
      <c r="B34" s="128">
        <v>0</v>
      </c>
      <c r="C34" s="128">
        <v>0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19">
        <f t="shared" si="4"/>
        <v>0</v>
      </c>
      <c r="P34" s="21">
        <f t="shared" si="5"/>
        <v>0</v>
      </c>
      <c r="R34" s="98">
        <f t="shared" si="0"/>
        <v>0</v>
      </c>
      <c r="S34" s="98">
        <f t="shared" si="1"/>
        <v>0</v>
      </c>
    </row>
    <row r="35" spans="1:19" x14ac:dyDescent="0.25">
      <c r="A35" s="129" t="s">
        <v>28</v>
      </c>
      <c r="B35" s="128">
        <v>-66.39</v>
      </c>
      <c r="C35" s="128">
        <v>0</v>
      </c>
      <c r="D35" s="128">
        <v>-218.05</v>
      </c>
      <c r="E35" s="128">
        <v>-804.38</v>
      </c>
      <c r="F35" s="128">
        <v>-1670.41</v>
      </c>
      <c r="G35" s="128">
        <v>0</v>
      </c>
      <c r="H35" s="128">
        <v>0</v>
      </c>
      <c r="I35" s="128">
        <v>0</v>
      </c>
      <c r="J35" s="128">
        <v>0</v>
      </c>
      <c r="K35" s="128">
        <v>0</v>
      </c>
      <c r="L35" s="128">
        <v>0</v>
      </c>
      <c r="M35" s="128">
        <v>0</v>
      </c>
      <c r="N35" s="128">
        <v>0</v>
      </c>
      <c r="O35" s="119">
        <f t="shared" si="4"/>
        <v>-2759.23</v>
      </c>
      <c r="P35" s="21">
        <f t="shared" si="5"/>
        <v>2.7826260414942801E-3</v>
      </c>
      <c r="R35" s="98">
        <f t="shared" si="0"/>
        <v>-2759.23</v>
      </c>
      <c r="S35" s="98">
        <f t="shared" si="1"/>
        <v>0</v>
      </c>
    </row>
    <row r="36" spans="1:19" x14ac:dyDescent="0.25">
      <c r="A36" s="114" t="s">
        <v>29</v>
      </c>
      <c r="B36" s="128">
        <v>-1179.77</v>
      </c>
      <c r="C36" s="128">
        <v>-1657.87</v>
      </c>
      <c r="D36" s="128">
        <v>-1831.04</v>
      </c>
      <c r="E36" s="128">
        <v>-2101.3000000000002</v>
      </c>
      <c r="F36" s="128">
        <v>-1434.12</v>
      </c>
      <c r="G36" s="128">
        <v>-1790.4</v>
      </c>
      <c r="H36" s="128">
        <v>0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28">
        <v>0</v>
      </c>
      <c r="O36" s="119">
        <f t="shared" si="4"/>
        <v>-9994.5</v>
      </c>
      <c r="P36" s="21">
        <f t="shared" si="5"/>
        <v>1.0079245286443893E-2</v>
      </c>
      <c r="R36" s="98">
        <f t="shared" si="0"/>
        <v>-9994.5</v>
      </c>
      <c r="S36" s="98">
        <f t="shared" si="1"/>
        <v>0</v>
      </c>
    </row>
    <row r="37" spans="1:19" x14ac:dyDescent="0.25">
      <c r="A37" s="15" t="s">
        <v>276</v>
      </c>
      <c r="B37" s="128">
        <v>-914.28</v>
      </c>
      <c r="C37" s="128">
        <v>-2442.5</v>
      </c>
      <c r="D37" s="128">
        <v>-2136.46</v>
      </c>
      <c r="E37" s="128">
        <v>-1876.71</v>
      </c>
      <c r="F37" s="128">
        <v>-2349.9299999999998</v>
      </c>
      <c r="G37" s="128">
        <v>-2744.08</v>
      </c>
      <c r="H37" s="128">
        <v>0</v>
      </c>
      <c r="I37" s="128">
        <v>0</v>
      </c>
      <c r="J37" s="128">
        <v>0</v>
      </c>
      <c r="K37" s="128">
        <v>0</v>
      </c>
      <c r="L37" s="128">
        <v>0</v>
      </c>
      <c r="M37" s="128">
        <v>0</v>
      </c>
      <c r="N37" s="128">
        <v>0</v>
      </c>
      <c r="O37" s="119">
        <f t="shared" si="4"/>
        <v>-12463.96</v>
      </c>
      <c r="P37" s="21">
        <f t="shared" si="5"/>
        <v>1.2569644312414349E-2</v>
      </c>
      <c r="R37" s="98">
        <f t="shared" si="0"/>
        <v>-12463.96</v>
      </c>
      <c r="S37" s="98">
        <f t="shared" si="1"/>
        <v>0</v>
      </c>
    </row>
    <row r="38" spans="1:19" x14ac:dyDescent="0.25">
      <c r="A38" s="114" t="s">
        <v>97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28">
        <v>0</v>
      </c>
      <c r="N38" s="128">
        <v>0</v>
      </c>
      <c r="O38" s="119">
        <f t="shared" si="4"/>
        <v>0</v>
      </c>
      <c r="P38" s="21">
        <f t="shared" si="5"/>
        <v>0</v>
      </c>
      <c r="R38" s="98">
        <f t="shared" si="0"/>
        <v>0</v>
      </c>
      <c r="S38" s="98">
        <f t="shared" si="1"/>
        <v>0</v>
      </c>
    </row>
    <row r="39" spans="1:19" x14ac:dyDescent="0.25">
      <c r="A39" s="114" t="s">
        <v>114</v>
      </c>
      <c r="B39" s="128">
        <v>0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28">
        <v>0</v>
      </c>
      <c r="O39" s="119">
        <f t="shared" si="4"/>
        <v>0</v>
      </c>
      <c r="P39" s="21">
        <f t="shared" si="5"/>
        <v>0</v>
      </c>
      <c r="R39" s="98">
        <f t="shared" si="0"/>
        <v>0</v>
      </c>
      <c r="S39" s="98">
        <f t="shared" si="1"/>
        <v>0</v>
      </c>
    </row>
    <row r="40" spans="1:19" x14ac:dyDescent="0.25">
      <c r="A40" s="131" t="s">
        <v>31</v>
      </c>
      <c r="B40" s="132">
        <f t="shared" ref="B40:N40" si="6">SUM(B14:B39)</f>
        <v>-57745.259999999995</v>
      </c>
      <c r="C40" s="132">
        <f t="shared" si="6"/>
        <v>-60255.180000000008</v>
      </c>
      <c r="D40" s="132">
        <f t="shared" si="6"/>
        <v>-49137.58</v>
      </c>
      <c r="E40" s="132">
        <f t="shared" si="6"/>
        <v>-47737.93</v>
      </c>
      <c r="F40" s="132">
        <f t="shared" si="6"/>
        <v>-65501.210000000006</v>
      </c>
      <c r="G40" s="132">
        <f t="shared" si="6"/>
        <v>-75595.01999999999</v>
      </c>
      <c r="H40" s="132">
        <f t="shared" si="6"/>
        <v>0</v>
      </c>
      <c r="I40" s="132">
        <f t="shared" si="6"/>
        <v>0</v>
      </c>
      <c r="J40" s="132">
        <f t="shared" si="6"/>
        <v>0</v>
      </c>
      <c r="K40" s="132">
        <f t="shared" si="6"/>
        <v>0</v>
      </c>
      <c r="L40" s="132">
        <f t="shared" si="6"/>
        <v>0</v>
      </c>
      <c r="M40" s="132">
        <f t="shared" si="6"/>
        <v>0</v>
      </c>
      <c r="N40" s="132">
        <f t="shared" si="6"/>
        <v>0</v>
      </c>
      <c r="O40" s="132">
        <f>SUM(O14:O39)</f>
        <v>-355972.18</v>
      </c>
      <c r="P40" s="21">
        <f t="shared" si="5"/>
        <v>0.35899053653210838</v>
      </c>
      <c r="R40" s="98">
        <f t="shared" si="0"/>
        <v>-355972.18000000005</v>
      </c>
      <c r="S40" s="98">
        <f t="shared" si="1"/>
        <v>0</v>
      </c>
    </row>
    <row r="41" spans="1:19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25"/>
      <c r="P41" s="159"/>
      <c r="R41" s="98">
        <f t="shared" si="0"/>
        <v>0</v>
      </c>
      <c r="S41" s="98">
        <f t="shared" si="1"/>
        <v>0</v>
      </c>
    </row>
    <row r="42" spans="1:19" x14ac:dyDescent="0.25">
      <c r="A42" s="135" t="s">
        <v>32</v>
      </c>
      <c r="B42" s="136">
        <f t="shared" ref="B42" si="7">B11+B40</f>
        <v>-57745.259999999995</v>
      </c>
      <c r="C42" s="165">
        <f t="shared" ref="C42:N42" si="8">C11+C40</f>
        <v>13510.749999999985</v>
      </c>
      <c r="D42" s="136">
        <f t="shared" si="8"/>
        <v>-49137.58</v>
      </c>
      <c r="E42" s="165">
        <f t="shared" si="8"/>
        <v>401901.48</v>
      </c>
      <c r="F42" s="165">
        <f t="shared" si="8"/>
        <v>149799.62</v>
      </c>
      <c r="G42" s="165">
        <f t="shared" si="8"/>
        <v>177290.91</v>
      </c>
      <c r="H42" s="165">
        <f t="shared" si="8"/>
        <v>0</v>
      </c>
      <c r="I42" s="165">
        <f t="shared" si="8"/>
        <v>0</v>
      </c>
      <c r="J42" s="165">
        <f t="shared" si="8"/>
        <v>0</v>
      </c>
      <c r="K42" s="165">
        <f t="shared" si="8"/>
        <v>0</v>
      </c>
      <c r="L42" s="165">
        <f t="shared" si="8"/>
        <v>0</v>
      </c>
      <c r="M42" s="165">
        <f t="shared" si="8"/>
        <v>0</v>
      </c>
      <c r="N42" s="165">
        <f t="shared" si="8"/>
        <v>0</v>
      </c>
      <c r="O42" s="166">
        <f>SUM(B42:N42)</f>
        <v>635619.91999999993</v>
      </c>
      <c r="P42" s="21">
        <f>O42/$O$11</f>
        <v>0.64100946346789167</v>
      </c>
      <c r="R42" s="98">
        <f t="shared" si="0"/>
        <v>635619.91999999993</v>
      </c>
      <c r="S42" s="98">
        <f t="shared" si="1"/>
        <v>0</v>
      </c>
    </row>
    <row r="43" spans="1:19" x14ac:dyDescent="0.25">
      <c r="A43" s="13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62"/>
      <c r="R43" s="98">
        <f t="shared" si="0"/>
        <v>0</v>
      </c>
      <c r="S43" s="98">
        <f t="shared" si="1"/>
        <v>0</v>
      </c>
    </row>
    <row r="44" spans="1:19" x14ac:dyDescent="0.25">
      <c r="A44" s="126" t="s">
        <v>56</v>
      </c>
      <c r="B44" s="139">
        <f t="shared" ref="B44:N44" si="9">-B9*13.15%</f>
        <v>0</v>
      </c>
      <c r="C44" s="139">
        <f t="shared" si="9"/>
        <v>-9700.2197949999991</v>
      </c>
      <c r="D44" s="139">
        <f t="shared" si="9"/>
        <v>0</v>
      </c>
      <c r="E44" s="139">
        <f t="shared" si="9"/>
        <v>-59127.582414999997</v>
      </c>
      <c r="F44" s="139">
        <f t="shared" si="9"/>
        <v>-28312.059144999999</v>
      </c>
      <c r="G44" s="139">
        <f t="shared" si="9"/>
        <v>-33254.499795000003</v>
      </c>
      <c r="H44" s="139">
        <f t="shared" si="9"/>
        <v>0</v>
      </c>
      <c r="I44" s="139">
        <f t="shared" si="9"/>
        <v>0</v>
      </c>
      <c r="J44" s="139">
        <f t="shared" si="9"/>
        <v>0</v>
      </c>
      <c r="K44" s="139">
        <f t="shared" si="9"/>
        <v>0</v>
      </c>
      <c r="L44" s="139">
        <f t="shared" si="9"/>
        <v>0</v>
      </c>
      <c r="M44" s="139">
        <f t="shared" si="9"/>
        <v>0</v>
      </c>
      <c r="N44" s="139">
        <f t="shared" si="9"/>
        <v>0</v>
      </c>
      <c r="O44" s="119">
        <f t="shared" ref="O44" si="10">SUM(B44:N44)</f>
        <v>-130394.36115000001</v>
      </c>
      <c r="P44" s="21">
        <f t="shared" si="5"/>
        <v>0.13150000000000003</v>
      </c>
      <c r="R44" s="98">
        <f t="shared" si="0"/>
        <v>-130394.36115000001</v>
      </c>
      <c r="S44" s="98">
        <f t="shared" si="1"/>
        <v>0</v>
      </c>
    </row>
    <row r="45" spans="1:19" x14ac:dyDescent="0.25">
      <c r="A45" s="137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62"/>
      <c r="R45" s="98">
        <f t="shared" si="0"/>
        <v>0</v>
      </c>
      <c r="S45" s="98">
        <f t="shared" si="1"/>
        <v>0</v>
      </c>
    </row>
    <row r="46" spans="1:19" x14ac:dyDescent="0.25">
      <c r="A46" s="126" t="s">
        <v>33</v>
      </c>
      <c r="B46" s="139">
        <f t="shared" ref="B46:N46" si="11">-B9*1.22%</f>
        <v>0</v>
      </c>
      <c r="C46" s="139">
        <f t="shared" si="11"/>
        <v>-899.94434599999988</v>
      </c>
      <c r="D46" s="139">
        <f t="shared" si="11"/>
        <v>0</v>
      </c>
      <c r="E46" s="139">
        <f t="shared" si="11"/>
        <v>-5485.600801999999</v>
      </c>
      <c r="F46" s="139">
        <f t="shared" si="11"/>
        <v>-2626.6701259999995</v>
      </c>
      <c r="G46" s="139">
        <f t="shared" si="11"/>
        <v>-3085.2083459999999</v>
      </c>
      <c r="H46" s="139">
        <f t="shared" si="11"/>
        <v>0</v>
      </c>
      <c r="I46" s="139">
        <f t="shared" si="11"/>
        <v>0</v>
      </c>
      <c r="J46" s="139">
        <f t="shared" si="11"/>
        <v>0</v>
      </c>
      <c r="K46" s="139">
        <f t="shared" si="11"/>
        <v>0</v>
      </c>
      <c r="L46" s="139">
        <f t="shared" si="11"/>
        <v>0</v>
      </c>
      <c r="M46" s="139">
        <f t="shared" si="11"/>
        <v>0</v>
      </c>
      <c r="N46" s="139">
        <f t="shared" si="11"/>
        <v>0</v>
      </c>
      <c r="O46" s="119">
        <f t="shared" ref="O46" si="12">SUM(B46:N46)</f>
        <v>-12097.423619999998</v>
      </c>
      <c r="P46" s="21">
        <f t="shared" si="5"/>
        <v>1.2199999999999999E-2</v>
      </c>
      <c r="R46" s="98">
        <f t="shared" si="0"/>
        <v>-12097.423619999998</v>
      </c>
      <c r="S46" s="98">
        <f t="shared" si="1"/>
        <v>0</v>
      </c>
    </row>
    <row r="47" spans="1:19" x14ac:dyDescent="0.2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62"/>
      <c r="R47" s="98">
        <f t="shared" si="0"/>
        <v>0</v>
      </c>
      <c r="S47" s="98">
        <f t="shared" si="1"/>
        <v>0</v>
      </c>
    </row>
    <row r="48" spans="1:19" x14ac:dyDescent="0.25">
      <c r="A48" s="113" t="s">
        <v>57</v>
      </c>
      <c r="B48" s="142">
        <f t="shared" ref="B48" si="13">B40*5.56%</f>
        <v>-3210.6364559999997</v>
      </c>
      <c r="C48" s="142">
        <f t="shared" ref="C48:N48" si="14">C40*5.56%</f>
        <v>-3350.1880080000001</v>
      </c>
      <c r="D48" s="142">
        <f t="shared" si="14"/>
        <v>-2732.0494479999998</v>
      </c>
      <c r="E48" s="142">
        <f t="shared" si="14"/>
        <v>-2654.228908</v>
      </c>
      <c r="F48" s="142">
        <f t="shared" si="14"/>
        <v>-3641.8672759999999</v>
      </c>
      <c r="G48" s="142">
        <f t="shared" si="14"/>
        <v>-4203.0831119999993</v>
      </c>
      <c r="H48" s="142">
        <f t="shared" si="14"/>
        <v>0</v>
      </c>
      <c r="I48" s="142">
        <f t="shared" si="14"/>
        <v>0</v>
      </c>
      <c r="J48" s="142">
        <f t="shared" si="14"/>
        <v>0</v>
      </c>
      <c r="K48" s="142">
        <f t="shared" si="14"/>
        <v>0</v>
      </c>
      <c r="L48" s="142">
        <f t="shared" si="14"/>
        <v>0</v>
      </c>
      <c r="M48" s="142">
        <f t="shared" si="14"/>
        <v>0</v>
      </c>
      <c r="N48" s="142">
        <f t="shared" si="14"/>
        <v>0</v>
      </c>
      <c r="O48" s="119">
        <f t="shared" ref="O48" si="15">SUM(B48:N48)</f>
        <v>-19792.053208000001</v>
      </c>
      <c r="P48" s="21">
        <f t="shared" si="5"/>
        <v>1.9959873831185228E-2</v>
      </c>
      <c r="R48" s="98">
        <f t="shared" si="0"/>
        <v>-19792.053208000001</v>
      </c>
      <c r="S48" s="98">
        <f t="shared" si="1"/>
        <v>0</v>
      </c>
    </row>
    <row r="49" spans="1:19" x14ac:dyDescent="0.2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62"/>
      <c r="R49" s="98">
        <f t="shared" si="0"/>
        <v>0</v>
      </c>
      <c r="S49" s="98">
        <f t="shared" si="1"/>
        <v>0</v>
      </c>
    </row>
    <row r="50" spans="1:19" x14ac:dyDescent="0.25">
      <c r="A50" s="113" t="s">
        <v>58</v>
      </c>
      <c r="B50" s="142">
        <f t="shared" ref="B50" si="16">B40*0.01%</f>
        <v>-5.7745259999999998</v>
      </c>
      <c r="C50" s="142">
        <f t="shared" ref="C50:N50" si="17">C40*0.01%</f>
        <v>-6.0255180000000008</v>
      </c>
      <c r="D50" s="142">
        <f t="shared" si="17"/>
        <v>-4.9137580000000005</v>
      </c>
      <c r="E50" s="142">
        <f t="shared" si="17"/>
        <v>-4.7737930000000004</v>
      </c>
      <c r="F50" s="142">
        <f t="shared" si="17"/>
        <v>-6.5501210000000007</v>
      </c>
      <c r="G50" s="142">
        <f t="shared" si="17"/>
        <v>-7.5595019999999993</v>
      </c>
      <c r="H50" s="142">
        <f t="shared" si="17"/>
        <v>0</v>
      </c>
      <c r="I50" s="142">
        <f t="shared" si="17"/>
        <v>0</v>
      </c>
      <c r="J50" s="142">
        <f t="shared" si="17"/>
        <v>0</v>
      </c>
      <c r="K50" s="142">
        <f t="shared" si="17"/>
        <v>0</v>
      </c>
      <c r="L50" s="142">
        <f t="shared" si="17"/>
        <v>0</v>
      </c>
      <c r="M50" s="142">
        <f t="shared" si="17"/>
        <v>0</v>
      </c>
      <c r="N50" s="142">
        <f t="shared" si="17"/>
        <v>0</v>
      </c>
      <c r="O50" s="119">
        <f t="shared" ref="O50" si="18">SUM(B50:N50)</f>
        <v>-35.597218000000005</v>
      </c>
      <c r="P50" s="21">
        <f t="shared" si="5"/>
        <v>3.5899053653210845E-5</v>
      </c>
      <c r="R50" s="98">
        <f t="shared" si="0"/>
        <v>-35.597218000000005</v>
      </c>
      <c r="S50" s="98">
        <f t="shared" si="1"/>
        <v>0</v>
      </c>
    </row>
    <row r="51" spans="1:19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62"/>
      <c r="R51" s="98">
        <f t="shared" si="0"/>
        <v>0</v>
      </c>
      <c r="S51" s="98">
        <f t="shared" si="1"/>
        <v>0</v>
      </c>
    </row>
    <row r="52" spans="1:19" x14ac:dyDescent="0.25">
      <c r="A52" s="135" t="s">
        <v>298</v>
      </c>
      <c r="B52" s="136">
        <f t="shared" ref="B52" si="19">B42+B48+B50+B44+B46</f>
        <v>-60961.670981999996</v>
      </c>
      <c r="C52" s="136">
        <f t="shared" ref="C52:N52" si="20">C42+C48+C50+C44+C46</f>
        <v>-445.62766700001487</v>
      </c>
      <c r="D52" s="136">
        <f t="shared" si="20"/>
        <v>-51874.543206000002</v>
      </c>
      <c r="E52" s="165">
        <f t="shared" si="20"/>
        <v>334629.29408200004</v>
      </c>
      <c r="F52" s="165">
        <f t="shared" si="20"/>
        <v>115212.47333199998</v>
      </c>
      <c r="G52" s="165">
        <f t="shared" si="20"/>
        <v>136740.55924500001</v>
      </c>
      <c r="H52" s="165">
        <f t="shared" si="20"/>
        <v>0</v>
      </c>
      <c r="I52" s="165">
        <f t="shared" si="20"/>
        <v>0</v>
      </c>
      <c r="J52" s="165">
        <f t="shared" si="20"/>
        <v>0</v>
      </c>
      <c r="K52" s="165">
        <f t="shared" si="20"/>
        <v>0</v>
      </c>
      <c r="L52" s="165">
        <f t="shared" si="20"/>
        <v>0</v>
      </c>
      <c r="M52" s="165">
        <f t="shared" si="20"/>
        <v>0</v>
      </c>
      <c r="N52" s="165">
        <f t="shared" si="20"/>
        <v>0</v>
      </c>
      <c r="O52" s="166">
        <f>SUM(B52:N52)</f>
        <v>473300.48480400001</v>
      </c>
      <c r="P52" s="21">
        <f>O52/$O$11</f>
        <v>0.47731369058305334</v>
      </c>
      <c r="R52" s="98">
        <f t="shared" si="0"/>
        <v>473300.48480400001</v>
      </c>
      <c r="S52" s="98">
        <f t="shared" si="1"/>
        <v>0</v>
      </c>
    </row>
    <row r="53" spans="1:19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63"/>
    </row>
    <row r="54" spans="1:19" x14ac:dyDescent="0.25">
      <c r="A54" s="144" t="s">
        <v>35</v>
      </c>
      <c r="B54" s="13"/>
      <c r="C54" s="13">
        <v>13</v>
      </c>
      <c r="D54" s="13">
        <v>8</v>
      </c>
      <c r="E54" s="13">
        <v>8</v>
      </c>
      <c r="F54" s="13">
        <v>9</v>
      </c>
      <c r="G54" s="13">
        <v>10</v>
      </c>
      <c r="H54" s="13"/>
      <c r="I54" s="13"/>
      <c r="J54" s="13"/>
      <c r="K54" s="13"/>
      <c r="L54" s="13"/>
      <c r="M54" s="13"/>
      <c r="N54" s="13"/>
      <c r="O54" s="145"/>
      <c r="P54" s="163"/>
    </row>
    <row r="55" spans="1:19" x14ac:dyDescent="0.25">
      <c r="A55" s="80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53"/>
    </row>
    <row r="56" spans="1:19" x14ac:dyDescent="0.25">
      <c r="A56" s="146" t="s">
        <v>36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64">
        <v>46203</v>
      </c>
    </row>
    <row r="57" spans="1:19" x14ac:dyDescent="0.25">
      <c r="B57" s="98">
        <f t="shared" ref="B57:O57" si="21">B11+B40+B44+B46+B48+B50</f>
        <v>-60961.670981999996</v>
      </c>
      <c r="C57" s="98">
        <f t="shared" si="21"/>
        <v>-445.62766700001345</v>
      </c>
      <c r="D57" s="98">
        <f t="shared" si="21"/>
        <v>-51874.543206000002</v>
      </c>
      <c r="E57" s="98">
        <f t="shared" si="21"/>
        <v>334629.29408200004</v>
      </c>
      <c r="F57" s="98">
        <f t="shared" si="21"/>
        <v>115212.47333199999</v>
      </c>
      <c r="G57" s="98">
        <f t="shared" si="21"/>
        <v>136740.55924500001</v>
      </c>
      <c r="H57" s="98">
        <f t="shared" si="21"/>
        <v>0</v>
      </c>
      <c r="I57" s="98">
        <f t="shared" si="21"/>
        <v>0</v>
      </c>
      <c r="J57" s="98">
        <f t="shared" si="21"/>
        <v>0</v>
      </c>
      <c r="K57" s="98">
        <f t="shared" si="21"/>
        <v>0</v>
      </c>
      <c r="L57" s="98">
        <f t="shared" si="21"/>
        <v>0</v>
      </c>
      <c r="M57" s="98">
        <f t="shared" si="21"/>
        <v>0</v>
      </c>
      <c r="N57" s="98">
        <f t="shared" si="21"/>
        <v>0</v>
      </c>
      <c r="O57" s="98">
        <f t="shared" si="21"/>
        <v>473300.48480399989</v>
      </c>
      <c r="P57" s="153"/>
    </row>
    <row r="58" spans="1:19" x14ac:dyDescent="0.25">
      <c r="P58" s="153"/>
    </row>
    <row r="59" spans="1:19" x14ac:dyDescent="0.25">
      <c r="B59" s="98">
        <f t="shared" ref="B59:O59" si="22">B57-B52</f>
        <v>0</v>
      </c>
      <c r="C59" s="98">
        <f t="shared" si="22"/>
        <v>1.4210854715202004E-12</v>
      </c>
      <c r="D59" s="98">
        <f t="shared" si="22"/>
        <v>0</v>
      </c>
      <c r="E59" s="98">
        <f t="shared" si="22"/>
        <v>0</v>
      </c>
      <c r="F59" s="98">
        <f t="shared" si="22"/>
        <v>0</v>
      </c>
      <c r="G59" s="98">
        <f t="shared" si="22"/>
        <v>0</v>
      </c>
      <c r="H59" s="98">
        <f t="shared" si="22"/>
        <v>0</v>
      </c>
      <c r="I59" s="98">
        <f t="shared" si="22"/>
        <v>0</v>
      </c>
      <c r="J59" s="98">
        <f t="shared" si="22"/>
        <v>0</v>
      </c>
      <c r="K59" s="98">
        <f t="shared" si="22"/>
        <v>0</v>
      </c>
      <c r="L59" s="98">
        <f t="shared" si="22"/>
        <v>0</v>
      </c>
      <c r="M59" s="98">
        <f t="shared" si="22"/>
        <v>0</v>
      </c>
      <c r="N59" s="98">
        <f t="shared" si="22"/>
        <v>0</v>
      </c>
      <c r="O59" s="98">
        <f t="shared" si="22"/>
        <v>0</v>
      </c>
      <c r="P59" s="153"/>
    </row>
    <row r="60" spans="1:19" x14ac:dyDescent="0.25">
      <c r="P60" s="153"/>
    </row>
  </sheetData>
  <mergeCells count="3">
    <mergeCell ref="A1:P1"/>
    <mergeCell ref="A3:P3"/>
    <mergeCell ref="A5:P5"/>
  </mergeCells>
  <printOptions horizontalCentered="1" verticalCentered="1"/>
  <pageMargins left="0.51181102362204722" right="0.51181102362204722" top="0.31496062992125984" bottom="0" header="0.19685039370078741" footer="0"/>
  <pageSetup paperSize="9" scale="71" orientation="landscape" r:id="rId1"/>
  <headerFooter>
    <oddHeader>&amp;L&amp;"-,Negrito"&amp;14                                                                                                                                            
&amp;C&amp;"-,Negrito"&amp;16BELA NOVA CONSTRUTORA LTDA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9"/>
  </sheetPr>
  <dimension ref="A1:P60"/>
  <sheetViews>
    <sheetView topLeftCell="A17" zoomScale="85" zoomScaleNormal="85" workbookViewId="0">
      <pane xSplit="1" topLeftCell="D1" activePane="topRight" state="frozen"/>
      <selection activeCell="E21" sqref="E21"/>
      <selection pane="topRight" activeCell="D38" sqref="D38"/>
    </sheetView>
  </sheetViews>
  <sheetFormatPr defaultRowHeight="15" x14ac:dyDescent="0.25"/>
  <cols>
    <col min="1" max="1" width="61.5703125" bestFit="1" customWidth="1"/>
    <col min="2" max="4" width="16.85546875" customWidth="1"/>
    <col min="5" max="9" width="16.85546875" hidden="1" customWidth="1"/>
    <col min="10" max="10" width="16.7109375" hidden="1" customWidth="1"/>
    <col min="11" max="11" width="16.140625" bestFit="1" customWidth="1"/>
    <col min="12" max="12" width="11" bestFit="1" customWidth="1"/>
    <col min="14" max="14" width="17" bestFit="1" customWidth="1"/>
    <col min="16" max="16" width="16" bestFit="1" customWidth="1"/>
  </cols>
  <sheetData>
    <row r="1" spans="1:16" ht="15.75" x14ac:dyDescent="0.25">
      <c r="A1" s="203" t="s">
        <v>186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</row>
    <row r="2" spans="1:16" ht="11.25" customHeight="1" x14ac:dyDescent="0.25">
      <c r="A2" s="108"/>
    </row>
    <row r="3" spans="1:16" ht="15.75" x14ac:dyDescent="0.25">
      <c r="A3" s="203" t="s">
        <v>342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</row>
    <row r="4" spans="1:16" ht="10.5" customHeight="1" x14ac:dyDescent="0.25">
      <c r="A4" s="108"/>
    </row>
    <row r="5" spans="1:16" ht="16.5" customHeight="1" x14ac:dyDescent="0.25">
      <c r="A5" s="209" t="s">
        <v>292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N5" s="177"/>
      <c r="O5" s="86"/>
      <c r="P5" s="86"/>
    </row>
    <row r="6" spans="1:16" x14ac:dyDescent="0.25">
      <c r="A6" s="110"/>
      <c r="N6" s="177"/>
      <c r="O6" s="86"/>
      <c r="P6" s="86"/>
    </row>
    <row r="7" spans="1:16" x14ac:dyDescent="0.25">
      <c r="A7" s="111"/>
      <c r="B7" s="60" t="s">
        <v>307</v>
      </c>
      <c r="C7" s="60" t="s">
        <v>308</v>
      </c>
      <c r="D7" s="60" t="s">
        <v>309</v>
      </c>
      <c r="E7" s="60" t="s">
        <v>310</v>
      </c>
      <c r="F7" s="60" t="s">
        <v>311</v>
      </c>
      <c r="G7" s="60" t="s">
        <v>312</v>
      </c>
      <c r="H7" s="60" t="s">
        <v>313</v>
      </c>
      <c r="I7" s="60" t="s">
        <v>314</v>
      </c>
      <c r="J7" s="60" t="s">
        <v>225</v>
      </c>
      <c r="K7" s="113" t="s">
        <v>1</v>
      </c>
      <c r="L7" s="158" t="s">
        <v>2</v>
      </c>
    </row>
    <row r="8" spans="1:16" x14ac:dyDescent="0.25">
      <c r="A8" s="114" t="s">
        <v>3</v>
      </c>
      <c r="B8" s="115"/>
      <c r="C8" s="115"/>
      <c r="D8" s="115"/>
      <c r="E8" s="115"/>
      <c r="F8" s="115"/>
      <c r="G8" s="115"/>
      <c r="H8" s="115"/>
      <c r="I8" s="115"/>
      <c r="J8" s="115"/>
      <c r="K8" s="116"/>
      <c r="L8" s="159"/>
    </row>
    <row r="9" spans="1:16" x14ac:dyDescent="0.25">
      <c r="A9" s="117" t="s">
        <v>4</v>
      </c>
      <c r="B9" s="118">
        <v>0</v>
      </c>
      <c r="C9" s="118">
        <v>0</v>
      </c>
      <c r="D9" s="118">
        <v>96675.69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9">
        <f>SUM(B9:J9)</f>
        <v>96675.69</v>
      </c>
      <c r="L9" s="21">
        <v>1</v>
      </c>
      <c r="N9" s="98">
        <f t="shared" ref="N9:N52" si="0">SUM(A9:J9)</f>
        <v>96675.69</v>
      </c>
      <c r="O9" s="98">
        <f>N9-K9</f>
        <v>0</v>
      </c>
    </row>
    <row r="10" spans="1:16" x14ac:dyDescent="0.25">
      <c r="A10" s="114" t="s">
        <v>5</v>
      </c>
      <c r="B10" s="118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9">
        <f>SUM(B10:J10)</f>
        <v>0</v>
      </c>
      <c r="L10" s="21"/>
      <c r="N10" s="98">
        <f t="shared" si="0"/>
        <v>0</v>
      </c>
      <c r="O10" s="98">
        <f t="shared" ref="O10:O52" si="1">N10-K10</f>
        <v>0</v>
      </c>
    </row>
    <row r="11" spans="1:16" x14ac:dyDescent="0.25">
      <c r="A11" s="121" t="s">
        <v>6</v>
      </c>
      <c r="B11" s="122">
        <f t="shared" ref="B11:J11" si="2">SUM(B9:B10)</f>
        <v>0</v>
      </c>
      <c r="C11" s="122">
        <f t="shared" si="2"/>
        <v>0</v>
      </c>
      <c r="D11" s="122">
        <f t="shared" si="2"/>
        <v>96675.69</v>
      </c>
      <c r="E11" s="122">
        <f t="shared" si="2"/>
        <v>0</v>
      </c>
      <c r="F11" s="122">
        <f t="shared" si="2"/>
        <v>0</v>
      </c>
      <c r="G11" s="122">
        <f t="shared" si="2"/>
        <v>0</v>
      </c>
      <c r="H11" s="122">
        <f t="shared" si="2"/>
        <v>0</v>
      </c>
      <c r="I11" s="122">
        <f t="shared" si="2"/>
        <v>0</v>
      </c>
      <c r="J11" s="122">
        <f t="shared" si="2"/>
        <v>0</v>
      </c>
      <c r="K11" s="122">
        <f>SUM(K9:K10)</f>
        <v>96675.69</v>
      </c>
      <c r="L11" s="21">
        <v>1</v>
      </c>
      <c r="N11" s="98">
        <f t="shared" si="0"/>
        <v>96675.69</v>
      </c>
      <c r="O11" s="98">
        <f t="shared" si="1"/>
        <v>0</v>
      </c>
    </row>
    <row r="12" spans="1:16" x14ac:dyDescent="0.25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5"/>
      <c r="L12" s="160"/>
      <c r="N12" s="98">
        <f t="shared" si="0"/>
        <v>0</v>
      </c>
      <c r="O12" s="98">
        <f t="shared" si="1"/>
        <v>0</v>
      </c>
    </row>
    <row r="13" spans="1:16" x14ac:dyDescent="0.25">
      <c r="A13" s="126" t="s">
        <v>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  <c r="L13" s="161"/>
      <c r="N13" s="98">
        <f t="shared" si="0"/>
        <v>0</v>
      </c>
      <c r="O13" s="98">
        <f t="shared" si="1"/>
        <v>0</v>
      </c>
    </row>
    <row r="14" spans="1:16" x14ac:dyDescent="0.25">
      <c r="A14" s="114" t="s">
        <v>8</v>
      </c>
      <c r="B14" s="128">
        <v>170.24</v>
      </c>
      <c r="C14" s="128">
        <v>-5731.84</v>
      </c>
      <c r="D14" s="128">
        <v>-2390.77</v>
      </c>
      <c r="E14" s="128">
        <v>0</v>
      </c>
      <c r="F14" s="128">
        <v>0</v>
      </c>
      <c r="G14" s="128">
        <v>0</v>
      </c>
      <c r="H14" s="128">
        <v>0</v>
      </c>
      <c r="I14" s="128">
        <v>0</v>
      </c>
      <c r="J14" s="128">
        <v>0</v>
      </c>
      <c r="K14" s="119">
        <f t="shared" ref="K14:K39" si="3">SUM(B14:J14)</f>
        <v>-7952.3700000000008</v>
      </c>
      <c r="L14" s="21">
        <v>0</v>
      </c>
      <c r="N14" s="98">
        <f t="shared" si="0"/>
        <v>-7952.3700000000008</v>
      </c>
      <c r="O14" s="98">
        <f t="shared" si="1"/>
        <v>0</v>
      </c>
    </row>
    <row r="15" spans="1:16" x14ac:dyDescent="0.25">
      <c r="A15" s="129" t="s">
        <v>9</v>
      </c>
      <c r="B15" s="128">
        <v>0</v>
      </c>
      <c r="C15" s="128">
        <v>0</v>
      </c>
      <c r="D15" s="128">
        <v>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19">
        <f t="shared" si="3"/>
        <v>0</v>
      </c>
      <c r="L15" s="21">
        <v>0</v>
      </c>
      <c r="N15" s="98">
        <f t="shared" si="0"/>
        <v>0</v>
      </c>
      <c r="O15" s="98">
        <f t="shared" si="1"/>
        <v>0</v>
      </c>
    </row>
    <row r="16" spans="1:16" x14ac:dyDescent="0.25">
      <c r="A16" s="114" t="s">
        <v>10</v>
      </c>
      <c r="B16" s="128">
        <v>0</v>
      </c>
      <c r="C16" s="128">
        <v>0</v>
      </c>
      <c r="D16" s="128">
        <v>-144</v>
      </c>
      <c r="E16" s="128">
        <v>0</v>
      </c>
      <c r="F16" s="128">
        <v>0</v>
      </c>
      <c r="G16" s="128">
        <v>0</v>
      </c>
      <c r="H16" s="128">
        <v>0</v>
      </c>
      <c r="I16" s="128">
        <v>0</v>
      </c>
      <c r="J16" s="128">
        <v>0</v>
      </c>
      <c r="K16" s="119">
        <f t="shared" si="3"/>
        <v>-144</v>
      </c>
      <c r="L16" s="21">
        <v>0</v>
      </c>
      <c r="N16" s="98">
        <f t="shared" si="0"/>
        <v>-144</v>
      </c>
      <c r="O16" s="98">
        <f t="shared" si="1"/>
        <v>0</v>
      </c>
    </row>
    <row r="17" spans="1:15" x14ac:dyDescent="0.25">
      <c r="A17" s="129" t="s">
        <v>11</v>
      </c>
      <c r="B17" s="128">
        <v>0</v>
      </c>
      <c r="C17" s="128">
        <v>0</v>
      </c>
      <c r="D17" s="128">
        <v>0</v>
      </c>
      <c r="E17" s="128">
        <v>0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19">
        <f t="shared" si="3"/>
        <v>0</v>
      </c>
      <c r="L17" s="21">
        <v>0</v>
      </c>
      <c r="N17" s="98">
        <f t="shared" si="0"/>
        <v>0</v>
      </c>
      <c r="O17" s="98">
        <f t="shared" si="1"/>
        <v>0</v>
      </c>
    </row>
    <row r="18" spans="1:15" x14ac:dyDescent="0.25">
      <c r="A18" s="114" t="s">
        <v>12</v>
      </c>
      <c r="B18" s="128">
        <v>-2177.54</v>
      </c>
      <c r="C18" s="128">
        <v>-1755.98</v>
      </c>
      <c r="D18" s="128">
        <v>-4415.8999999999996</v>
      </c>
      <c r="E18" s="128">
        <v>0</v>
      </c>
      <c r="F18" s="128">
        <v>0</v>
      </c>
      <c r="G18" s="128">
        <v>0</v>
      </c>
      <c r="H18" s="128">
        <v>0</v>
      </c>
      <c r="I18" s="128">
        <v>0</v>
      </c>
      <c r="J18" s="128">
        <v>0</v>
      </c>
      <c r="K18" s="119">
        <f t="shared" si="3"/>
        <v>-8349.42</v>
      </c>
      <c r="L18" s="21">
        <v>0</v>
      </c>
      <c r="N18" s="98">
        <f t="shared" si="0"/>
        <v>-8349.42</v>
      </c>
      <c r="O18" s="98">
        <f t="shared" si="1"/>
        <v>0</v>
      </c>
    </row>
    <row r="19" spans="1:15" x14ac:dyDescent="0.25">
      <c r="A19" s="114" t="s">
        <v>13</v>
      </c>
      <c r="B19" s="128">
        <v>-716.82</v>
      </c>
      <c r="C19" s="128">
        <v>-1881.31</v>
      </c>
      <c r="D19" s="128">
        <v>-3104.84</v>
      </c>
      <c r="E19" s="128">
        <v>0</v>
      </c>
      <c r="F19" s="128">
        <v>0</v>
      </c>
      <c r="G19" s="128">
        <v>0</v>
      </c>
      <c r="H19" s="128">
        <v>0</v>
      </c>
      <c r="I19" s="128">
        <v>0</v>
      </c>
      <c r="J19" s="128">
        <v>0</v>
      </c>
      <c r="K19" s="119">
        <f t="shared" si="3"/>
        <v>-5702.97</v>
      </c>
      <c r="L19" s="21">
        <v>0</v>
      </c>
      <c r="N19" s="98">
        <f t="shared" si="0"/>
        <v>-5702.97</v>
      </c>
      <c r="O19" s="98">
        <f t="shared" si="1"/>
        <v>0</v>
      </c>
    </row>
    <row r="20" spans="1:15" x14ac:dyDescent="0.25">
      <c r="A20" s="114" t="s">
        <v>14</v>
      </c>
      <c r="B20" s="128">
        <v>0</v>
      </c>
      <c r="C20" s="128">
        <v>-2052.91</v>
      </c>
      <c r="D20" s="128">
        <v>-4957.63</v>
      </c>
      <c r="E20" s="128">
        <v>0</v>
      </c>
      <c r="F20" s="128">
        <v>0</v>
      </c>
      <c r="G20" s="128">
        <v>0</v>
      </c>
      <c r="H20" s="128">
        <v>0</v>
      </c>
      <c r="I20" s="128">
        <v>0</v>
      </c>
      <c r="J20" s="128">
        <v>0</v>
      </c>
      <c r="K20" s="119">
        <f t="shared" si="3"/>
        <v>-7010.54</v>
      </c>
      <c r="L20" s="21">
        <v>0</v>
      </c>
      <c r="N20" s="98">
        <f t="shared" si="0"/>
        <v>-7010.54</v>
      </c>
      <c r="O20" s="98">
        <f t="shared" si="1"/>
        <v>0</v>
      </c>
    </row>
    <row r="21" spans="1:15" x14ac:dyDescent="0.25">
      <c r="A21" s="114" t="s">
        <v>15</v>
      </c>
      <c r="B21" s="128">
        <v>0</v>
      </c>
      <c r="C21" s="128">
        <v>-805.98</v>
      </c>
      <c r="D21" s="128">
        <v>-460.55</v>
      </c>
      <c r="E21" s="128">
        <v>0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19">
        <f t="shared" si="3"/>
        <v>-1266.53</v>
      </c>
      <c r="L21" s="21">
        <v>0</v>
      </c>
      <c r="N21" s="98">
        <f t="shared" si="0"/>
        <v>-1266.53</v>
      </c>
      <c r="O21" s="98">
        <f t="shared" si="1"/>
        <v>0</v>
      </c>
    </row>
    <row r="22" spans="1:15" x14ac:dyDescent="0.25">
      <c r="A22" s="114" t="s">
        <v>16</v>
      </c>
      <c r="B22" s="128">
        <v>0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19">
        <f t="shared" si="3"/>
        <v>0</v>
      </c>
      <c r="L22" s="21">
        <v>0</v>
      </c>
      <c r="N22" s="98">
        <f t="shared" si="0"/>
        <v>0</v>
      </c>
      <c r="O22" s="98">
        <f t="shared" si="1"/>
        <v>0</v>
      </c>
    </row>
    <row r="23" spans="1:15" x14ac:dyDescent="0.25">
      <c r="A23" s="114" t="s">
        <v>17</v>
      </c>
      <c r="B23" s="128">
        <v>-2566.85</v>
      </c>
      <c r="C23" s="128">
        <v>-4491.3900000000003</v>
      </c>
      <c r="D23" s="128">
        <v>-7475.12</v>
      </c>
      <c r="E23" s="128">
        <v>0</v>
      </c>
      <c r="F23" s="128">
        <v>0</v>
      </c>
      <c r="G23" s="128">
        <v>0</v>
      </c>
      <c r="H23" s="128">
        <v>0</v>
      </c>
      <c r="I23" s="128">
        <v>0</v>
      </c>
      <c r="J23" s="128">
        <v>0</v>
      </c>
      <c r="K23" s="119">
        <f t="shared" si="3"/>
        <v>-14533.36</v>
      </c>
      <c r="L23" s="21">
        <v>0</v>
      </c>
      <c r="N23" s="98">
        <f t="shared" si="0"/>
        <v>-14533.36</v>
      </c>
      <c r="O23" s="98">
        <f t="shared" si="1"/>
        <v>0</v>
      </c>
    </row>
    <row r="24" spans="1:15" x14ac:dyDescent="0.25">
      <c r="A24" s="114" t="s">
        <v>18</v>
      </c>
      <c r="B24" s="128">
        <v>0</v>
      </c>
      <c r="C24" s="128">
        <v>0</v>
      </c>
      <c r="D24" s="128">
        <v>0</v>
      </c>
      <c r="E24" s="128">
        <v>0</v>
      </c>
      <c r="F24" s="128">
        <v>0</v>
      </c>
      <c r="G24" s="128">
        <v>0</v>
      </c>
      <c r="H24" s="128">
        <v>0</v>
      </c>
      <c r="I24" s="128">
        <v>0</v>
      </c>
      <c r="J24" s="128">
        <v>0</v>
      </c>
      <c r="K24" s="119">
        <f t="shared" si="3"/>
        <v>0</v>
      </c>
      <c r="L24" s="21">
        <v>0</v>
      </c>
      <c r="N24" s="98">
        <f t="shared" si="0"/>
        <v>0</v>
      </c>
      <c r="O24" s="98">
        <f t="shared" si="1"/>
        <v>0</v>
      </c>
    </row>
    <row r="25" spans="1:15" x14ac:dyDescent="0.25">
      <c r="A25" s="114" t="s">
        <v>19</v>
      </c>
      <c r="B25" s="128">
        <v>-870</v>
      </c>
      <c r="C25" s="128">
        <v>-1180</v>
      </c>
      <c r="D25" s="128">
        <v>-1003.56</v>
      </c>
      <c r="E25" s="128">
        <v>0</v>
      </c>
      <c r="F25" s="128">
        <v>0</v>
      </c>
      <c r="G25" s="128">
        <v>0</v>
      </c>
      <c r="H25" s="128">
        <v>0</v>
      </c>
      <c r="I25" s="128">
        <v>0</v>
      </c>
      <c r="J25" s="128">
        <v>0</v>
      </c>
      <c r="K25" s="119">
        <f t="shared" si="3"/>
        <v>-3053.56</v>
      </c>
      <c r="L25" s="21">
        <v>0</v>
      </c>
      <c r="N25" s="98">
        <f t="shared" si="0"/>
        <v>-3053.56</v>
      </c>
      <c r="O25" s="98">
        <f t="shared" si="1"/>
        <v>0</v>
      </c>
    </row>
    <row r="26" spans="1:15" x14ac:dyDescent="0.25">
      <c r="A26" s="114" t="s">
        <v>20</v>
      </c>
      <c r="B26" s="128">
        <v>0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19">
        <f t="shared" si="3"/>
        <v>0</v>
      </c>
      <c r="L26" s="21">
        <v>0</v>
      </c>
      <c r="N26" s="98">
        <f t="shared" si="0"/>
        <v>0</v>
      </c>
      <c r="O26" s="98">
        <f t="shared" si="1"/>
        <v>0</v>
      </c>
    </row>
    <row r="27" spans="1:15" x14ac:dyDescent="0.25">
      <c r="A27" s="114" t="s">
        <v>59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19">
        <f t="shared" si="3"/>
        <v>0</v>
      </c>
      <c r="L27" s="21">
        <v>0</v>
      </c>
      <c r="N27" s="98">
        <f t="shared" si="0"/>
        <v>0</v>
      </c>
      <c r="O27" s="98">
        <f t="shared" si="1"/>
        <v>0</v>
      </c>
    </row>
    <row r="28" spans="1:15" x14ac:dyDescent="0.25">
      <c r="A28" s="114" t="s">
        <v>21</v>
      </c>
      <c r="B28" s="128">
        <v>0</v>
      </c>
      <c r="C28" s="128">
        <v>-810</v>
      </c>
      <c r="D28" s="128">
        <v>-135</v>
      </c>
      <c r="E28" s="128">
        <v>0</v>
      </c>
      <c r="F28" s="128">
        <v>0</v>
      </c>
      <c r="G28" s="128">
        <v>0</v>
      </c>
      <c r="H28" s="128">
        <v>0</v>
      </c>
      <c r="I28" s="128">
        <v>0</v>
      </c>
      <c r="J28" s="128">
        <v>0</v>
      </c>
      <c r="K28" s="119">
        <f t="shared" si="3"/>
        <v>-945</v>
      </c>
      <c r="L28" s="21">
        <v>0</v>
      </c>
      <c r="N28" s="98">
        <f t="shared" si="0"/>
        <v>-945</v>
      </c>
      <c r="O28" s="98">
        <f t="shared" si="1"/>
        <v>0</v>
      </c>
    </row>
    <row r="29" spans="1:15" x14ac:dyDescent="0.25">
      <c r="A29" s="114" t="s">
        <v>22</v>
      </c>
      <c r="B29" s="128">
        <v>0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19">
        <f t="shared" si="3"/>
        <v>0</v>
      </c>
      <c r="L29" s="21">
        <v>0</v>
      </c>
      <c r="N29" s="98">
        <f t="shared" si="0"/>
        <v>0</v>
      </c>
      <c r="O29" s="98">
        <f t="shared" si="1"/>
        <v>0</v>
      </c>
    </row>
    <row r="30" spans="1:15" x14ac:dyDescent="0.25">
      <c r="A30" s="129" t="s">
        <v>23</v>
      </c>
      <c r="B30" s="128">
        <v>0</v>
      </c>
      <c r="C30" s="128">
        <v>-968.41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8">
        <v>0</v>
      </c>
      <c r="K30" s="119">
        <f t="shared" si="3"/>
        <v>-968.41</v>
      </c>
      <c r="L30" s="21">
        <v>0</v>
      </c>
      <c r="N30" s="98">
        <f t="shared" si="0"/>
        <v>-968.41</v>
      </c>
      <c r="O30" s="98">
        <f t="shared" si="1"/>
        <v>0</v>
      </c>
    </row>
    <row r="31" spans="1:15" x14ac:dyDescent="0.25">
      <c r="A31" s="114" t="s">
        <v>24</v>
      </c>
      <c r="B31" s="128">
        <v>0</v>
      </c>
      <c r="C31" s="128">
        <v>-16157</v>
      </c>
      <c r="D31" s="128">
        <v>-37140</v>
      </c>
      <c r="E31" s="128">
        <v>0</v>
      </c>
      <c r="F31" s="128">
        <v>0</v>
      </c>
      <c r="G31" s="128">
        <v>0</v>
      </c>
      <c r="H31" s="128">
        <v>0</v>
      </c>
      <c r="I31" s="128">
        <v>0</v>
      </c>
      <c r="J31" s="128">
        <v>0</v>
      </c>
      <c r="K31" s="119">
        <f t="shared" si="3"/>
        <v>-53297</v>
      </c>
      <c r="L31" s="21">
        <v>0</v>
      </c>
      <c r="N31" s="98">
        <f t="shared" si="0"/>
        <v>-53297</v>
      </c>
      <c r="O31" s="98">
        <f t="shared" si="1"/>
        <v>0</v>
      </c>
    </row>
    <row r="32" spans="1:15" x14ac:dyDescent="0.25">
      <c r="A32" s="130" t="s">
        <v>25</v>
      </c>
      <c r="B32" s="128">
        <v>-8965.49</v>
      </c>
      <c r="C32" s="128">
        <v>-18381.8</v>
      </c>
      <c r="D32" s="128">
        <v>-34172.720000000001</v>
      </c>
      <c r="E32" s="128">
        <v>0</v>
      </c>
      <c r="F32" s="128">
        <v>0</v>
      </c>
      <c r="G32" s="128">
        <v>0</v>
      </c>
      <c r="H32" s="128">
        <v>0</v>
      </c>
      <c r="I32" s="128">
        <v>0</v>
      </c>
      <c r="J32" s="128">
        <v>0</v>
      </c>
      <c r="K32" s="119">
        <f t="shared" si="3"/>
        <v>-61520.01</v>
      </c>
      <c r="L32" s="21">
        <v>0</v>
      </c>
      <c r="N32" s="98">
        <f t="shared" si="0"/>
        <v>-61520.01</v>
      </c>
      <c r="O32" s="98">
        <f t="shared" si="1"/>
        <v>0</v>
      </c>
    </row>
    <row r="33" spans="1:15" x14ac:dyDescent="0.25">
      <c r="A33" s="114" t="s">
        <v>26</v>
      </c>
      <c r="B33" s="128">
        <v>0</v>
      </c>
      <c r="C33" s="128">
        <v>0</v>
      </c>
      <c r="D33" s="128">
        <v>-500</v>
      </c>
      <c r="E33" s="128">
        <v>0</v>
      </c>
      <c r="F33" s="128">
        <v>0</v>
      </c>
      <c r="G33" s="128">
        <v>0</v>
      </c>
      <c r="H33" s="128">
        <v>0</v>
      </c>
      <c r="I33" s="128">
        <v>0</v>
      </c>
      <c r="J33" s="128">
        <v>0</v>
      </c>
      <c r="K33" s="119">
        <f t="shared" si="3"/>
        <v>-500</v>
      </c>
      <c r="L33" s="21">
        <v>0</v>
      </c>
      <c r="N33" s="98">
        <f t="shared" si="0"/>
        <v>-500</v>
      </c>
      <c r="O33" s="98">
        <f t="shared" si="1"/>
        <v>0</v>
      </c>
    </row>
    <row r="34" spans="1:15" x14ac:dyDescent="0.25">
      <c r="A34" s="114" t="s">
        <v>27</v>
      </c>
      <c r="B34" s="128">
        <v>0</v>
      </c>
      <c r="C34" s="128">
        <v>0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19">
        <f t="shared" si="3"/>
        <v>0</v>
      </c>
      <c r="L34" s="21">
        <v>0</v>
      </c>
      <c r="N34" s="98">
        <f t="shared" si="0"/>
        <v>0</v>
      </c>
      <c r="O34" s="98">
        <f t="shared" si="1"/>
        <v>0</v>
      </c>
    </row>
    <row r="35" spans="1:15" x14ac:dyDescent="0.25">
      <c r="A35" s="129" t="s">
        <v>28</v>
      </c>
      <c r="B35" s="128">
        <v>0</v>
      </c>
      <c r="C35" s="128">
        <v>0</v>
      </c>
      <c r="D35" s="128">
        <v>0</v>
      </c>
      <c r="E35" s="128">
        <v>0</v>
      </c>
      <c r="F35" s="128">
        <v>0</v>
      </c>
      <c r="G35" s="128">
        <v>0</v>
      </c>
      <c r="H35" s="128">
        <v>0</v>
      </c>
      <c r="I35" s="128">
        <v>0</v>
      </c>
      <c r="J35" s="128">
        <v>0</v>
      </c>
      <c r="K35" s="119">
        <f t="shared" si="3"/>
        <v>0</v>
      </c>
      <c r="L35" s="21">
        <v>0</v>
      </c>
      <c r="N35" s="98">
        <f t="shared" si="0"/>
        <v>0</v>
      </c>
      <c r="O35" s="98">
        <f t="shared" si="1"/>
        <v>0</v>
      </c>
    </row>
    <row r="36" spans="1:15" x14ac:dyDescent="0.25">
      <c r="A36" s="114" t="s">
        <v>29</v>
      </c>
      <c r="B36" s="128">
        <v>-702.78</v>
      </c>
      <c r="C36" s="128">
        <v>-356.83</v>
      </c>
      <c r="D36" s="128">
        <v>-277.39999999999998</v>
      </c>
      <c r="E36" s="128">
        <v>0</v>
      </c>
      <c r="F36" s="128">
        <v>0</v>
      </c>
      <c r="G36" s="128">
        <v>0</v>
      </c>
      <c r="H36" s="128">
        <v>0</v>
      </c>
      <c r="I36" s="128">
        <v>0</v>
      </c>
      <c r="J36" s="128">
        <v>0</v>
      </c>
      <c r="K36" s="119">
        <f t="shared" si="3"/>
        <v>-1337.0099999999998</v>
      </c>
      <c r="L36" s="21">
        <v>0</v>
      </c>
      <c r="N36" s="98">
        <f t="shared" si="0"/>
        <v>-1337.0099999999998</v>
      </c>
      <c r="O36" s="98">
        <f t="shared" si="1"/>
        <v>0</v>
      </c>
    </row>
    <row r="37" spans="1:15" x14ac:dyDescent="0.25">
      <c r="A37" s="15" t="s">
        <v>276</v>
      </c>
      <c r="B37" s="128">
        <v>-1633.15</v>
      </c>
      <c r="C37" s="128">
        <v>-1590.12</v>
      </c>
      <c r="D37" s="128">
        <v>-3311.93</v>
      </c>
      <c r="E37" s="128">
        <v>0</v>
      </c>
      <c r="F37" s="128">
        <v>0</v>
      </c>
      <c r="G37" s="128">
        <v>0</v>
      </c>
      <c r="H37" s="128">
        <v>0</v>
      </c>
      <c r="I37" s="128">
        <v>0</v>
      </c>
      <c r="J37" s="128">
        <v>0</v>
      </c>
      <c r="K37" s="119">
        <f t="shared" si="3"/>
        <v>-6535.2</v>
      </c>
      <c r="L37" s="21">
        <v>0</v>
      </c>
      <c r="N37" s="98">
        <f t="shared" si="0"/>
        <v>-6535.2</v>
      </c>
      <c r="O37" s="98">
        <f t="shared" si="1"/>
        <v>0</v>
      </c>
    </row>
    <row r="38" spans="1:15" x14ac:dyDescent="0.25">
      <c r="A38" s="114" t="s">
        <v>97</v>
      </c>
      <c r="B38" s="128">
        <v>-3311.93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19">
        <f t="shared" si="3"/>
        <v>-3311.93</v>
      </c>
      <c r="L38" s="21">
        <v>0</v>
      </c>
      <c r="N38" s="98">
        <f t="shared" si="0"/>
        <v>-3311.93</v>
      </c>
      <c r="O38" s="98">
        <f t="shared" si="1"/>
        <v>0</v>
      </c>
    </row>
    <row r="39" spans="1:15" x14ac:dyDescent="0.25">
      <c r="A39" s="114" t="s">
        <v>114</v>
      </c>
      <c r="B39" s="128">
        <v>0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19">
        <f t="shared" si="3"/>
        <v>0</v>
      </c>
      <c r="L39" s="21">
        <v>0</v>
      </c>
      <c r="N39" s="98">
        <f t="shared" si="0"/>
        <v>0</v>
      </c>
      <c r="O39" s="98">
        <f t="shared" si="1"/>
        <v>0</v>
      </c>
    </row>
    <row r="40" spans="1:15" x14ac:dyDescent="0.25">
      <c r="A40" s="131" t="s">
        <v>31</v>
      </c>
      <c r="B40" s="132">
        <f t="shared" ref="B40:J40" si="4">SUM(B14:B39)</f>
        <v>-20774.32</v>
      </c>
      <c r="C40" s="132">
        <f t="shared" si="4"/>
        <v>-56163.57</v>
      </c>
      <c r="D40" s="132">
        <f t="shared" si="4"/>
        <v>-99489.419999999984</v>
      </c>
      <c r="E40" s="132">
        <f t="shared" si="4"/>
        <v>0</v>
      </c>
      <c r="F40" s="132">
        <f t="shared" si="4"/>
        <v>0</v>
      </c>
      <c r="G40" s="132">
        <f t="shared" si="4"/>
        <v>0</v>
      </c>
      <c r="H40" s="132">
        <f t="shared" si="4"/>
        <v>0</v>
      </c>
      <c r="I40" s="132">
        <f t="shared" si="4"/>
        <v>0</v>
      </c>
      <c r="J40" s="132">
        <f t="shared" si="4"/>
        <v>0</v>
      </c>
      <c r="K40" s="132">
        <f>SUM(K14:K39)</f>
        <v>-176427.31000000003</v>
      </c>
      <c r="L40" s="21">
        <v>0</v>
      </c>
      <c r="N40" s="98">
        <f t="shared" si="0"/>
        <v>-176427.31</v>
      </c>
      <c r="O40" s="98">
        <f t="shared" si="1"/>
        <v>0</v>
      </c>
    </row>
    <row r="41" spans="1:15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25"/>
      <c r="L41" s="159"/>
      <c r="N41" s="98">
        <f t="shared" si="0"/>
        <v>0</v>
      </c>
      <c r="O41" s="98">
        <f t="shared" si="1"/>
        <v>0</v>
      </c>
    </row>
    <row r="42" spans="1:15" x14ac:dyDescent="0.25">
      <c r="A42" s="135" t="s">
        <v>32</v>
      </c>
      <c r="B42" s="136">
        <f t="shared" ref="B42:J42" si="5">B11+B40</f>
        <v>-20774.32</v>
      </c>
      <c r="C42" s="136">
        <f t="shared" si="5"/>
        <v>-56163.57</v>
      </c>
      <c r="D42" s="165">
        <f t="shared" si="5"/>
        <v>-2813.7299999999814</v>
      </c>
      <c r="E42" s="165">
        <f t="shared" si="5"/>
        <v>0</v>
      </c>
      <c r="F42" s="165">
        <f t="shared" si="5"/>
        <v>0</v>
      </c>
      <c r="G42" s="165">
        <f t="shared" si="5"/>
        <v>0</v>
      </c>
      <c r="H42" s="165">
        <f t="shared" si="5"/>
        <v>0</v>
      </c>
      <c r="I42" s="165">
        <f t="shared" si="5"/>
        <v>0</v>
      </c>
      <c r="J42" s="165">
        <f t="shared" si="5"/>
        <v>0</v>
      </c>
      <c r="K42" s="157">
        <f>SUM(B42:J42)</f>
        <v>-79751.619999999981</v>
      </c>
      <c r="L42" s="21">
        <v>0</v>
      </c>
      <c r="N42" s="98">
        <f t="shared" si="0"/>
        <v>-79751.619999999981</v>
      </c>
      <c r="O42" s="98">
        <f t="shared" si="1"/>
        <v>0</v>
      </c>
    </row>
    <row r="43" spans="1:15" x14ac:dyDescent="0.25">
      <c r="A43" s="13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62"/>
      <c r="N43" s="98">
        <f t="shared" si="0"/>
        <v>0</v>
      </c>
      <c r="O43" s="98">
        <f t="shared" si="1"/>
        <v>0</v>
      </c>
    </row>
    <row r="44" spans="1:15" x14ac:dyDescent="0.25">
      <c r="A44" s="126" t="s">
        <v>56</v>
      </c>
      <c r="B44" s="139">
        <f t="shared" ref="B44:J44" si="6">-B9*13.15%</f>
        <v>0</v>
      </c>
      <c r="C44" s="139">
        <f t="shared" si="6"/>
        <v>0</v>
      </c>
      <c r="D44" s="139">
        <f t="shared" si="6"/>
        <v>-12712.853235</v>
      </c>
      <c r="E44" s="139">
        <f t="shared" si="6"/>
        <v>0</v>
      </c>
      <c r="F44" s="139">
        <f t="shared" si="6"/>
        <v>0</v>
      </c>
      <c r="G44" s="139">
        <f t="shared" si="6"/>
        <v>0</v>
      </c>
      <c r="H44" s="139">
        <f t="shared" si="6"/>
        <v>0</v>
      </c>
      <c r="I44" s="139">
        <f t="shared" si="6"/>
        <v>0</v>
      </c>
      <c r="J44" s="139">
        <f t="shared" si="6"/>
        <v>0</v>
      </c>
      <c r="K44" s="119">
        <f>SUM(B44:J44)</f>
        <v>-12712.853235</v>
      </c>
      <c r="L44" s="21">
        <v>0</v>
      </c>
      <c r="N44" s="98">
        <f t="shared" si="0"/>
        <v>-12712.853235</v>
      </c>
      <c r="O44" s="98">
        <f t="shared" si="1"/>
        <v>0</v>
      </c>
    </row>
    <row r="45" spans="1:15" x14ac:dyDescent="0.25">
      <c r="A45" s="137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62"/>
      <c r="N45" s="98">
        <f t="shared" si="0"/>
        <v>0</v>
      </c>
      <c r="O45" s="98">
        <f t="shared" si="1"/>
        <v>0</v>
      </c>
    </row>
    <row r="46" spans="1:15" x14ac:dyDescent="0.25">
      <c r="A46" s="126" t="s">
        <v>33</v>
      </c>
      <c r="B46" s="139">
        <f t="shared" ref="B46:J46" si="7">-B9*1.22%</f>
        <v>0</v>
      </c>
      <c r="C46" s="139">
        <f t="shared" si="7"/>
        <v>0</v>
      </c>
      <c r="D46" s="139">
        <f t="shared" si="7"/>
        <v>-1179.4434179999998</v>
      </c>
      <c r="E46" s="139">
        <f t="shared" si="7"/>
        <v>0</v>
      </c>
      <c r="F46" s="139">
        <f t="shared" si="7"/>
        <v>0</v>
      </c>
      <c r="G46" s="139">
        <f t="shared" si="7"/>
        <v>0</v>
      </c>
      <c r="H46" s="139">
        <f t="shared" si="7"/>
        <v>0</v>
      </c>
      <c r="I46" s="139">
        <f t="shared" si="7"/>
        <v>0</v>
      </c>
      <c r="J46" s="139">
        <f t="shared" si="7"/>
        <v>0</v>
      </c>
      <c r="K46" s="119">
        <f>SUM(B46:J46)</f>
        <v>-1179.4434179999998</v>
      </c>
      <c r="L46" s="21">
        <v>0</v>
      </c>
      <c r="N46" s="98">
        <f t="shared" si="0"/>
        <v>-1179.4434179999998</v>
      </c>
      <c r="O46" s="98">
        <f t="shared" si="1"/>
        <v>0</v>
      </c>
    </row>
    <row r="47" spans="1:15" x14ac:dyDescent="0.2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62"/>
      <c r="N47" s="98">
        <f t="shared" si="0"/>
        <v>0</v>
      </c>
      <c r="O47" s="98">
        <f t="shared" si="1"/>
        <v>0</v>
      </c>
    </row>
    <row r="48" spans="1:15" x14ac:dyDescent="0.25">
      <c r="A48" s="113" t="s">
        <v>57</v>
      </c>
      <c r="B48" s="142">
        <f t="shared" ref="B48:J48" si="8">B40*5.56%</f>
        <v>-1155.0521919999999</v>
      </c>
      <c r="C48" s="142">
        <f t="shared" si="8"/>
        <v>-3122.6944919999996</v>
      </c>
      <c r="D48" s="142">
        <f t="shared" si="8"/>
        <v>-5531.6117519999989</v>
      </c>
      <c r="E48" s="142">
        <f t="shared" si="8"/>
        <v>0</v>
      </c>
      <c r="F48" s="142">
        <f t="shared" si="8"/>
        <v>0</v>
      </c>
      <c r="G48" s="142">
        <f t="shared" si="8"/>
        <v>0</v>
      </c>
      <c r="H48" s="142">
        <f t="shared" si="8"/>
        <v>0</v>
      </c>
      <c r="I48" s="142">
        <f t="shared" si="8"/>
        <v>0</v>
      </c>
      <c r="J48" s="142">
        <f t="shared" si="8"/>
        <v>0</v>
      </c>
      <c r="K48" s="119">
        <f>SUM(B48:J48)</f>
        <v>-9809.3584359999986</v>
      </c>
      <c r="L48" s="21">
        <v>0</v>
      </c>
      <c r="N48" s="98">
        <f t="shared" si="0"/>
        <v>-9809.3584359999986</v>
      </c>
      <c r="O48" s="98">
        <f t="shared" si="1"/>
        <v>0</v>
      </c>
    </row>
    <row r="49" spans="1:15" x14ac:dyDescent="0.2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62"/>
      <c r="N49" s="98">
        <f t="shared" si="0"/>
        <v>0</v>
      </c>
      <c r="O49" s="98">
        <f t="shared" si="1"/>
        <v>0</v>
      </c>
    </row>
    <row r="50" spans="1:15" x14ac:dyDescent="0.25">
      <c r="A50" s="113" t="s">
        <v>58</v>
      </c>
      <c r="B50" s="142">
        <f t="shared" ref="B50:J50" si="9">B40*0.01%</f>
        <v>-2.0774319999999999</v>
      </c>
      <c r="C50" s="142">
        <f t="shared" si="9"/>
        <v>-5.6163569999999998</v>
      </c>
      <c r="D50" s="142">
        <f t="shared" si="9"/>
        <v>-9.9489419999999988</v>
      </c>
      <c r="E50" s="142">
        <f t="shared" si="9"/>
        <v>0</v>
      </c>
      <c r="F50" s="142">
        <f t="shared" si="9"/>
        <v>0</v>
      </c>
      <c r="G50" s="142">
        <f t="shared" si="9"/>
        <v>0</v>
      </c>
      <c r="H50" s="142">
        <f t="shared" si="9"/>
        <v>0</v>
      </c>
      <c r="I50" s="142">
        <f t="shared" si="9"/>
        <v>0</v>
      </c>
      <c r="J50" s="142">
        <f t="shared" si="9"/>
        <v>0</v>
      </c>
      <c r="K50" s="119">
        <f>SUM(B50:J50)</f>
        <v>-17.642730999999998</v>
      </c>
      <c r="L50" s="21">
        <v>0</v>
      </c>
      <c r="N50" s="98">
        <f t="shared" si="0"/>
        <v>-17.642730999999998</v>
      </c>
      <c r="O50" s="98">
        <f t="shared" si="1"/>
        <v>0</v>
      </c>
    </row>
    <row r="51" spans="1:15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62"/>
      <c r="N51" s="98">
        <f t="shared" si="0"/>
        <v>0</v>
      </c>
      <c r="O51" s="98">
        <f t="shared" si="1"/>
        <v>0</v>
      </c>
    </row>
    <row r="52" spans="1:15" x14ac:dyDescent="0.25">
      <c r="A52" s="135" t="s">
        <v>343</v>
      </c>
      <c r="B52" s="136">
        <f t="shared" ref="B52:J52" si="10">B42+B48+B50+B44+B46</f>
        <v>-21931.449623999997</v>
      </c>
      <c r="C52" s="136">
        <f t="shared" si="10"/>
        <v>-59291.880849000001</v>
      </c>
      <c r="D52" s="165">
        <f t="shared" si="10"/>
        <v>-22247.587346999982</v>
      </c>
      <c r="E52" s="165">
        <f t="shared" si="10"/>
        <v>0</v>
      </c>
      <c r="F52" s="165">
        <f t="shared" si="10"/>
        <v>0</v>
      </c>
      <c r="G52" s="165">
        <f t="shared" si="10"/>
        <v>0</v>
      </c>
      <c r="H52" s="165">
        <f t="shared" si="10"/>
        <v>0</v>
      </c>
      <c r="I52" s="165">
        <f t="shared" si="10"/>
        <v>0</v>
      </c>
      <c r="J52" s="165">
        <f t="shared" si="10"/>
        <v>0</v>
      </c>
      <c r="K52" s="157">
        <f>SUM(B52:J52)</f>
        <v>-103470.91781999997</v>
      </c>
      <c r="L52" s="21">
        <v>0</v>
      </c>
      <c r="N52" s="98">
        <f t="shared" si="0"/>
        <v>-103470.91781999997</v>
      </c>
      <c r="O52" s="98">
        <f t="shared" si="1"/>
        <v>0</v>
      </c>
    </row>
    <row r="53" spans="1:15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63"/>
    </row>
    <row r="54" spans="1:15" x14ac:dyDescent="0.25">
      <c r="A54" s="144" t="s">
        <v>35</v>
      </c>
      <c r="B54" s="13">
        <v>7</v>
      </c>
      <c r="C54" s="13">
        <v>9</v>
      </c>
      <c r="D54" s="13"/>
      <c r="E54" s="13"/>
      <c r="F54" s="13"/>
      <c r="G54" s="13"/>
      <c r="H54" s="13"/>
      <c r="I54" s="13"/>
      <c r="J54" s="13"/>
      <c r="K54" s="145"/>
      <c r="L54" s="163"/>
    </row>
    <row r="55" spans="1:15" x14ac:dyDescent="0.25">
      <c r="A55" s="80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53"/>
    </row>
    <row r="56" spans="1:15" x14ac:dyDescent="0.25">
      <c r="A56" s="146" t="s">
        <v>36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64">
        <v>46203</v>
      </c>
    </row>
    <row r="57" spans="1:15" x14ac:dyDescent="0.25">
      <c r="B57" s="98">
        <f t="shared" ref="B57:K57" si="11">B11+B40+B44+B46+B48+B50</f>
        <v>-21931.449623999997</v>
      </c>
      <c r="C57" s="98">
        <f t="shared" si="11"/>
        <v>-59291.880849000001</v>
      </c>
      <c r="D57" s="98">
        <f t="shared" si="11"/>
        <v>-22247.587346999982</v>
      </c>
      <c r="E57" s="98">
        <f t="shared" si="11"/>
        <v>0</v>
      </c>
      <c r="F57" s="98">
        <f t="shared" si="11"/>
        <v>0</v>
      </c>
      <c r="G57" s="98">
        <f t="shared" si="11"/>
        <v>0</v>
      </c>
      <c r="H57" s="98">
        <f t="shared" si="11"/>
        <v>0</v>
      </c>
      <c r="I57" s="98">
        <f t="shared" si="11"/>
        <v>0</v>
      </c>
      <c r="J57" s="98">
        <f t="shared" si="11"/>
        <v>0</v>
      </c>
      <c r="K57" s="98">
        <f t="shared" si="11"/>
        <v>-103470.91782000002</v>
      </c>
      <c r="L57" s="153"/>
    </row>
    <row r="58" spans="1:15" x14ac:dyDescent="0.25">
      <c r="L58" s="153"/>
    </row>
    <row r="59" spans="1:15" x14ac:dyDescent="0.25">
      <c r="B59" s="98">
        <f t="shared" ref="B59:K59" si="12">B57-B52</f>
        <v>0</v>
      </c>
      <c r="C59" s="98">
        <f t="shared" si="12"/>
        <v>0</v>
      </c>
      <c r="D59" s="98">
        <f t="shared" si="12"/>
        <v>0</v>
      </c>
      <c r="E59" s="98">
        <f t="shared" si="12"/>
        <v>0</v>
      </c>
      <c r="F59" s="98">
        <f t="shared" si="12"/>
        <v>0</v>
      </c>
      <c r="G59" s="98">
        <f t="shared" si="12"/>
        <v>0</v>
      </c>
      <c r="H59" s="98">
        <f t="shared" si="12"/>
        <v>0</v>
      </c>
      <c r="I59" s="98">
        <f t="shared" si="12"/>
        <v>0</v>
      </c>
      <c r="J59" s="98">
        <f t="shared" si="12"/>
        <v>0</v>
      </c>
      <c r="K59" s="98">
        <f t="shared" si="12"/>
        <v>0</v>
      </c>
      <c r="L59" s="153"/>
    </row>
    <row r="60" spans="1:15" x14ac:dyDescent="0.25">
      <c r="L60" s="153"/>
    </row>
  </sheetData>
  <mergeCells count="3">
    <mergeCell ref="A1:L1"/>
    <mergeCell ref="A3:L3"/>
    <mergeCell ref="A5:L5"/>
  </mergeCells>
  <printOptions horizontalCentered="1" verticalCentered="1"/>
  <pageMargins left="0.51181102362204722" right="0.51181102362204722" top="0.31496062992125984" bottom="0" header="0.19685039370078741" footer="0"/>
  <pageSetup paperSize="9" scale="71" orientation="landscape" r:id="rId1"/>
  <headerFooter>
    <oddHeader>&amp;L&amp;"-,Negrito"&amp;14                                                                                                                                            
&amp;C&amp;"-,Negrito"&amp;16BELA NOVA CONSTRUTORA LTDA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9"/>
  </sheetPr>
  <dimension ref="A1:P60"/>
  <sheetViews>
    <sheetView topLeftCell="A10" zoomScale="85" zoomScaleNormal="85" workbookViewId="0">
      <pane xSplit="1" topLeftCell="B1" activePane="topRight" state="frozen"/>
      <selection activeCell="E21" sqref="E21"/>
      <selection pane="topRight" activeCell="K15" sqref="D15:K16"/>
    </sheetView>
  </sheetViews>
  <sheetFormatPr defaultRowHeight="15" x14ac:dyDescent="0.25"/>
  <cols>
    <col min="1" max="1" width="61.5703125" bestFit="1" customWidth="1"/>
    <col min="2" max="4" width="16.85546875" customWidth="1"/>
    <col min="5" max="9" width="16.85546875" hidden="1" customWidth="1"/>
    <col min="10" max="10" width="16.7109375" hidden="1" customWidth="1"/>
    <col min="11" max="11" width="16.140625" bestFit="1" customWidth="1"/>
    <col min="12" max="12" width="11" bestFit="1" customWidth="1"/>
    <col min="14" max="14" width="17" bestFit="1" customWidth="1"/>
    <col min="16" max="16" width="16" bestFit="1" customWidth="1"/>
  </cols>
  <sheetData>
    <row r="1" spans="1:16" ht="15.75" x14ac:dyDescent="0.25">
      <c r="A1" s="203" t="s">
        <v>186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</row>
    <row r="2" spans="1:16" ht="11.25" customHeight="1" x14ac:dyDescent="0.25">
      <c r="A2" s="108"/>
    </row>
    <row r="3" spans="1:16" ht="15.75" x14ac:dyDescent="0.25">
      <c r="A3" s="203" t="s">
        <v>345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</row>
    <row r="4" spans="1:16" ht="10.5" customHeight="1" x14ac:dyDescent="0.25">
      <c r="A4" s="108"/>
    </row>
    <row r="5" spans="1:16" ht="16.5" customHeight="1" x14ac:dyDescent="0.25">
      <c r="A5" s="209" t="s">
        <v>292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N5" s="177"/>
      <c r="O5" s="86"/>
      <c r="P5" s="86"/>
    </row>
    <row r="6" spans="1:16" x14ac:dyDescent="0.25">
      <c r="A6" s="110"/>
      <c r="N6" s="177"/>
      <c r="O6" s="86"/>
      <c r="P6" s="86"/>
    </row>
    <row r="7" spans="1:16" x14ac:dyDescent="0.25">
      <c r="A7" s="111"/>
      <c r="B7" s="60" t="s">
        <v>307</v>
      </c>
      <c r="C7" s="60" t="s">
        <v>308</v>
      </c>
      <c r="D7" s="60" t="s">
        <v>309</v>
      </c>
      <c r="E7" s="60" t="s">
        <v>310</v>
      </c>
      <c r="F7" s="60" t="s">
        <v>311</v>
      </c>
      <c r="G7" s="60" t="s">
        <v>312</v>
      </c>
      <c r="H7" s="60" t="s">
        <v>313</v>
      </c>
      <c r="I7" s="60" t="s">
        <v>314</v>
      </c>
      <c r="J7" s="60" t="s">
        <v>225</v>
      </c>
      <c r="K7" s="113" t="s">
        <v>1</v>
      </c>
      <c r="L7" s="158" t="s">
        <v>2</v>
      </c>
    </row>
    <row r="8" spans="1:16" x14ac:dyDescent="0.25">
      <c r="A8" s="114" t="s">
        <v>3</v>
      </c>
      <c r="B8" s="115"/>
      <c r="C8" s="115"/>
      <c r="D8" s="115"/>
      <c r="E8" s="115"/>
      <c r="F8" s="115"/>
      <c r="G8" s="115"/>
      <c r="H8" s="115"/>
      <c r="I8" s="115"/>
      <c r="J8" s="115"/>
      <c r="K8" s="116"/>
      <c r="L8" s="159"/>
    </row>
    <row r="9" spans="1:16" x14ac:dyDescent="0.25">
      <c r="A9" s="117" t="s">
        <v>4</v>
      </c>
      <c r="B9" s="118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9">
        <f>SUM(B9:J9)</f>
        <v>0</v>
      </c>
      <c r="L9" s="21">
        <v>1</v>
      </c>
      <c r="N9" s="98">
        <f t="shared" ref="N9:N52" si="0">SUM(A9:J9)</f>
        <v>0</v>
      </c>
      <c r="O9" s="98">
        <f>N9-K9</f>
        <v>0</v>
      </c>
    </row>
    <row r="10" spans="1:16" x14ac:dyDescent="0.25">
      <c r="A10" s="114" t="s">
        <v>5</v>
      </c>
      <c r="B10" s="118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9">
        <f>SUM(B10:J10)</f>
        <v>0</v>
      </c>
      <c r="L10" s="21"/>
      <c r="N10" s="98">
        <f t="shared" si="0"/>
        <v>0</v>
      </c>
      <c r="O10" s="98">
        <f t="shared" ref="O10:O52" si="1">N10-K10</f>
        <v>0</v>
      </c>
    </row>
    <row r="11" spans="1:16" x14ac:dyDescent="0.25">
      <c r="A11" s="121" t="s">
        <v>6</v>
      </c>
      <c r="B11" s="122">
        <f t="shared" ref="B11:J11" si="2">SUM(B9:B10)</f>
        <v>0</v>
      </c>
      <c r="C11" s="122">
        <f t="shared" si="2"/>
        <v>0</v>
      </c>
      <c r="D11" s="122">
        <f t="shared" si="2"/>
        <v>0</v>
      </c>
      <c r="E11" s="122">
        <f t="shared" si="2"/>
        <v>0</v>
      </c>
      <c r="F11" s="122">
        <f t="shared" si="2"/>
        <v>0</v>
      </c>
      <c r="G11" s="122">
        <f t="shared" si="2"/>
        <v>0</v>
      </c>
      <c r="H11" s="122">
        <f t="shared" si="2"/>
        <v>0</v>
      </c>
      <c r="I11" s="122">
        <f t="shared" si="2"/>
        <v>0</v>
      </c>
      <c r="J11" s="122">
        <f t="shared" si="2"/>
        <v>0</v>
      </c>
      <c r="K11" s="122">
        <f>SUM(K9:K10)</f>
        <v>0</v>
      </c>
      <c r="L11" s="21">
        <v>1</v>
      </c>
      <c r="N11" s="98">
        <f t="shared" si="0"/>
        <v>0</v>
      </c>
      <c r="O11" s="98">
        <f t="shared" si="1"/>
        <v>0</v>
      </c>
    </row>
    <row r="12" spans="1:16" x14ac:dyDescent="0.25">
      <c r="A12" s="123"/>
      <c r="B12" s="124"/>
      <c r="C12" s="124"/>
      <c r="D12" s="124"/>
      <c r="E12" s="124"/>
      <c r="F12" s="124"/>
      <c r="G12" s="124"/>
      <c r="H12" s="124"/>
      <c r="I12" s="124"/>
      <c r="J12" s="124"/>
      <c r="K12" s="125"/>
      <c r="L12" s="160"/>
      <c r="N12" s="98">
        <f t="shared" si="0"/>
        <v>0</v>
      </c>
      <c r="O12" s="98">
        <f t="shared" si="1"/>
        <v>0</v>
      </c>
    </row>
    <row r="13" spans="1:16" x14ac:dyDescent="0.25">
      <c r="A13" s="126" t="s">
        <v>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  <c r="L13" s="161"/>
      <c r="N13" s="98">
        <f t="shared" si="0"/>
        <v>0</v>
      </c>
      <c r="O13" s="98">
        <f t="shared" si="1"/>
        <v>0</v>
      </c>
    </row>
    <row r="14" spans="1:16" x14ac:dyDescent="0.25">
      <c r="A14" s="114" t="s">
        <v>8</v>
      </c>
      <c r="B14" s="128">
        <v>48.64</v>
      </c>
      <c r="C14" s="128">
        <v>-790.8</v>
      </c>
      <c r="D14" s="128">
        <v>0</v>
      </c>
      <c r="E14" s="128">
        <v>0</v>
      </c>
      <c r="F14" s="128">
        <v>0</v>
      </c>
      <c r="G14" s="128">
        <v>0</v>
      </c>
      <c r="H14" s="128">
        <v>0</v>
      </c>
      <c r="I14" s="128">
        <v>0</v>
      </c>
      <c r="J14" s="128">
        <v>0</v>
      </c>
      <c r="K14" s="119">
        <f t="shared" ref="K14:K39" si="3">SUM(B14:J14)</f>
        <v>-742.16</v>
      </c>
      <c r="L14" s="21">
        <v>0</v>
      </c>
      <c r="N14" s="98">
        <f t="shared" si="0"/>
        <v>-742.16</v>
      </c>
      <c r="O14" s="98">
        <f t="shared" si="1"/>
        <v>0</v>
      </c>
    </row>
    <row r="15" spans="1:16" x14ac:dyDescent="0.25">
      <c r="A15" s="129" t="s">
        <v>9</v>
      </c>
      <c r="B15" s="128">
        <v>0</v>
      </c>
      <c r="C15" s="128">
        <v>0</v>
      </c>
      <c r="D15" s="128">
        <v>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19">
        <f t="shared" si="3"/>
        <v>0</v>
      </c>
      <c r="L15" s="21">
        <v>0</v>
      </c>
      <c r="N15" s="98">
        <f t="shared" si="0"/>
        <v>0</v>
      </c>
      <c r="O15" s="98">
        <f t="shared" si="1"/>
        <v>0</v>
      </c>
    </row>
    <row r="16" spans="1:16" x14ac:dyDescent="0.25">
      <c r="A16" s="114" t="s">
        <v>10</v>
      </c>
      <c r="B16" s="128">
        <v>0</v>
      </c>
      <c r="C16" s="128">
        <v>0</v>
      </c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28">
        <v>0</v>
      </c>
      <c r="J16" s="128">
        <v>0</v>
      </c>
      <c r="K16" s="119">
        <f t="shared" si="3"/>
        <v>0</v>
      </c>
      <c r="L16" s="21">
        <v>0</v>
      </c>
      <c r="N16" s="98">
        <f t="shared" si="0"/>
        <v>0</v>
      </c>
      <c r="O16" s="98">
        <f t="shared" si="1"/>
        <v>0</v>
      </c>
    </row>
    <row r="17" spans="1:15" x14ac:dyDescent="0.25">
      <c r="A17" s="129" t="s">
        <v>11</v>
      </c>
      <c r="B17" s="128">
        <v>0</v>
      </c>
      <c r="C17" s="128">
        <v>0</v>
      </c>
      <c r="D17" s="128">
        <v>0</v>
      </c>
      <c r="E17" s="128">
        <v>0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19">
        <f t="shared" si="3"/>
        <v>0</v>
      </c>
      <c r="L17" s="21">
        <v>0</v>
      </c>
      <c r="N17" s="98">
        <f t="shared" si="0"/>
        <v>0</v>
      </c>
      <c r="O17" s="98">
        <f t="shared" si="1"/>
        <v>0</v>
      </c>
    </row>
    <row r="18" spans="1:15" x14ac:dyDescent="0.25">
      <c r="A18" s="114" t="s">
        <v>12</v>
      </c>
      <c r="B18" s="128">
        <v>-569.26</v>
      </c>
      <c r="C18" s="128">
        <v>-2354.56</v>
      </c>
      <c r="D18" s="128">
        <v>0</v>
      </c>
      <c r="E18" s="128">
        <v>0</v>
      </c>
      <c r="F18" s="128">
        <v>0</v>
      </c>
      <c r="G18" s="128">
        <v>0</v>
      </c>
      <c r="H18" s="128">
        <v>0</v>
      </c>
      <c r="I18" s="128">
        <v>0</v>
      </c>
      <c r="J18" s="128">
        <v>0</v>
      </c>
      <c r="K18" s="119">
        <f t="shared" si="3"/>
        <v>-2923.8199999999997</v>
      </c>
      <c r="L18" s="21">
        <v>0</v>
      </c>
      <c r="N18" s="98">
        <f t="shared" si="0"/>
        <v>-2923.8199999999997</v>
      </c>
      <c r="O18" s="98">
        <f t="shared" si="1"/>
        <v>0</v>
      </c>
    </row>
    <row r="19" spans="1:15" x14ac:dyDescent="0.25">
      <c r="A19" s="114" t="s">
        <v>13</v>
      </c>
      <c r="B19" s="128">
        <v>-452.24</v>
      </c>
      <c r="C19" s="128">
        <v>-1558.48</v>
      </c>
      <c r="D19" s="128">
        <v>0</v>
      </c>
      <c r="E19" s="128">
        <v>0</v>
      </c>
      <c r="F19" s="128">
        <v>0</v>
      </c>
      <c r="G19" s="128">
        <v>0</v>
      </c>
      <c r="H19" s="128">
        <v>0</v>
      </c>
      <c r="I19" s="128">
        <v>0</v>
      </c>
      <c r="J19" s="128">
        <v>0</v>
      </c>
      <c r="K19" s="119">
        <f t="shared" si="3"/>
        <v>-2010.72</v>
      </c>
      <c r="L19" s="21">
        <v>0</v>
      </c>
      <c r="N19" s="98">
        <f t="shared" si="0"/>
        <v>-2010.72</v>
      </c>
      <c r="O19" s="98">
        <f t="shared" si="1"/>
        <v>0</v>
      </c>
    </row>
    <row r="20" spans="1:15" x14ac:dyDescent="0.25">
      <c r="A20" s="114" t="s">
        <v>14</v>
      </c>
      <c r="B20" s="128">
        <v>-1273.18</v>
      </c>
      <c r="C20" s="128">
        <v>-1858.78</v>
      </c>
      <c r="D20" s="128">
        <v>0</v>
      </c>
      <c r="E20" s="128">
        <v>0</v>
      </c>
      <c r="F20" s="128">
        <v>0</v>
      </c>
      <c r="G20" s="128">
        <v>0</v>
      </c>
      <c r="H20" s="128">
        <v>0</v>
      </c>
      <c r="I20" s="128">
        <v>0</v>
      </c>
      <c r="J20" s="128">
        <v>0</v>
      </c>
      <c r="K20" s="119">
        <f t="shared" si="3"/>
        <v>-3131.96</v>
      </c>
      <c r="L20" s="21">
        <v>0</v>
      </c>
      <c r="N20" s="98">
        <f t="shared" si="0"/>
        <v>-3131.96</v>
      </c>
      <c r="O20" s="98">
        <f t="shared" si="1"/>
        <v>0</v>
      </c>
    </row>
    <row r="21" spans="1:15" x14ac:dyDescent="0.25">
      <c r="A21" s="114" t="s">
        <v>15</v>
      </c>
      <c r="B21" s="128">
        <v>0</v>
      </c>
      <c r="C21" s="128">
        <v>0</v>
      </c>
      <c r="D21" s="128">
        <v>0</v>
      </c>
      <c r="E21" s="128">
        <v>0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19">
        <f t="shared" si="3"/>
        <v>0</v>
      </c>
      <c r="L21" s="21">
        <v>0</v>
      </c>
      <c r="N21" s="98">
        <f t="shared" si="0"/>
        <v>0</v>
      </c>
      <c r="O21" s="98">
        <f t="shared" si="1"/>
        <v>0</v>
      </c>
    </row>
    <row r="22" spans="1:15" x14ac:dyDescent="0.25">
      <c r="A22" s="114" t="s">
        <v>16</v>
      </c>
      <c r="B22" s="128">
        <v>0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19">
        <f t="shared" si="3"/>
        <v>0</v>
      </c>
      <c r="L22" s="21">
        <v>0</v>
      </c>
      <c r="N22" s="98">
        <f t="shared" si="0"/>
        <v>0</v>
      </c>
      <c r="O22" s="98">
        <f t="shared" si="1"/>
        <v>0</v>
      </c>
    </row>
    <row r="23" spans="1:15" x14ac:dyDescent="0.25">
      <c r="A23" s="114" t="s">
        <v>17</v>
      </c>
      <c r="B23" s="128">
        <v>-1010.91</v>
      </c>
      <c r="C23" s="128">
        <v>-3774.84</v>
      </c>
      <c r="D23" s="128">
        <v>0</v>
      </c>
      <c r="E23" s="128">
        <v>0</v>
      </c>
      <c r="F23" s="128">
        <v>0</v>
      </c>
      <c r="G23" s="128">
        <v>0</v>
      </c>
      <c r="H23" s="128">
        <v>0</v>
      </c>
      <c r="I23" s="128">
        <v>0</v>
      </c>
      <c r="J23" s="128">
        <v>0</v>
      </c>
      <c r="K23" s="119">
        <f t="shared" si="3"/>
        <v>-4785.75</v>
      </c>
      <c r="L23" s="21">
        <v>0</v>
      </c>
      <c r="N23" s="98">
        <f t="shared" si="0"/>
        <v>-4785.75</v>
      </c>
      <c r="O23" s="98">
        <f t="shared" si="1"/>
        <v>0</v>
      </c>
    </row>
    <row r="24" spans="1:15" x14ac:dyDescent="0.25">
      <c r="A24" s="114" t="s">
        <v>18</v>
      </c>
      <c r="B24" s="128">
        <v>0</v>
      </c>
      <c r="C24" s="128">
        <v>0</v>
      </c>
      <c r="D24" s="128">
        <v>0</v>
      </c>
      <c r="E24" s="128">
        <v>0</v>
      </c>
      <c r="F24" s="128">
        <v>0</v>
      </c>
      <c r="G24" s="128">
        <v>0</v>
      </c>
      <c r="H24" s="128">
        <v>0</v>
      </c>
      <c r="I24" s="128">
        <v>0</v>
      </c>
      <c r="J24" s="128">
        <v>0</v>
      </c>
      <c r="K24" s="119">
        <f t="shared" si="3"/>
        <v>0</v>
      </c>
      <c r="L24" s="21">
        <v>0</v>
      </c>
      <c r="N24" s="98">
        <f t="shared" si="0"/>
        <v>0</v>
      </c>
      <c r="O24" s="98">
        <f t="shared" si="1"/>
        <v>0</v>
      </c>
    </row>
    <row r="25" spans="1:15" x14ac:dyDescent="0.25">
      <c r="A25" s="114" t="s">
        <v>19</v>
      </c>
      <c r="B25" s="128">
        <v>0</v>
      </c>
      <c r="C25" s="128">
        <v>0</v>
      </c>
      <c r="D25" s="128">
        <v>0</v>
      </c>
      <c r="E25" s="128">
        <v>0</v>
      </c>
      <c r="F25" s="128">
        <v>0</v>
      </c>
      <c r="G25" s="128">
        <v>0</v>
      </c>
      <c r="H25" s="128">
        <v>0</v>
      </c>
      <c r="I25" s="128">
        <v>0</v>
      </c>
      <c r="J25" s="128">
        <v>0</v>
      </c>
      <c r="K25" s="119">
        <f t="shared" si="3"/>
        <v>0</v>
      </c>
      <c r="L25" s="21">
        <v>0</v>
      </c>
      <c r="N25" s="98">
        <f t="shared" si="0"/>
        <v>0</v>
      </c>
      <c r="O25" s="98">
        <f t="shared" si="1"/>
        <v>0</v>
      </c>
    </row>
    <row r="26" spans="1:15" x14ac:dyDescent="0.25">
      <c r="A26" s="114" t="s">
        <v>20</v>
      </c>
      <c r="B26" s="128">
        <v>0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19">
        <f t="shared" si="3"/>
        <v>0</v>
      </c>
      <c r="L26" s="21">
        <v>0</v>
      </c>
      <c r="N26" s="98">
        <f t="shared" si="0"/>
        <v>0</v>
      </c>
      <c r="O26" s="98">
        <f t="shared" si="1"/>
        <v>0</v>
      </c>
    </row>
    <row r="27" spans="1:15" x14ac:dyDescent="0.25">
      <c r="A27" s="114" t="s">
        <v>59</v>
      </c>
      <c r="B27" s="128">
        <v>0</v>
      </c>
      <c r="C27" s="128">
        <v>0</v>
      </c>
      <c r="D27" s="128">
        <v>0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19">
        <f t="shared" si="3"/>
        <v>0</v>
      </c>
      <c r="L27" s="21">
        <v>0</v>
      </c>
      <c r="N27" s="98">
        <f t="shared" si="0"/>
        <v>0</v>
      </c>
      <c r="O27" s="98">
        <f t="shared" si="1"/>
        <v>0</v>
      </c>
    </row>
    <row r="28" spans="1:15" x14ac:dyDescent="0.25">
      <c r="A28" s="114" t="s">
        <v>21</v>
      </c>
      <c r="B28" s="128">
        <v>0</v>
      </c>
      <c r="C28" s="128">
        <v>-135</v>
      </c>
      <c r="D28" s="128">
        <v>0</v>
      </c>
      <c r="E28" s="128">
        <v>0</v>
      </c>
      <c r="F28" s="128">
        <v>0</v>
      </c>
      <c r="G28" s="128">
        <v>0</v>
      </c>
      <c r="H28" s="128">
        <v>0</v>
      </c>
      <c r="I28" s="128">
        <v>0</v>
      </c>
      <c r="J28" s="128">
        <v>0</v>
      </c>
      <c r="K28" s="119">
        <f t="shared" si="3"/>
        <v>-135</v>
      </c>
      <c r="L28" s="21">
        <v>0</v>
      </c>
      <c r="N28" s="98">
        <f t="shared" si="0"/>
        <v>-135</v>
      </c>
      <c r="O28" s="98">
        <f t="shared" si="1"/>
        <v>0</v>
      </c>
    </row>
    <row r="29" spans="1:15" x14ac:dyDescent="0.25">
      <c r="A29" s="114" t="s">
        <v>22</v>
      </c>
      <c r="B29" s="128">
        <v>0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19">
        <f t="shared" si="3"/>
        <v>0</v>
      </c>
      <c r="L29" s="21">
        <v>0</v>
      </c>
      <c r="N29" s="98">
        <f t="shared" si="0"/>
        <v>0</v>
      </c>
      <c r="O29" s="98">
        <f t="shared" si="1"/>
        <v>0</v>
      </c>
    </row>
    <row r="30" spans="1:15" x14ac:dyDescent="0.25">
      <c r="A30" s="129" t="s">
        <v>23</v>
      </c>
      <c r="B30" s="128">
        <v>0</v>
      </c>
      <c r="C30" s="128">
        <v>0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8">
        <v>0</v>
      </c>
      <c r="K30" s="119">
        <f t="shared" si="3"/>
        <v>0</v>
      </c>
      <c r="L30" s="21">
        <v>0</v>
      </c>
      <c r="N30" s="98">
        <f t="shared" si="0"/>
        <v>0</v>
      </c>
      <c r="O30" s="98">
        <f t="shared" si="1"/>
        <v>0</v>
      </c>
    </row>
    <row r="31" spans="1:15" x14ac:dyDescent="0.25">
      <c r="A31" s="114" t="s">
        <v>24</v>
      </c>
      <c r="B31" s="128">
        <v>0</v>
      </c>
      <c r="C31" s="128">
        <v>-12104</v>
      </c>
      <c r="D31" s="128">
        <v>0</v>
      </c>
      <c r="E31" s="128">
        <v>0</v>
      </c>
      <c r="F31" s="128">
        <v>0</v>
      </c>
      <c r="G31" s="128">
        <v>0</v>
      </c>
      <c r="H31" s="128">
        <v>0</v>
      </c>
      <c r="I31" s="128">
        <v>0</v>
      </c>
      <c r="J31" s="128">
        <v>0</v>
      </c>
      <c r="K31" s="119">
        <f t="shared" si="3"/>
        <v>-12104</v>
      </c>
      <c r="L31" s="21">
        <v>0</v>
      </c>
      <c r="N31" s="98">
        <f t="shared" si="0"/>
        <v>-12104</v>
      </c>
      <c r="O31" s="98">
        <f t="shared" si="1"/>
        <v>0</v>
      </c>
    </row>
    <row r="32" spans="1:15" x14ac:dyDescent="0.25">
      <c r="A32" s="130" t="s">
        <v>25</v>
      </c>
      <c r="B32" s="128">
        <v>-4380.71</v>
      </c>
      <c r="C32" s="128">
        <v>-17621.41</v>
      </c>
      <c r="D32" s="128">
        <v>0</v>
      </c>
      <c r="E32" s="128">
        <v>0</v>
      </c>
      <c r="F32" s="128">
        <v>0</v>
      </c>
      <c r="G32" s="128">
        <v>0</v>
      </c>
      <c r="H32" s="128">
        <v>0</v>
      </c>
      <c r="I32" s="128">
        <v>0</v>
      </c>
      <c r="J32" s="128">
        <v>0</v>
      </c>
      <c r="K32" s="119">
        <f t="shared" si="3"/>
        <v>-22002.12</v>
      </c>
      <c r="L32" s="21">
        <v>0</v>
      </c>
      <c r="N32" s="98">
        <f t="shared" si="0"/>
        <v>-22002.12</v>
      </c>
      <c r="O32" s="98">
        <f t="shared" si="1"/>
        <v>0</v>
      </c>
    </row>
    <row r="33" spans="1:15" x14ac:dyDescent="0.25">
      <c r="A33" s="114" t="s">
        <v>26</v>
      </c>
      <c r="B33" s="128">
        <v>0</v>
      </c>
      <c r="C33" s="128">
        <v>0</v>
      </c>
      <c r="D33" s="128">
        <v>0</v>
      </c>
      <c r="E33" s="128">
        <v>0</v>
      </c>
      <c r="F33" s="128">
        <v>0</v>
      </c>
      <c r="G33" s="128">
        <v>0</v>
      </c>
      <c r="H33" s="128">
        <v>0</v>
      </c>
      <c r="I33" s="128">
        <v>0</v>
      </c>
      <c r="J33" s="128">
        <v>0</v>
      </c>
      <c r="K33" s="119">
        <f t="shared" si="3"/>
        <v>0</v>
      </c>
      <c r="L33" s="21">
        <v>0</v>
      </c>
      <c r="N33" s="98">
        <f t="shared" si="0"/>
        <v>0</v>
      </c>
      <c r="O33" s="98">
        <f t="shared" si="1"/>
        <v>0</v>
      </c>
    </row>
    <row r="34" spans="1:15" x14ac:dyDescent="0.25">
      <c r="A34" s="114" t="s">
        <v>27</v>
      </c>
      <c r="B34" s="128">
        <v>0</v>
      </c>
      <c r="C34" s="128">
        <v>0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19">
        <f t="shared" si="3"/>
        <v>0</v>
      </c>
      <c r="L34" s="21">
        <v>0</v>
      </c>
      <c r="N34" s="98">
        <f t="shared" si="0"/>
        <v>0</v>
      </c>
      <c r="O34" s="98">
        <f t="shared" si="1"/>
        <v>0</v>
      </c>
    </row>
    <row r="35" spans="1:15" x14ac:dyDescent="0.25">
      <c r="A35" s="129" t="s">
        <v>28</v>
      </c>
      <c r="B35" s="128">
        <v>0</v>
      </c>
      <c r="C35" s="128">
        <v>0</v>
      </c>
      <c r="D35" s="128">
        <v>0</v>
      </c>
      <c r="E35" s="128">
        <v>0</v>
      </c>
      <c r="F35" s="128">
        <v>0</v>
      </c>
      <c r="G35" s="128">
        <v>0</v>
      </c>
      <c r="H35" s="128">
        <v>0</v>
      </c>
      <c r="I35" s="128">
        <v>0</v>
      </c>
      <c r="J35" s="128">
        <v>0</v>
      </c>
      <c r="K35" s="119">
        <f t="shared" si="3"/>
        <v>0</v>
      </c>
      <c r="L35" s="21">
        <v>0</v>
      </c>
      <c r="N35" s="98">
        <f t="shared" si="0"/>
        <v>0</v>
      </c>
      <c r="O35" s="98">
        <f t="shared" si="1"/>
        <v>0</v>
      </c>
    </row>
    <row r="36" spans="1:15" x14ac:dyDescent="0.25">
      <c r="A36" s="114" t="s">
        <v>29</v>
      </c>
      <c r="B36" s="128">
        <v>187.76</v>
      </c>
      <c r="C36" s="128">
        <v>261.55</v>
      </c>
      <c r="D36" s="128">
        <v>0</v>
      </c>
      <c r="E36" s="128">
        <v>0</v>
      </c>
      <c r="F36" s="128">
        <v>0</v>
      </c>
      <c r="G36" s="128">
        <v>0</v>
      </c>
      <c r="H36" s="128">
        <v>0</v>
      </c>
      <c r="I36" s="128">
        <v>0</v>
      </c>
      <c r="J36" s="128">
        <v>0</v>
      </c>
      <c r="K36" s="119">
        <f t="shared" si="3"/>
        <v>449.31</v>
      </c>
      <c r="L36" s="21">
        <v>0</v>
      </c>
      <c r="N36" s="98">
        <f t="shared" si="0"/>
        <v>449.31</v>
      </c>
      <c r="O36" s="98">
        <f t="shared" si="1"/>
        <v>0</v>
      </c>
    </row>
    <row r="37" spans="1:15" x14ac:dyDescent="0.25">
      <c r="A37" s="15" t="s">
        <v>276</v>
      </c>
      <c r="B37" s="128">
        <v>-426.95</v>
      </c>
      <c r="C37" s="128">
        <v>-1765.92</v>
      </c>
      <c r="D37" s="128">
        <v>0</v>
      </c>
      <c r="E37" s="128">
        <v>0</v>
      </c>
      <c r="F37" s="128">
        <v>0</v>
      </c>
      <c r="G37" s="128">
        <v>0</v>
      </c>
      <c r="H37" s="128">
        <v>0</v>
      </c>
      <c r="I37" s="128">
        <v>0</v>
      </c>
      <c r="J37" s="128">
        <v>0</v>
      </c>
      <c r="K37" s="119">
        <f t="shared" si="3"/>
        <v>-2192.87</v>
      </c>
      <c r="L37" s="21">
        <v>0</v>
      </c>
      <c r="N37" s="98">
        <f t="shared" si="0"/>
        <v>-2192.87</v>
      </c>
      <c r="O37" s="98">
        <f t="shared" si="1"/>
        <v>0</v>
      </c>
    </row>
    <row r="38" spans="1:15" x14ac:dyDescent="0.25">
      <c r="A38" s="114" t="s">
        <v>97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19">
        <f t="shared" si="3"/>
        <v>0</v>
      </c>
      <c r="L38" s="21">
        <v>0</v>
      </c>
      <c r="N38" s="98">
        <f t="shared" si="0"/>
        <v>0</v>
      </c>
      <c r="O38" s="98">
        <f t="shared" si="1"/>
        <v>0</v>
      </c>
    </row>
    <row r="39" spans="1:15" x14ac:dyDescent="0.25">
      <c r="A39" s="114" t="s">
        <v>114</v>
      </c>
      <c r="B39" s="128">
        <v>0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19">
        <f t="shared" si="3"/>
        <v>0</v>
      </c>
      <c r="L39" s="21">
        <v>0</v>
      </c>
      <c r="N39" s="98">
        <f t="shared" si="0"/>
        <v>0</v>
      </c>
      <c r="O39" s="98">
        <f t="shared" si="1"/>
        <v>0</v>
      </c>
    </row>
    <row r="40" spans="1:15" x14ac:dyDescent="0.25">
      <c r="A40" s="131" t="s">
        <v>31</v>
      </c>
      <c r="B40" s="132">
        <f t="shared" ref="B40:J40" si="4">SUM(B14:B39)</f>
        <v>-7876.8499999999995</v>
      </c>
      <c r="C40" s="132">
        <f t="shared" si="4"/>
        <v>-41702.239999999991</v>
      </c>
      <c r="D40" s="132">
        <f t="shared" si="4"/>
        <v>0</v>
      </c>
      <c r="E40" s="132">
        <f t="shared" si="4"/>
        <v>0</v>
      </c>
      <c r="F40" s="132">
        <f t="shared" si="4"/>
        <v>0</v>
      </c>
      <c r="G40" s="132">
        <f t="shared" si="4"/>
        <v>0</v>
      </c>
      <c r="H40" s="132">
        <f t="shared" si="4"/>
        <v>0</v>
      </c>
      <c r="I40" s="132">
        <f t="shared" si="4"/>
        <v>0</v>
      </c>
      <c r="J40" s="132">
        <f t="shared" si="4"/>
        <v>0</v>
      </c>
      <c r="K40" s="132">
        <f>SUM(K14:K39)</f>
        <v>-49579.090000000004</v>
      </c>
      <c r="L40" s="21">
        <v>0</v>
      </c>
      <c r="N40" s="98">
        <f t="shared" si="0"/>
        <v>-49579.089999999989</v>
      </c>
      <c r="O40" s="98">
        <f t="shared" si="1"/>
        <v>0</v>
      </c>
    </row>
    <row r="41" spans="1:15" x14ac:dyDescent="0.25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25"/>
      <c r="L41" s="159"/>
      <c r="N41" s="98">
        <f t="shared" si="0"/>
        <v>0</v>
      </c>
      <c r="O41" s="98">
        <f t="shared" si="1"/>
        <v>0</v>
      </c>
    </row>
    <row r="42" spans="1:15" x14ac:dyDescent="0.25">
      <c r="A42" s="135" t="s">
        <v>32</v>
      </c>
      <c r="B42" s="136">
        <f t="shared" ref="B42:J42" si="5">B11+B40</f>
        <v>-7876.8499999999995</v>
      </c>
      <c r="C42" s="136">
        <f t="shared" si="5"/>
        <v>-41702.239999999991</v>
      </c>
      <c r="D42" s="136">
        <f t="shared" si="5"/>
        <v>0</v>
      </c>
      <c r="E42" s="136">
        <f t="shared" si="5"/>
        <v>0</v>
      </c>
      <c r="F42" s="136">
        <f t="shared" si="5"/>
        <v>0</v>
      </c>
      <c r="G42" s="136">
        <f t="shared" si="5"/>
        <v>0</v>
      </c>
      <c r="H42" s="136">
        <f t="shared" si="5"/>
        <v>0</v>
      </c>
      <c r="I42" s="136">
        <f t="shared" si="5"/>
        <v>0</v>
      </c>
      <c r="J42" s="136">
        <f t="shared" si="5"/>
        <v>0</v>
      </c>
      <c r="K42" s="157">
        <f>SUM(B42:J42)</f>
        <v>-49579.089999999989</v>
      </c>
      <c r="L42" s="21">
        <v>0</v>
      </c>
      <c r="N42" s="98">
        <f t="shared" si="0"/>
        <v>-49579.089999999989</v>
      </c>
      <c r="O42" s="98">
        <f t="shared" si="1"/>
        <v>0</v>
      </c>
    </row>
    <row r="43" spans="1:15" x14ac:dyDescent="0.25">
      <c r="A43" s="13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62"/>
      <c r="N43" s="98">
        <f t="shared" si="0"/>
        <v>0</v>
      </c>
      <c r="O43" s="98">
        <f t="shared" si="1"/>
        <v>0</v>
      </c>
    </row>
    <row r="44" spans="1:15" x14ac:dyDescent="0.25">
      <c r="A44" s="126" t="s">
        <v>56</v>
      </c>
      <c r="B44" s="139">
        <f t="shared" ref="B44:J44" si="6">-B9*13.15%</f>
        <v>0</v>
      </c>
      <c r="C44" s="139">
        <f t="shared" si="6"/>
        <v>0</v>
      </c>
      <c r="D44" s="139">
        <f t="shared" si="6"/>
        <v>0</v>
      </c>
      <c r="E44" s="139">
        <f t="shared" si="6"/>
        <v>0</v>
      </c>
      <c r="F44" s="139">
        <f t="shared" si="6"/>
        <v>0</v>
      </c>
      <c r="G44" s="139">
        <f t="shared" si="6"/>
        <v>0</v>
      </c>
      <c r="H44" s="139">
        <f t="shared" si="6"/>
        <v>0</v>
      </c>
      <c r="I44" s="139">
        <f t="shared" si="6"/>
        <v>0</v>
      </c>
      <c r="J44" s="139">
        <f t="shared" si="6"/>
        <v>0</v>
      </c>
      <c r="K44" s="119">
        <f>SUM(B44:J44)</f>
        <v>0</v>
      </c>
      <c r="L44" s="21">
        <v>0</v>
      </c>
      <c r="N44" s="98">
        <f t="shared" si="0"/>
        <v>0</v>
      </c>
      <c r="O44" s="98">
        <f t="shared" si="1"/>
        <v>0</v>
      </c>
    </row>
    <row r="45" spans="1:15" x14ac:dyDescent="0.25">
      <c r="A45" s="137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62"/>
      <c r="N45" s="98">
        <f t="shared" si="0"/>
        <v>0</v>
      </c>
      <c r="O45" s="98">
        <f t="shared" si="1"/>
        <v>0</v>
      </c>
    </row>
    <row r="46" spans="1:15" x14ac:dyDescent="0.25">
      <c r="A46" s="126" t="s">
        <v>33</v>
      </c>
      <c r="B46" s="139">
        <f t="shared" ref="B46:J46" si="7">-B9*1.22%</f>
        <v>0</v>
      </c>
      <c r="C46" s="139">
        <f t="shared" si="7"/>
        <v>0</v>
      </c>
      <c r="D46" s="139">
        <f t="shared" si="7"/>
        <v>0</v>
      </c>
      <c r="E46" s="139">
        <f t="shared" si="7"/>
        <v>0</v>
      </c>
      <c r="F46" s="139">
        <f t="shared" si="7"/>
        <v>0</v>
      </c>
      <c r="G46" s="139">
        <f t="shared" si="7"/>
        <v>0</v>
      </c>
      <c r="H46" s="139">
        <f t="shared" si="7"/>
        <v>0</v>
      </c>
      <c r="I46" s="139">
        <f t="shared" si="7"/>
        <v>0</v>
      </c>
      <c r="J46" s="139">
        <f t="shared" si="7"/>
        <v>0</v>
      </c>
      <c r="K46" s="119">
        <f>SUM(B46:J46)</f>
        <v>0</v>
      </c>
      <c r="L46" s="21">
        <v>0</v>
      </c>
      <c r="N46" s="98">
        <f t="shared" si="0"/>
        <v>0</v>
      </c>
      <c r="O46" s="98">
        <f t="shared" si="1"/>
        <v>0</v>
      </c>
    </row>
    <row r="47" spans="1:15" x14ac:dyDescent="0.25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62"/>
      <c r="N47" s="98">
        <f t="shared" si="0"/>
        <v>0</v>
      </c>
      <c r="O47" s="98">
        <f t="shared" si="1"/>
        <v>0</v>
      </c>
    </row>
    <row r="48" spans="1:15" x14ac:dyDescent="0.25">
      <c r="A48" s="113" t="s">
        <v>57</v>
      </c>
      <c r="B48" s="142">
        <f t="shared" ref="B48:J48" si="8">B40*5.56%</f>
        <v>-437.95285999999993</v>
      </c>
      <c r="C48" s="142">
        <f t="shared" si="8"/>
        <v>-2318.6445439999993</v>
      </c>
      <c r="D48" s="142">
        <f t="shared" si="8"/>
        <v>0</v>
      </c>
      <c r="E48" s="142">
        <f t="shared" si="8"/>
        <v>0</v>
      </c>
      <c r="F48" s="142">
        <f t="shared" si="8"/>
        <v>0</v>
      </c>
      <c r="G48" s="142">
        <f t="shared" si="8"/>
        <v>0</v>
      </c>
      <c r="H48" s="142">
        <f t="shared" si="8"/>
        <v>0</v>
      </c>
      <c r="I48" s="142">
        <f t="shared" si="8"/>
        <v>0</v>
      </c>
      <c r="J48" s="142">
        <f t="shared" si="8"/>
        <v>0</v>
      </c>
      <c r="K48" s="119">
        <f>SUM(B48:J48)</f>
        <v>-2756.5974039999992</v>
      </c>
      <c r="L48" s="21">
        <v>0</v>
      </c>
      <c r="N48" s="98">
        <f t="shared" si="0"/>
        <v>-2756.5974039999992</v>
      </c>
      <c r="O48" s="98">
        <f t="shared" si="1"/>
        <v>0</v>
      </c>
    </row>
    <row r="49" spans="1:15" x14ac:dyDescent="0.2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62"/>
      <c r="N49" s="98">
        <f t="shared" si="0"/>
        <v>0</v>
      </c>
      <c r="O49" s="98">
        <f t="shared" si="1"/>
        <v>0</v>
      </c>
    </row>
    <row r="50" spans="1:15" x14ac:dyDescent="0.25">
      <c r="A50" s="113" t="s">
        <v>58</v>
      </c>
      <c r="B50" s="142">
        <f t="shared" ref="B50:J50" si="9">B40*0.01%</f>
        <v>-0.78768499999999997</v>
      </c>
      <c r="C50" s="142">
        <f t="shared" si="9"/>
        <v>-4.1702239999999993</v>
      </c>
      <c r="D50" s="142">
        <f t="shared" si="9"/>
        <v>0</v>
      </c>
      <c r="E50" s="142">
        <f t="shared" si="9"/>
        <v>0</v>
      </c>
      <c r="F50" s="142">
        <f t="shared" si="9"/>
        <v>0</v>
      </c>
      <c r="G50" s="142">
        <f t="shared" si="9"/>
        <v>0</v>
      </c>
      <c r="H50" s="142">
        <f t="shared" si="9"/>
        <v>0</v>
      </c>
      <c r="I50" s="142">
        <f t="shared" si="9"/>
        <v>0</v>
      </c>
      <c r="J50" s="142">
        <f t="shared" si="9"/>
        <v>0</v>
      </c>
      <c r="K50" s="119">
        <f>SUM(B50:J50)</f>
        <v>-4.957908999999999</v>
      </c>
      <c r="L50" s="21">
        <v>0</v>
      </c>
      <c r="N50" s="98">
        <f t="shared" si="0"/>
        <v>-4.957908999999999</v>
      </c>
      <c r="O50" s="98">
        <f t="shared" si="1"/>
        <v>0</v>
      </c>
    </row>
    <row r="51" spans="1:15" x14ac:dyDescent="0.25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62"/>
      <c r="N51" s="98">
        <f t="shared" si="0"/>
        <v>0</v>
      </c>
      <c r="O51" s="98">
        <f t="shared" si="1"/>
        <v>0</v>
      </c>
    </row>
    <row r="52" spans="1:15" x14ac:dyDescent="0.25">
      <c r="A52" s="135" t="s">
        <v>344</v>
      </c>
      <c r="B52" s="136">
        <f t="shared" ref="B52:J52" si="10">B42+B48+B50+B44+B46</f>
        <v>-8315.5905449999991</v>
      </c>
      <c r="C52" s="136">
        <f t="shared" si="10"/>
        <v>-44025.054767999995</v>
      </c>
      <c r="D52" s="136">
        <f t="shared" si="10"/>
        <v>0</v>
      </c>
      <c r="E52" s="136">
        <f t="shared" si="10"/>
        <v>0</v>
      </c>
      <c r="F52" s="136">
        <f t="shared" si="10"/>
        <v>0</v>
      </c>
      <c r="G52" s="136">
        <f t="shared" si="10"/>
        <v>0</v>
      </c>
      <c r="H52" s="136">
        <f t="shared" si="10"/>
        <v>0</v>
      </c>
      <c r="I52" s="136">
        <f t="shared" si="10"/>
        <v>0</v>
      </c>
      <c r="J52" s="136">
        <f t="shared" si="10"/>
        <v>0</v>
      </c>
      <c r="K52" s="157">
        <f>SUM(B52:J52)</f>
        <v>-52340.645312999994</v>
      </c>
      <c r="L52" s="21">
        <v>0</v>
      </c>
      <c r="N52" s="98">
        <f t="shared" si="0"/>
        <v>-52340.645312999994</v>
      </c>
      <c r="O52" s="98">
        <f t="shared" si="1"/>
        <v>0</v>
      </c>
    </row>
    <row r="53" spans="1:15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63"/>
    </row>
    <row r="54" spans="1:15" x14ac:dyDescent="0.25">
      <c r="A54" s="144" t="s">
        <v>35</v>
      </c>
      <c r="B54" s="13">
        <v>2</v>
      </c>
      <c r="C54" s="13">
        <v>7</v>
      </c>
      <c r="D54" s="13"/>
      <c r="E54" s="13"/>
      <c r="F54" s="13"/>
      <c r="G54" s="13"/>
      <c r="H54" s="13"/>
      <c r="I54" s="13"/>
      <c r="J54" s="13"/>
      <c r="K54" s="145"/>
      <c r="L54" s="163"/>
    </row>
    <row r="55" spans="1:15" x14ac:dyDescent="0.25">
      <c r="A55" s="80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53"/>
    </row>
    <row r="56" spans="1:15" x14ac:dyDescent="0.25">
      <c r="A56" s="146" t="s">
        <v>36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64">
        <v>46203</v>
      </c>
    </row>
    <row r="57" spans="1:15" x14ac:dyDescent="0.25">
      <c r="B57" s="98">
        <f t="shared" ref="B57:K57" si="11">B11+B40+B44+B46+B48+B50</f>
        <v>-8315.5905449999991</v>
      </c>
      <c r="C57" s="98">
        <f t="shared" si="11"/>
        <v>-44025.054767999995</v>
      </c>
      <c r="D57" s="98">
        <f t="shared" si="11"/>
        <v>0</v>
      </c>
      <c r="E57" s="98">
        <f t="shared" si="11"/>
        <v>0</v>
      </c>
      <c r="F57" s="98">
        <f t="shared" si="11"/>
        <v>0</v>
      </c>
      <c r="G57" s="98">
        <f t="shared" si="11"/>
        <v>0</v>
      </c>
      <c r="H57" s="98">
        <f t="shared" si="11"/>
        <v>0</v>
      </c>
      <c r="I57" s="98">
        <f t="shared" si="11"/>
        <v>0</v>
      </c>
      <c r="J57" s="98">
        <f t="shared" si="11"/>
        <v>0</v>
      </c>
      <c r="K57" s="98">
        <f t="shared" si="11"/>
        <v>-52340.645313000001</v>
      </c>
      <c r="L57" s="153"/>
    </row>
    <row r="58" spans="1:15" x14ac:dyDescent="0.25">
      <c r="L58" s="153"/>
    </row>
    <row r="59" spans="1:15" x14ac:dyDescent="0.25">
      <c r="B59" s="98">
        <f t="shared" ref="B59:K59" si="12">B57-B52</f>
        <v>0</v>
      </c>
      <c r="C59" s="98">
        <f t="shared" si="12"/>
        <v>0</v>
      </c>
      <c r="D59" s="98">
        <f t="shared" si="12"/>
        <v>0</v>
      </c>
      <c r="E59" s="98">
        <f t="shared" si="12"/>
        <v>0</v>
      </c>
      <c r="F59" s="98">
        <f t="shared" si="12"/>
        <v>0</v>
      </c>
      <c r="G59" s="98">
        <f t="shared" si="12"/>
        <v>0</v>
      </c>
      <c r="H59" s="98">
        <f t="shared" si="12"/>
        <v>0</v>
      </c>
      <c r="I59" s="98">
        <f t="shared" si="12"/>
        <v>0</v>
      </c>
      <c r="J59" s="98">
        <f t="shared" si="12"/>
        <v>0</v>
      </c>
      <c r="K59" s="98">
        <f t="shared" si="12"/>
        <v>0</v>
      </c>
      <c r="L59" s="153"/>
    </row>
    <row r="60" spans="1:15" x14ac:dyDescent="0.25">
      <c r="L60" s="153"/>
    </row>
  </sheetData>
  <mergeCells count="3">
    <mergeCell ref="A1:L1"/>
    <mergeCell ref="A3:L3"/>
    <mergeCell ref="A5:L5"/>
  </mergeCells>
  <printOptions horizontalCentered="1" verticalCentered="1"/>
  <pageMargins left="0.51181102362204722" right="0.51181102362204722" top="0.31496062992125984" bottom="0" header="0.19685039370078741" footer="0"/>
  <pageSetup paperSize="9" scale="71" orientation="landscape" r:id="rId1"/>
  <headerFooter>
    <oddHeader>&amp;L&amp;"-,Negrito"&amp;14                                                                                                                                            
&amp;C&amp;"-,Negrito"&amp;16BELA NOVA CONSTRUTORA LTDA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B050"/>
  </sheetPr>
  <dimension ref="A1:X63"/>
  <sheetViews>
    <sheetView topLeftCell="A10" zoomScale="85" zoomScaleNormal="85" workbookViewId="0">
      <pane xSplit="1" topLeftCell="B1" activePane="topRight" state="frozen"/>
      <selection activeCell="D33" sqref="D33"/>
      <selection pane="topRight" activeCell="K32" sqref="K32"/>
    </sheetView>
  </sheetViews>
  <sheetFormatPr defaultColWidth="9.140625" defaultRowHeight="12.75" x14ac:dyDescent="0.2"/>
  <cols>
    <col min="1" max="1" width="48.5703125" style="10" customWidth="1"/>
    <col min="2" max="3" width="16.140625" style="10" bestFit="1" customWidth="1"/>
    <col min="4" max="5" width="16.140625" style="10" customWidth="1"/>
    <col min="6" max="6" width="15.140625" style="10" customWidth="1"/>
    <col min="7" max="7" width="16.28515625" style="10" customWidth="1"/>
    <col min="8" max="8" width="16.85546875" style="10" customWidth="1"/>
    <col min="9" max="9" width="15.140625" style="10" bestFit="1" customWidth="1"/>
    <col min="10" max="10" width="15.7109375" style="10" customWidth="1"/>
    <col min="11" max="11" width="17.42578125" style="10" customWidth="1"/>
    <col min="12" max="12" width="14.7109375" style="10" hidden="1" customWidth="1"/>
    <col min="13" max="13" width="16.28515625" style="10" hidden="1" customWidth="1"/>
    <col min="14" max="14" width="16.140625" style="10" hidden="1" customWidth="1"/>
    <col min="15" max="15" width="14.7109375" style="10" hidden="1" customWidth="1"/>
    <col min="16" max="16" width="16.85546875" style="10" hidden="1" customWidth="1"/>
    <col min="17" max="17" width="16.7109375" style="10" hidden="1" customWidth="1"/>
    <col min="18" max="18" width="16.140625" style="10" bestFit="1" customWidth="1"/>
    <col min="19" max="19" width="11.140625" style="10" bestFit="1" customWidth="1"/>
    <col min="20" max="20" width="1.5703125" style="10" customWidth="1"/>
    <col min="21" max="21" width="14.85546875" style="10" bestFit="1" customWidth="1"/>
    <col min="22" max="23" width="9.140625" style="10"/>
    <col min="24" max="24" width="14.42578125" style="10" bestFit="1" customWidth="1"/>
    <col min="25" max="16384" width="9.140625" style="10"/>
  </cols>
  <sheetData>
    <row r="1" spans="1:24" ht="15.75" x14ac:dyDescent="0.25">
      <c r="A1" s="203" t="s">
        <v>151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</row>
    <row r="2" spans="1:24" ht="7.5" customHeight="1" x14ac:dyDescent="0.2"/>
    <row r="3" spans="1:24" ht="15.6" customHeight="1" x14ac:dyDescent="0.25">
      <c r="A3" s="209" t="s">
        <v>65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71"/>
      <c r="T3" s="71"/>
    </row>
    <row r="4" spans="1:24" ht="8.25" customHeight="1" x14ac:dyDescent="0.25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</row>
    <row r="5" spans="1:24" ht="15.6" customHeight="1" x14ac:dyDescent="0.25">
      <c r="A5" s="209" t="s">
        <v>80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71"/>
      <c r="T5" s="71"/>
    </row>
    <row r="6" spans="1:24" ht="6" customHeight="1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</row>
    <row r="7" spans="1:24" ht="15.6" customHeight="1" x14ac:dyDescent="0.25">
      <c r="A7" s="209" t="s">
        <v>67</v>
      </c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71"/>
      <c r="T7" s="71"/>
    </row>
    <row r="8" spans="1:24" ht="9.6" customHeight="1" x14ac:dyDescent="0.2"/>
    <row r="9" spans="1:24" ht="10.15" customHeight="1" x14ac:dyDescent="0.2"/>
    <row r="10" spans="1:24" ht="15" x14ac:dyDescent="0.2">
      <c r="A10" s="12"/>
      <c r="B10" s="60" t="s">
        <v>83</v>
      </c>
      <c r="C10" s="60" t="s">
        <v>122</v>
      </c>
      <c r="D10" s="60" t="s">
        <v>221</v>
      </c>
      <c r="E10" s="60" t="s">
        <v>303</v>
      </c>
      <c r="F10" s="60" t="s">
        <v>304</v>
      </c>
      <c r="G10" s="60" t="s">
        <v>305</v>
      </c>
      <c r="H10" s="60" t="s">
        <v>306</v>
      </c>
      <c r="I10" s="60" t="s">
        <v>307</v>
      </c>
      <c r="J10" s="60" t="s">
        <v>308</v>
      </c>
      <c r="K10" s="60" t="s">
        <v>309</v>
      </c>
      <c r="L10" s="60" t="s">
        <v>310</v>
      </c>
      <c r="M10" s="60" t="s">
        <v>311</v>
      </c>
      <c r="N10" s="60" t="s">
        <v>312</v>
      </c>
      <c r="O10" s="60" t="s">
        <v>313</v>
      </c>
      <c r="P10" s="60" t="s">
        <v>314</v>
      </c>
      <c r="Q10" s="60" t="s">
        <v>225</v>
      </c>
      <c r="R10" s="13" t="s">
        <v>1</v>
      </c>
      <c r="S10" s="14" t="s">
        <v>2</v>
      </c>
    </row>
    <row r="11" spans="1:24" ht="15" x14ac:dyDescent="0.2">
      <c r="A11" s="15" t="s">
        <v>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/>
      <c r="S11" s="18"/>
      <c r="T11" s="10" t="s">
        <v>143</v>
      </c>
      <c r="X11" s="104">
        <v>2025</v>
      </c>
    </row>
    <row r="12" spans="1:24" ht="15" x14ac:dyDescent="0.2">
      <c r="A12" s="15" t="s">
        <v>4</v>
      </c>
      <c r="B12" s="19">
        <v>0</v>
      </c>
      <c r="C12" s="19">
        <v>0</v>
      </c>
      <c r="D12" s="19">
        <v>209376.55</v>
      </c>
      <c r="E12" s="19">
        <v>443695.14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20">
        <f>SUM(B12:Q12)</f>
        <v>653071.68999999994</v>
      </c>
      <c r="S12" s="21">
        <v>1</v>
      </c>
      <c r="T12" s="10" t="s">
        <v>152</v>
      </c>
      <c r="U12" s="70">
        <f>SUM(B12:Q12)</f>
        <v>653071.68999999994</v>
      </c>
      <c r="V12" s="70">
        <f>U12-R12</f>
        <v>0</v>
      </c>
      <c r="X12" s="70">
        <f>R12-B12-C12-D12</f>
        <v>443695.13999999996</v>
      </c>
    </row>
    <row r="13" spans="1:24" ht="15" x14ac:dyDescent="0.2">
      <c r="A13" s="15" t="s">
        <v>5</v>
      </c>
      <c r="B13" s="22">
        <v>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0">
        <f>SUM(B13:Q13)</f>
        <v>0</v>
      </c>
      <c r="S13" s="21"/>
      <c r="U13" s="70">
        <f t="shared" ref="U13" si="0">SUM(B13:Q13)</f>
        <v>0</v>
      </c>
      <c r="V13" s="70">
        <f t="shared" ref="V13:V55" si="1">U13-R13</f>
        <v>0</v>
      </c>
      <c r="X13" s="70">
        <f t="shared" ref="X13:X55" si="2">R13-B13-C13-D13</f>
        <v>0</v>
      </c>
    </row>
    <row r="14" spans="1:24" ht="15" x14ac:dyDescent="0.2">
      <c r="A14" s="23" t="s">
        <v>6</v>
      </c>
      <c r="B14" s="24">
        <f>B12+B13</f>
        <v>0</v>
      </c>
      <c r="C14" s="67">
        <f t="shared" ref="C14:F14" si="3">C12+C13</f>
        <v>0</v>
      </c>
      <c r="D14" s="67">
        <f t="shared" si="3"/>
        <v>209376.55</v>
      </c>
      <c r="E14" s="67">
        <f t="shared" si="3"/>
        <v>443695.14</v>
      </c>
      <c r="F14" s="67">
        <f t="shared" si="3"/>
        <v>0</v>
      </c>
      <c r="G14" s="67">
        <f t="shared" ref="G14:Q14" si="4">G12+G13</f>
        <v>0</v>
      </c>
      <c r="H14" s="67">
        <f t="shared" si="4"/>
        <v>0</v>
      </c>
      <c r="I14" s="67">
        <f t="shared" si="4"/>
        <v>0</v>
      </c>
      <c r="J14" s="67">
        <f t="shared" si="4"/>
        <v>0</v>
      </c>
      <c r="K14" s="67">
        <f t="shared" si="4"/>
        <v>0</v>
      </c>
      <c r="L14" s="67">
        <f t="shared" si="4"/>
        <v>0</v>
      </c>
      <c r="M14" s="67">
        <f t="shared" si="4"/>
        <v>0</v>
      </c>
      <c r="N14" s="67">
        <f t="shared" si="4"/>
        <v>0</v>
      </c>
      <c r="O14" s="67">
        <f t="shared" si="4"/>
        <v>0</v>
      </c>
      <c r="P14" s="67">
        <f t="shared" si="4"/>
        <v>0</v>
      </c>
      <c r="Q14" s="67">
        <f t="shared" si="4"/>
        <v>0</v>
      </c>
      <c r="R14" s="24">
        <f>SUM(R12:R13)</f>
        <v>653071.68999999994</v>
      </c>
      <c r="S14" s="21">
        <v>1</v>
      </c>
      <c r="U14" s="70">
        <f>SUM(B14:Q14)</f>
        <v>653071.68999999994</v>
      </c>
      <c r="V14" s="70">
        <f t="shared" si="1"/>
        <v>0</v>
      </c>
      <c r="X14" s="70">
        <f t="shared" si="2"/>
        <v>443695.13999999996</v>
      </c>
    </row>
    <row r="15" spans="1:24" ht="15" x14ac:dyDescent="0.2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7"/>
      <c r="S15" s="28"/>
      <c r="U15" s="70"/>
      <c r="V15" s="70">
        <f t="shared" si="1"/>
        <v>0</v>
      </c>
      <c r="X15" s="70">
        <f t="shared" si="2"/>
        <v>0</v>
      </c>
    </row>
    <row r="16" spans="1:24" ht="15" x14ac:dyDescent="0.2">
      <c r="A16" s="29" t="s">
        <v>7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30"/>
      <c r="S16" s="31"/>
      <c r="U16" s="70"/>
      <c r="V16" s="70">
        <f t="shared" si="1"/>
        <v>0</v>
      </c>
      <c r="X16" s="70">
        <f t="shared" si="2"/>
        <v>0</v>
      </c>
    </row>
    <row r="17" spans="1:24" ht="15" x14ac:dyDescent="0.2">
      <c r="A17" s="15" t="s">
        <v>8</v>
      </c>
      <c r="B17" s="32">
        <v>0</v>
      </c>
      <c r="C17" s="32">
        <f>-1559.6-B17</f>
        <v>-1559.6</v>
      </c>
      <c r="D17" s="32">
        <v>-1365.7</v>
      </c>
      <c r="E17" s="32">
        <v>-2292.4299999999998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20">
        <f>SUM(B17:Q17)</f>
        <v>-5217.7299999999996</v>
      </c>
      <c r="S17" s="21">
        <f>-R17/$R$14</f>
        <v>7.9895210279288028E-3</v>
      </c>
      <c r="T17" s="10" t="s">
        <v>144</v>
      </c>
      <c r="U17" s="70">
        <f>SUM(B17:Q17)</f>
        <v>-5217.7299999999996</v>
      </c>
      <c r="V17" s="70">
        <f t="shared" si="1"/>
        <v>0</v>
      </c>
      <c r="X17" s="70">
        <f t="shared" si="2"/>
        <v>-2292.4299999999994</v>
      </c>
    </row>
    <row r="18" spans="1:24" ht="15" x14ac:dyDescent="0.2">
      <c r="A18" s="33" t="s">
        <v>9</v>
      </c>
      <c r="B18" s="32">
        <v>-153.84</v>
      </c>
      <c r="C18" s="32">
        <f>-153.84-B18</f>
        <v>0</v>
      </c>
      <c r="D18" s="32">
        <v>0</v>
      </c>
      <c r="E18" s="32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20">
        <f t="shared" ref="R18:R42" si="5">SUM(B18:Q18)</f>
        <v>-153.84</v>
      </c>
      <c r="S18" s="21">
        <f t="shared" ref="S18:S53" si="6">-R18/$R$14</f>
        <v>2.3556372501769296E-4</v>
      </c>
      <c r="U18" s="70">
        <f t="shared" ref="U18:U54" si="7">SUM(B18:Q18)</f>
        <v>-153.84</v>
      </c>
      <c r="V18" s="70">
        <f t="shared" si="1"/>
        <v>0</v>
      </c>
      <c r="X18" s="70">
        <f t="shared" si="2"/>
        <v>0</v>
      </c>
    </row>
    <row r="19" spans="1:24" ht="15" x14ac:dyDescent="0.2">
      <c r="A19" s="15" t="s">
        <v>10</v>
      </c>
      <c r="B19" s="32">
        <v>0</v>
      </c>
      <c r="C19" s="32">
        <f>-1984.67-B19</f>
        <v>-1984.67</v>
      </c>
      <c r="D19" s="32">
        <v>-2343</v>
      </c>
      <c r="E19" s="32">
        <v>-114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20">
        <f t="shared" si="5"/>
        <v>-4441.67</v>
      </c>
      <c r="S19" s="21">
        <f t="shared" si="6"/>
        <v>6.8011981961735328E-3</v>
      </c>
      <c r="U19" s="70">
        <f t="shared" si="7"/>
        <v>-4441.67</v>
      </c>
      <c r="V19" s="70">
        <f t="shared" si="1"/>
        <v>0</v>
      </c>
      <c r="X19" s="70">
        <f t="shared" si="2"/>
        <v>-114</v>
      </c>
    </row>
    <row r="20" spans="1:24" ht="15" x14ac:dyDescent="0.2">
      <c r="A20" s="33" t="s">
        <v>11</v>
      </c>
      <c r="B20" s="32">
        <v>0</v>
      </c>
      <c r="C20" s="32">
        <v>0</v>
      </c>
      <c r="D20" s="32">
        <v>-41281.17</v>
      </c>
      <c r="E20" s="32">
        <v>-85005.88</v>
      </c>
      <c r="F20" s="76">
        <v>-3462.04</v>
      </c>
      <c r="G20" s="76">
        <v>-10842.38</v>
      </c>
      <c r="H20" s="76">
        <v>-5051.82</v>
      </c>
      <c r="I20" s="76">
        <v>-14316.51</v>
      </c>
      <c r="J20" s="76">
        <v>-4942.82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20">
        <f t="shared" si="5"/>
        <v>-164902.62000000002</v>
      </c>
      <c r="S20" s="21">
        <f t="shared" si="6"/>
        <v>0.25250309043406866</v>
      </c>
      <c r="U20" s="70">
        <f t="shared" si="7"/>
        <v>-164902.62000000002</v>
      </c>
      <c r="V20" s="70">
        <f t="shared" si="1"/>
        <v>0</v>
      </c>
      <c r="X20" s="70">
        <f t="shared" si="2"/>
        <v>-123621.45000000003</v>
      </c>
    </row>
    <row r="21" spans="1:24" ht="15" x14ac:dyDescent="0.2">
      <c r="A21" s="15" t="s">
        <v>12</v>
      </c>
      <c r="B21" s="32">
        <v>0</v>
      </c>
      <c r="C21" s="32">
        <v>0</v>
      </c>
      <c r="D21" s="32">
        <v>0</v>
      </c>
      <c r="E21" s="32">
        <v>-2867.35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20">
        <f t="shared" si="5"/>
        <v>-2867.35</v>
      </c>
      <c r="S21" s="21">
        <f t="shared" si="6"/>
        <v>4.3905593274147286E-3</v>
      </c>
      <c r="U21" s="70">
        <f t="shared" si="7"/>
        <v>-2867.35</v>
      </c>
      <c r="V21" s="70">
        <f t="shared" si="1"/>
        <v>0</v>
      </c>
      <c r="X21" s="70">
        <f t="shared" si="2"/>
        <v>-2867.35</v>
      </c>
    </row>
    <row r="22" spans="1:24" ht="15" x14ac:dyDescent="0.2">
      <c r="A22" s="15" t="s">
        <v>13</v>
      </c>
      <c r="B22" s="32">
        <v>0</v>
      </c>
      <c r="C22" s="32">
        <v>0</v>
      </c>
      <c r="D22" s="32">
        <v>0</v>
      </c>
      <c r="E22" s="32">
        <v>-1681.61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20">
        <f t="shared" si="5"/>
        <v>-1681.61</v>
      </c>
      <c r="S22" s="21">
        <f t="shared" si="6"/>
        <v>2.5749240485374585E-3</v>
      </c>
      <c r="U22" s="70">
        <f t="shared" si="7"/>
        <v>-1681.61</v>
      </c>
      <c r="V22" s="70">
        <f t="shared" si="1"/>
        <v>0</v>
      </c>
      <c r="X22" s="70">
        <f t="shared" si="2"/>
        <v>-1681.61</v>
      </c>
    </row>
    <row r="23" spans="1:24" ht="15" x14ac:dyDescent="0.2">
      <c r="A23" s="15" t="s">
        <v>14</v>
      </c>
      <c r="B23" s="32">
        <v>0</v>
      </c>
      <c r="C23" s="32">
        <v>0</v>
      </c>
      <c r="D23" s="32">
        <v>0</v>
      </c>
      <c r="E23" s="32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20">
        <f t="shared" si="5"/>
        <v>0</v>
      </c>
      <c r="S23" s="21">
        <f t="shared" si="6"/>
        <v>0</v>
      </c>
      <c r="U23" s="70">
        <f t="shared" si="7"/>
        <v>0</v>
      </c>
      <c r="V23" s="70">
        <f t="shared" si="1"/>
        <v>0</v>
      </c>
      <c r="X23" s="70">
        <f t="shared" si="2"/>
        <v>0</v>
      </c>
    </row>
    <row r="24" spans="1:24" ht="15" x14ac:dyDescent="0.2">
      <c r="A24" s="15" t="s">
        <v>15</v>
      </c>
      <c r="B24" s="32">
        <v>0</v>
      </c>
      <c r="C24" s="32">
        <v>0</v>
      </c>
      <c r="D24" s="32">
        <v>0</v>
      </c>
      <c r="E24" s="32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20">
        <f t="shared" si="5"/>
        <v>0</v>
      </c>
      <c r="S24" s="21">
        <f t="shared" si="6"/>
        <v>0</v>
      </c>
      <c r="U24" s="70">
        <f t="shared" si="7"/>
        <v>0</v>
      </c>
      <c r="V24" s="70">
        <f t="shared" si="1"/>
        <v>0</v>
      </c>
      <c r="X24" s="70">
        <f t="shared" si="2"/>
        <v>0</v>
      </c>
    </row>
    <row r="25" spans="1:24" ht="15" x14ac:dyDescent="0.2">
      <c r="A25" s="15" t="s">
        <v>16</v>
      </c>
      <c r="B25" s="32">
        <v>0</v>
      </c>
      <c r="C25" s="32">
        <v>0</v>
      </c>
      <c r="D25" s="32">
        <v>0</v>
      </c>
      <c r="E25" s="32">
        <v>-6775.82</v>
      </c>
      <c r="F25" s="76">
        <v>0</v>
      </c>
      <c r="G25" s="76">
        <v>-292.3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20">
        <f t="shared" si="5"/>
        <v>-7068.12</v>
      </c>
      <c r="S25" s="21">
        <f t="shared" si="6"/>
        <v>1.0822885309880759E-2</v>
      </c>
      <c r="U25" s="70">
        <f t="shared" si="7"/>
        <v>-7068.12</v>
      </c>
      <c r="V25" s="70">
        <f t="shared" si="1"/>
        <v>0</v>
      </c>
      <c r="X25" s="70">
        <f t="shared" si="2"/>
        <v>-7068.12</v>
      </c>
    </row>
    <row r="26" spans="1:24" ht="15" x14ac:dyDescent="0.2">
      <c r="A26" s="15" t="s">
        <v>17</v>
      </c>
      <c r="B26" s="32">
        <v>0</v>
      </c>
      <c r="C26" s="32">
        <v>0</v>
      </c>
      <c r="D26" s="32">
        <v>0</v>
      </c>
      <c r="E26" s="32">
        <v>-1566.47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20">
        <f t="shared" si="5"/>
        <v>-1566.47</v>
      </c>
      <c r="S26" s="21">
        <f t="shared" si="6"/>
        <v>2.3986187488849809E-3</v>
      </c>
      <c r="U26" s="70">
        <f t="shared" si="7"/>
        <v>-1566.47</v>
      </c>
      <c r="V26" s="70">
        <f t="shared" si="1"/>
        <v>0</v>
      </c>
      <c r="X26" s="70">
        <f t="shared" si="2"/>
        <v>-1566.47</v>
      </c>
    </row>
    <row r="27" spans="1:24" ht="15" x14ac:dyDescent="0.2">
      <c r="A27" s="15" t="s">
        <v>18</v>
      </c>
      <c r="B27" s="32">
        <v>-531.24</v>
      </c>
      <c r="C27" s="32">
        <f>-531.24-B27</f>
        <v>0</v>
      </c>
      <c r="D27" s="32">
        <v>-1000</v>
      </c>
      <c r="E27" s="32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20">
        <f t="shared" si="5"/>
        <v>-1531.24</v>
      </c>
      <c r="S27" s="21">
        <f t="shared" si="6"/>
        <v>2.3446736758716336E-3</v>
      </c>
      <c r="U27" s="70">
        <f t="shared" si="7"/>
        <v>-1531.24</v>
      </c>
      <c r="V27" s="70">
        <f t="shared" si="1"/>
        <v>0</v>
      </c>
      <c r="X27" s="70">
        <f t="shared" si="2"/>
        <v>0</v>
      </c>
    </row>
    <row r="28" spans="1:24" ht="15" x14ac:dyDescent="0.2">
      <c r="A28" s="15" t="s">
        <v>19</v>
      </c>
      <c r="B28" s="32">
        <v>0</v>
      </c>
      <c r="C28" s="32">
        <f>-90000-B28</f>
        <v>-90000</v>
      </c>
      <c r="D28" s="32">
        <v>0</v>
      </c>
      <c r="E28" s="32">
        <v>-360.8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20">
        <f t="shared" si="5"/>
        <v>-90360.8</v>
      </c>
      <c r="S28" s="21">
        <f t="shared" si="6"/>
        <v>0.13836275769356962</v>
      </c>
      <c r="U28" s="70">
        <f t="shared" si="7"/>
        <v>-90360.8</v>
      </c>
      <c r="V28" s="70">
        <f t="shared" si="1"/>
        <v>0</v>
      </c>
      <c r="X28" s="70">
        <f t="shared" si="2"/>
        <v>-360.80000000000291</v>
      </c>
    </row>
    <row r="29" spans="1:24" ht="15" x14ac:dyDescent="0.2">
      <c r="A29" s="15" t="s">
        <v>20</v>
      </c>
      <c r="B29" s="32">
        <v>0</v>
      </c>
      <c r="C29" s="32">
        <v>0</v>
      </c>
      <c r="D29" s="32">
        <v>-840</v>
      </c>
      <c r="E29" s="32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20">
        <f t="shared" si="5"/>
        <v>-840</v>
      </c>
      <c r="S29" s="21">
        <f t="shared" si="6"/>
        <v>1.2862293877721144E-3</v>
      </c>
      <c r="U29" s="70">
        <f t="shared" si="7"/>
        <v>-840</v>
      </c>
      <c r="V29" s="70">
        <f t="shared" si="1"/>
        <v>0</v>
      </c>
      <c r="X29" s="70">
        <f t="shared" si="2"/>
        <v>0</v>
      </c>
    </row>
    <row r="30" spans="1:24" ht="15" x14ac:dyDescent="0.2">
      <c r="A30" s="15" t="s">
        <v>59</v>
      </c>
      <c r="B30" s="32">
        <v>0</v>
      </c>
      <c r="C30" s="32">
        <v>0</v>
      </c>
      <c r="D30" s="32">
        <v>0</v>
      </c>
      <c r="E30" s="32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20">
        <f t="shared" si="5"/>
        <v>0</v>
      </c>
      <c r="S30" s="21">
        <f t="shared" si="6"/>
        <v>0</v>
      </c>
      <c r="U30" s="70">
        <f t="shared" si="7"/>
        <v>0</v>
      </c>
      <c r="V30" s="70">
        <f t="shared" si="1"/>
        <v>0</v>
      </c>
      <c r="X30" s="70">
        <f t="shared" si="2"/>
        <v>0</v>
      </c>
    </row>
    <row r="31" spans="1:24" ht="15" x14ac:dyDescent="0.2">
      <c r="A31" s="15" t="s">
        <v>21</v>
      </c>
      <c r="B31" s="32">
        <v>-420.27</v>
      </c>
      <c r="C31" s="32">
        <f>-995.1-B31</f>
        <v>-574.83000000000004</v>
      </c>
      <c r="D31" s="32">
        <v>-825</v>
      </c>
      <c r="E31" s="32">
        <v>-4960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-3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20">
        <f t="shared" si="5"/>
        <v>-6783.1</v>
      </c>
      <c r="S31" s="21">
        <f t="shared" si="6"/>
        <v>1.0386455428805988E-2</v>
      </c>
      <c r="U31" s="70">
        <f t="shared" si="7"/>
        <v>-6783.1</v>
      </c>
      <c r="V31" s="70">
        <f t="shared" si="1"/>
        <v>0</v>
      </c>
      <c r="X31" s="70">
        <f t="shared" si="2"/>
        <v>-4963</v>
      </c>
    </row>
    <row r="32" spans="1:24" ht="15" x14ac:dyDescent="0.2">
      <c r="A32" s="15" t="s">
        <v>22</v>
      </c>
      <c r="B32" s="32">
        <v>0</v>
      </c>
      <c r="C32" s="32">
        <v>0</v>
      </c>
      <c r="D32" s="32">
        <v>0</v>
      </c>
      <c r="E32" s="32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20">
        <f t="shared" si="5"/>
        <v>0</v>
      </c>
      <c r="S32" s="21">
        <f t="shared" si="6"/>
        <v>0</v>
      </c>
      <c r="U32" s="70">
        <f t="shared" si="7"/>
        <v>0</v>
      </c>
      <c r="V32" s="70">
        <f t="shared" si="1"/>
        <v>0</v>
      </c>
      <c r="X32" s="70">
        <f t="shared" si="2"/>
        <v>0</v>
      </c>
    </row>
    <row r="33" spans="1:24" ht="15" x14ac:dyDescent="0.2">
      <c r="A33" s="33" t="s">
        <v>23</v>
      </c>
      <c r="B33" s="32">
        <v>0</v>
      </c>
      <c r="C33" s="32">
        <v>0</v>
      </c>
      <c r="D33" s="32">
        <v>-31831.72</v>
      </c>
      <c r="E33" s="32">
        <v>-56734.18</v>
      </c>
      <c r="F33" s="76">
        <v>-6468.96</v>
      </c>
      <c r="G33" s="76">
        <v>-666.93</v>
      </c>
      <c r="H33" s="76">
        <v>-5226.6499999999996</v>
      </c>
      <c r="I33" s="76">
        <v>-2812.46</v>
      </c>
      <c r="J33" s="76">
        <v>-9636.61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20">
        <f t="shared" si="5"/>
        <v>-113377.51</v>
      </c>
      <c r="S33" s="21">
        <f t="shared" si="6"/>
        <v>0.1736065300886033</v>
      </c>
      <c r="U33" s="70">
        <f t="shared" si="7"/>
        <v>-113377.51</v>
      </c>
      <c r="V33" s="70">
        <f t="shared" si="1"/>
        <v>0</v>
      </c>
      <c r="X33" s="70">
        <f t="shared" si="2"/>
        <v>-81545.789999999994</v>
      </c>
    </row>
    <row r="34" spans="1:24" ht="15" x14ac:dyDescent="0.2">
      <c r="A34" s="15" t="s">
        <v>24</v>
      </c>
      <c r="B34" s="32">
        <v>0</v>
      </c>
      <c r="C34" s="32">
        <v>0</v>
      </c>
      <c r="D34" s="32">
        <v>0</v>
      </c>
      <c r="E34" s="32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20">
        <f t="shared" si="5"/>
        <v>0</v>
      </c>
      <c r="S34" s="21">
        <f t="shared" si="6"/>
        <v>0</v>
      </c>
      <c r="U34" s="70">
        <f t="shared" si="7"/>
        <v>0</v>
      </c>
      <c r="V34" s="70">
        <f t="shared" si="1"/>
        <v>0</v>
      </c>
      <c r="X34" s="70">
        <f t="shared" si="2"/>
        <v>0</v>
      </c>
    </row>
    <row r="35" spans="1:24" ht="15" x14ac:dyDescent="0.2">
      <c r="A35" s="34" t="s">
        <v>25</v>
      </c>
      <c r="B35" s="32">
        <v>0</v>
      </c>
      <c r="C35" s="32">
        <v>0</v>
      </c>
      <c r="D35" s="32">
        <v>0</v>
      </c>
      <c r="E35" s="32">
        <v>-5862.68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20">
        <f t="shared" si="5"/>
        <v>-5862.68</v>
      </c>
      <c r="S35" s="21">
        <f t="shared" si="6"/>
        <v>8.9770848894093098E-3</v>
      </c>
      <c r="U35" s="70">
        <f t="shared" si="7"/>
        <v>-5862.68</v>
      </c>
      <c r="V35" s="70">
        <f t="shared" si="1"/>
        <v>0</v>
      </c>
      <c r="X35" s="70">
        <f t="shared" si="2"/>
        <v>-5862.68</v>
      </c>
    </row>
    <row r="36" spans="1:24" ht="15" x14ac:dyDescent="0.2">
      <c r="A36" s="15" t="s">
        <v>26</v>
      </c>
      <c r="B36" s="32">
        <v>-655.5</v>
      </c>
      <c r="C36" s="32">
        <f>-800.94-B36</f>
        <v>-145.44000000000005</v>
      </c>
      <c r="D36" s="32">
        <v>-6232.5</v>
      </c>
      <c r="E36" s="32">
        <v>-347.23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20">
        <f t="shared" si="5"/>
        <v>-7380.67</v>
      </c>
      <c r="S36" s="21">
        <f t="shared" si="6"/>
        <v>1.1301469827914299E-2</v>
      </c>
      <c r="U36" s="70">
        <f t="shared" si="7"/>
        <v>-7380.67</v>
      </c>
      <c r="V36" s="70">
        <f t="shared" si="1"/>
        <v>0</v>
      </c>
      <c r="X36" s="70">
        <f t="shared" si="2"/>
        <v>-347.22999999999956</v>
      </c>
    </row>
    <row r="37" spans="1:24" ht="15" x14ac:dyDescent="0.2">
      <c r="A37" s="15" t="s">
        <v>27</v>
      </c>
      <c r="B37" s="32">
        <v>0</v>
      </c>
      <c r="C37" s="32">
        <v>0</v>
      </c>
      <c r="D37" s="32">
        <v>0</v>
      </c>
      <c r="E37" s="32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20">
        <f t="shared" si="5"/>
        <v>0</v>
      </c>
      <c r="S37" s="21">
        <f t="shared" si="6"/>
        <v>0</v>
      </c>
      <c r="U37" s="70">
        <f t="shared" si="7"/>
        <v>0</v>
      </c>
      <c r="V37" s="70">
        <f t="shared" si="1"/>
        <v>0</v>
      </c>
      <c r="X37" s="70">
        <f t="shared" si="2"/>
        <v>0</v>
      </c>
    </row>
    <row r="38" spans="1:24" ht="15" x14ac:dyDescent="0.2">
      <c r="A38" s="33" t="s">
        <v>28</v>
      </c>
      <c r="B38" s="32">
        <v>0</v>
      </c>
      <c r="C38" s="32">
        <f>-20.76-B38</f>
        <v>-20.76</v>
      </c>
      <c r="D38" s="32">
        <v>0</v>
      </c>
      <c r="E38" s="32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20">
        <f t="shared" si="5"/>
        <v>-20.76</v>
      </c>
      <c r="S38" s="21">
        <f t="shared" si="6"/>
        <v>3.1788240583510831E-5</v>
      </c>
      <c r="U38" s="70">
        <f t="shared" si="7"/>
        <v>-20.76</v>
      </c>
      <c r="V38" s="70">
        <f t="shared" si="1"/>
        <v>0</v>
      </c>
      <c r="X38" s="70">
        <f t="shared" si="2"/>
        <v>0</v>
      </c>
    </row>
    <row r="39" spans="1:24" ht="15" x14ac:dyDescent="0.2">
      <c r="A39" s="15" t="s">
        <v>29</v>
      </c>
      <c r="B39" s="32">
        <v>0</v>
      </c>
      <c r="C39" s="32">
        <v>0</v>
      </c>
      <c r="D39" s="32">
        <v>-360.8</v>
      </c>
      <c r="E39" s="32">
        <v>180.07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20">
        <f t="shared" si="5"/>
        <v>-180.73000000000002</v>
      </c>
      <c r="S39" s="21">
        <f t="shared" si="6"/>
        <v>2.7673837768101695E-4</v>
      </c>
      <c r="U39" s="70">
        <f t="shared" si="7"/>
        <v>-180.73000000000002</v>
      </c>
      <c r="V39" s="70">
        <f t="shared" si="1"/>
        <v>0</v>
      </c>
      <c r="X39" s="70">
        <f t="shared" si="2"/>
        <v>180.07</v>
      </c>
    </row>
    <row r="40" spans="1:24" ht="15" x14ac:dyDescent="0.2">
      <c r="A40" s="15" t="s">
        <v>276</v>
      </c>
      <c r="B40" s="32">
        <v>0</v>
      </c>
      <c r="C40" s="32">
        <v>0</v>
      </c>
      <c r="D40" s="32">
        <v>0</v>
      </c>
      <c r="E40" s="32">
        <v>-779.82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20">
        <f t="shared" si="5"/>
        <v>-779.82</v>
      </c>
      <c r="S40" s="21">
        <f t="shared" si="6"/>
        <v>1.1940802394910122E-3</v>
      </c>
      <c r="U40" s="70">
        <f t="shared" si="7"/>
        <v>-779.82</v>
      </c>
      <c r="V40" s="70">
        <f t="shared" si="1"/>
        <v>0</v>
      </c>
      <c r="X40" s="70">
        <f t="shared" si="2"/>
        <v>-779.82</v>
      </c>
    </row>
    <row r="41" spans="1:24" ht="15" x14ac:dyDescent="0.2">
      <c r="A41" s="15" t="s">
        <v>97</v>
      </c>
      <c r="B41" s="32">
        <v>0</v>
      </c>
      <c r="C41" s="32">
        <v>0</v>
      </c>
      <c r="D41" s="32">
        <v>0</v>
      </c>
      <c r="E41" s="32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20">
        <f t="shared" si="5"/>
        <v>0</v>
      </c>
      <c r="S41" s="21">
        <f t="shared" si="6"/>
        <v>0</v>
      </c>
      <c r="U41" s="70">
        <f t="shared" si="7"/>
        <v>0</v>
      </c>
      <c r="V41" s="70">
        <f t="shared" si="1"/>
        <v>0</v>
      </c>
      <c r="X41" s="70">
        <f t="shared" si="2"/>
        <v>0</v>
      </c>
    </row>
    <row r="42" spans="1:24" ht="15" x14ac:dyDescent="0.2">
      <c r="A42" s="15" t="s">
        <v>114</v>
      </c>
      <c r="B42" s="32">
        <v>0</v>
      </c>
      <c r="C42" s="32">
        <v>0</v>
      </c>
      <c r="D42" s="32">
        <v>0</v>
      </c>
      <c r="E42" s="32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20">
        <f t="shared" si="5"/>
        <v>0</v>
      </c>
      <c r="S42" s="21">
        <f t="shared" si="6"/>
        <v>0</v>
      </c>
      <c r="U42" s="70">
        <f t="shared" si="7"/>
        <v>0</v>
      </c>
      <c r="V42" s="70">
        <f t="shared" si="1"/>
        <v>0</v>
      </c>
      <c r="X42" s="70">
        <f t="shared" si="2"/>
        <v>0</v>
      </c>
    </row>
    <row r="43" spans="1:24" ht="15" x14ac:dyDescent="0.2">
      <c r="A43" s="35" t="s">
        <v>31</v>
      </c>
      <c r="B43" s="36">
        <f>SUM(B17:B42)</f>
        <v>-1760.85</v>
      </c>
      <c r="C43" s="36">
        <f>SUM(C17:C42)</f>
        <v>-94285.3</v>
      </c>
      <c r="D43" s="36">
        <f>SUM(D17:D42)</f>
        <v>-86079.89</v>
      </c>
      <c r="E43" s="36">
        <f>SUM(E17:E42)</f>
        <v>-169168.2</v>
      </c>
      <c r="F43" s="36">
        <f>SUM(F17:F42)</f>
        <v>-9931</v>
      </c>
      <c r="G43" s="36">
        <f t="shared" ref="G43:P43" si="8">SUM(G17:G42)</f>
        <v>-11801.609999999999</v>
      </c>
      <c r="H43" s="36">
        <f>SUM(H17:H42)</f>
        <v>-10278.469999999999</v>
      </c>
      <c r="I43" s="36">
        <f t="shared" si="8"/>
        <v>-17128.97</v>
      </c>
      <c r="J43" s="36">
        <f t="shared" si="8"/>
        <v>-14579.43</v>
      </c>
      <c r="K43" s="36">
        <f t="shared" si="8"/>
        <v>-3</v>
      </c>
      <c r="L43" s="36">
        <f t="shared" si="8"/>
        <v>0</v>
      </c>
      <c r="M43" s="36">
        <f>SUM(M17:M42)</f>
        <v>0</v>
      </c>
      <c r="N43" s="36">
        <f t="shared" si="8"/>
        <v>0</v>
      </c>
      <c r="O43" s="36">
        <f t="shared" si="8"/>
        <v>0</v>
      </c>
      <c r="P43" s="36">
        <f t="shared" si="8"/>
        <v>0</v>
      </c>
      <c r="Q43" s="36">
        <f>SUM(Q17:Q42)</f>
        <v>0</v>
      </c>
      <c r="R43" s="36">
        <f>SUM(R17:R42)</f>
        <v>-415016.72</v>
      </c>
      <c r="S43" s="21">
        <f t="shared" si="6"/>
        <v>0.63548416866760826</v>
      </c>
      <c r="U43" s="70">
        <f>SUM(B43:Q43)</f>
        <v>-415016.71999999991</v>
      </c>
      <c r="V43" s="70">
        <f t="shared" si="1"/>
        <v>0</v>
      </c>
      <c r="X43" s="70">
        <f t="shared" si="2"/>
        <v>-232890.68</v>
      </c>
    </row>
    <row r="44" spans="1:24" ht="15" x14ac:dyDescent="0.2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27"/>
      <c r="S44" s="18"/>
      <c r="U44" s="70">
        <f t="shared" si="7"/>
        <v>0</v>
      </c>
      <c r="V44" s="70">
        <f t="shared" si="1"/>
        <v>0</v>
      </c>
      <c r="X44" s="70">
        <f t="shared" si="2"/>
        <v>0</v>
      </c>
    </row>
    <row r="45" spans="1:24" ht="15" x14ac:dyDescent="0.2">
      <c r="A45" s="39" t="s">
        <v>32</v>
      </c>
      <c r="B45" s="58">
        <f t="shared" ref="B45" si="9">B14+B43</f>
        <v>-1760.85</v>
      </c>
      <c r="C45" s="58">
        <f t="shared" ref="C45:Q45" si="10">C14+C43</f>
        <v>-94285.3</v>
      </c>
      <c r="D45" s="40">
        <f t="shared" ref="D45:E45" si="11">D14+D43</f>
        <v>123296.65999999999</v>
      </c>
      <c r="E45" s="40">
        <f t="shared" si="11"/>
        <v>274526.94</v>
      </c>
      <c r="F45" s="58">
        <f t="shared" si="10"/>
        <v>-9931</v>
      </c>
      <c r="G45" s="58">
        <f t="shared" si="10"/>
        <v>-11801.609999999999</v>
      </c>
      <c r="H45" s="58">
        <f>H14+H43</f>
        <v>-10278.469999999999</v>
      </c>
      <c r="I45" s="58">
        <f t="shared" si="10"/>
        <v>-17128.97</v>
      </c>
      <c r="J45" s="58">
        <f t="shared" si="10"/>
        <v>-14579.43</v>
      </c>
      <c r="K45" s="58">
        <f t="shared" si="10"/>
        <v>-3</v>
      </c>
      <c r="L45" s="58">
        <f t="shared" si="10"/>
        <v>0</v>
      </c>
      <c r="M45" s="40">
        <f t="shared" si="10"/>
        <v>0</v>
      </c>
      <c r="N45" s="58">
        <f t="shared" si="10"/>
        <v>0</v>
      </c>
      <c r="O45" s="58">
        <f t="shared" si="10"/>
        <v>0</v>
      </c>
      <c r="P45" s="58">
        <f t="shared" si="10"/>
        <v>0</v>
      </c>
      <c r="Q45" s="40">
        <f t="shared" si="10"/>
        <v>0</v>
      </c>
      <c r="R45" s="155">
        <f>SUM(B45:Q45)</f>
        <v>238054.97</v>
      </c>
      <c r="S45" s="21">
        <f>R45/$R$14</f>
        <v>0.36451583133239174</v>
      </c>
      <c r="U45" s="70">
        <f t="shared" si="7"/>
        <v>238054.97</v>
      </c>
      <c r="V45" s="70">
        <f t="shared" si="1"/>
        <v>0</v>
      </c>
      <c r="X45" s="70">
        <f t="shared" si="2"/>
        <v>210804.46000000002</v>
      </c>
    </row>
    <row r="46" spans="1:24" ht="15" x14ac:dyDescent="0.2">
      <c r="A46" s="41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4"/>
      <c r="U46" s="70">
        <f t="shared" si="7"/>
        <v>0</v>
      </c>
      <c r="V46" s="70">
        <f t="shared" si="1"/>
        <v>0</v>
      </c>
      <c r="X46" s="70">
        <f t="shared" si="2"/>
        <v>0</v>
      </c>
    </row>
    <row r="47" spans="1:24" ht="15" x14ac:dyDescent="0.2">
      <c r="A47" s="29" t="s">
        <v>56</v>
      </c>
      <c r="B47" s="45">
        <f>-B12*12.46%</f>
        <v>0</v>
      </c>
      <c r="C47" s="45">
        <f t="shared" ref="C47:Q47" si="12">-C12*13.15%</f>
        <v>0</v>
      </c>
      <c r="D47" s="45">
        <f t="shared" ref="D47:E47" si="13">-D12*13.15%</f>
        <v>-27533.016325000001</v>
      </c>
      <c r="E47" s="45">
        <f t="shared" si="13"/>
        <v>-58345.910910000006</v>
      </c>
      <c r="F47" s="45">
        <f t="shared" si="12"/>
        <v>0</v>
      </c>
      <c r="G47" s="45">
        <f t="shared" si="12"/>
        <v>0</v>
      </c>
      <c r="H47" s="45">
        <f t="shared" si="12"/>
        <v>0</v>
      </c>
      <c r="I47" s="45">
        <f t="shared" si="12"/>
        <v>0</v>
      </c>
      <c r="J47" s="45">
        <f t="shared" si="12"/>
        <v>0</v>
      </c>
      <c r="K47" s="45">
        <f t="shared" si="12"/>
        <v>0</v>
      </c>
      <c r="L47" s="45">
        <f t="shared" si="12"/>
        <v>0</v>
      </c>
      <c r="M47" s="45">
        <f t="shared" si="12"/>
        <v>0</v>
      </c>
      <c r="N47" s="45">
        <f t="shared" si="12"/>
        <v>0</v>
      </c>
      <c r="O47" s="45">
        <f t="shared" si="12"/>
        <v>0</v>
      </c>
      <c r="P47" s="45">
        <f t="shared" si="12"/>
        <v>0</v>
      </c>
      <c r="Q47" s="45">
        <f t="shared" si="12"/>
        <v>0</v>
      </c>
      <c r="R47" s="20">
        <f t="shared" ref="R47" si="14">SUM(B47:Q47)</f>
        <v>-85878.92723500001</v>
      </c>
      <c r="S47" s="21">
        <f t="shared" si="6"/>
        <v>0.13150000000000003</v>
      </c>
      <c r="U47" s="70">
        <f t="shared" si="7"/>
        <v>-85878.92723500001</v>
      </c>
      <c r="V47" s="70">
        <f t="shared" si="1"/>
        <v>0</v>
      </c>
      <c r="X47" s="70">
        <f t="shared" si="2"/>
        <v>-58345.910910000006</v>
      </c>
    </row>
    <row r="48" spans="1:24" ht="15" x14ac:dyDescent="0.2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4"/>
      <c r="U48" s="70">
        <f t="shared" si="7"/>
        <v>0</v>
      </c>
      <c r="V48" s="70">
        <f t="shared" si="1"/>
        <v>0</v>
      </c>
      <c r="X48" s="70">
        <f t="shared" si="2"/>
        <v>0</v>
      </c>
    </row>
    <row r="49" spans="1:24" ht="15" x14ac:dyDescent="0.2">
      <c r="A49" s="29" t="s">
        <v>33</v>
      </c>
      <c r="B49" s="45">
        <f t="shared" ref="B49" si="15">-B12*1.22%</f>
        <v>0</v>
      </c>
      <c r="C49" s="45">
        <f t="shared" ref="C49:Q49" si="16">-C12*1.22%</f>
        <v>0</v>
      </c>
      <c r="D49" s="45">
        <f t="shared" ref="D49:E49" si="17">-D12*1.22%</f>
        <v>-2554.3939099999998</v>
      </c>
      <c r="E49" s="45">
        <f t="shared" si="17"/>
        <v>-5413.0807079999995</v>
      </c>
      <c r="F49" s="45">
        <f t="shared" si="16"/>
        <v>0</v>
      </c>
      <c r="G49" s="45">
        <f t="shared" si="16"/>
        <v>0</v>
      </c>
      <c r="H49" s="45">
        <f t="shared" si="16"/>
        <v>0</v>
      </c>
      <c r="I49" s="45">
        <f t="shared" si="16"/>
        <v>0</v>
      </c>
      <c r="J49" s="45">
        <f t="shared" si="16"/>
        <v>0</v>
      </c>
      <c r="K49" s="45">
        <f t="shared" si="16"/>
        <v>0</v>
      </c>
      <c r="L49" s="45">
        <f t="shared" si="16"/>
        <v>0</v>
      </c>
      <c r="M49" s="45">
        <f t="shared" si="16"/>
        <v>0</v>
      </c>
      <c r="N49" s="45">
        <f t="shared" si="16"/>
        <v>0</v>
      </c>
      <c r="O49" s="45">
        <f t="shared" si="16"/>
        <v>0</v>
      </c>
      <c r="P49" s="45">
        <f t="shared" si="16"/>
        <v>0</v>
      </c>
      <c r="Q49" s="45">
        <f t="shared" si="16"/>
        <v>0</v>
      </c>
      <c r="R49" s="20">
        <f t="shared" ref="R49" si="18">SUM(B49:Q49)</f>
        <v>-7967.4746179999993</v>
      </c>
      <c r="S49" s="21">
        <f t="shared" si="6"/>
        <v>1.2200000000000001E-2</v>
      </c>
      <c r="U49" s="70">
        <f t="shared" si="7"/>
        <v>-7967.4746179999993</v>
      </c>
      <c r="V49" s="70">
        <f t="shared" si="1"/>
        <v>0</v>
      </c>
      <c r="X49" s="70">
        <f t="shared" si="2"/>
        <v>-5413.0807079999995</v>
      </c>
    </row>
    <row r="50" spans="1:24" ht="14.25" x14ac:dyDescent="0.2">
      <c r="A50" s="43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4"/>
      <c r="U50" s="70">
        <f t="shared" si="7"/>
        <v>0</v>
      </c>
      <c r="V50" s="70">
        <f t="shared" si="1"/>
        <v>0</v>
      </c>
      <c r="X50" s="70">
        <f t="shared" si="2"/>
        <v>0</v>
      </c>
    </row>
    <row r="51" spans="1:24" ht="15" x14ac:dyDescent="0.2">
      <c r="A51" s="48" t="s">
        <v>57</v>
      </c>
      <c r="B51" s="49">
        <f t="shared" ref="B51" si="19">B43*5.56%</f>
        <v>-97.903259999999989</v>
      </c>
      <c r="C51" s="49">
        <f t="shared" ref="C51:P51" si="20">C43*5.56%</f>
        <v>-5242.2626799999998</v>
      </c>
      <c r="D51" s="49">
        <f t="shared" ref="D51:E51" si="21">D43*5.56%</f>
        <v>-4786.0418839999993</v>
      </c>
      <c r="E51" s="49">
        <f t="shared" si="21"/>
        <v>-9405.7519200000006</v>
      </c>
      <c r="F51" s="49">
        <f t="shared" si="20"/>
        <v>-552.16359999999997</v>
      </c>
      <c r="G51" s="49">
        <f t="shared" si="20"/>
        <v>-656.16951599999993</v>
      </c>
      <c r="H51" s="49">
        <f t="shared" si="20"/>
        <v>-571.48293199999989</v>
      </c>
      <c r="I51" s="49">
        <f t="shared" si="20"/>
        <v>-952.37073199999998</v>
      </c>
      <c r="J51" s="49">
        <f>J43*5.56%</f>
        <v>-810.616308</v>
      </c>
      <c r="K51" s="49">
        <f t="shared" si="20"/>
        <v>-0.1668</v>
      </c>
      <c r="L51" s="49">
        <f t="shared" si="20"/>
        <v>0</v>
      </c>
      <c r="M51" s="49">
        <f t="shared" si="20"/>
        <v>0</v>
      </c>
      <c r="N51" s="49">
        <f t="shared" si="20"/>
        <v>0</v>
      </c>
      <c r="O51" s="49">
        <f t="shared" si="20"/>
        <v>0</v>
      </c>
      <c r="P51" s="49">
        <f t="shared" si="20"/>
        <v>0</v>
      </c>
      <c r="Q51" s="49">
        <f>Q43*5.56%</f>
        <v>0</v>
      </c>
      <c r="R51" s="20">
        <f t="shared" ref="R51" si="22">SUM(B51:Q51)</f>
        <v>-23074.929631999999</v>
      </c>
      <c r="S51" s="21">
        <f t="shared" si="6"/>
        <v>3.5332919777919025E-2</v>
      </c>
      <c r="U51" s="70">
        <f t="shared" si="7"/>
        <v>-23074.929631999999</v>
      </c>
      <c r="V51" s="70">
        <f t="shared" si="1"/>
        <v>0</v>
      </c>
      <c r="X51" s="70">
        <f t="shared" si="2"/>
        <v>-12948.721808000002</v>
      </c>
    </row>
    <row r="52" spans="1:24" ht="14.25" x14ac:dyDescent="0.2">
      <c r="A52" s="43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4"/>
      <c r="U52" s="70">
        <f t="shared" si="7"/>
        <v>0</v>
      </c>
      <c r="V52" s="70">
        <f t="shared" si="1"/>
        <v>0</v>
      </c>
      <c r="X52" s="70">
        <f t="shared" si="2"/>
        <v>0</v>
      </c>
    </row>
    <row r="53" spans="1:24" ht="15" x14ac:dyDescent="0.2">
      <c r="A53" s="48" t="s">
        <v>58</v>
      </c>
      <c r="B53" s="49">
        <v>-0.18</v>
      </c>
      <c r="C53" s="49">
        <f>C43*0.01%</f>
        <v>-9.4285300000000003</v>
      </c>
      <c r="D53" s="49">
        <f t="shared" ref="D53:E53" si="23">D43*0.01%</f>
        <v>-8.6079889999999999</v>
      </c>
      <c r="E53" s="49">
        <f t="shared" si="23"/>
        <v>-16.916820000000001</v>
      </c>
      <c r="F53" s="49">
        <f t="shared" ref="F53:N53" si="24">F43*0.01%</f>
        <v>-0.99310000000000009</v>
      </c>
      <c r="G53" s="49">
        <f t="shared" si="24"/>
        <v>-1.180161</v>
      </c>
      <c r="H53" s="49">
        <f t="shared" si="24"/>
        <v>-1.027847</v>
      </c>
      <c r="I53" s="49">
        <f t="shared" si="24"/>
        <v>-1.7128970000000001</v>
      </c>
      <c r="J53" s="49">
        <f t="shared" si="24"/>
        <v>-1.457943</v>
      </c>
      <c r="K53" s="49">
        <f t="shared" si="24"/>
        <v>-3.0000000000000003E-4</v>
      </c>
      <c r="L53" s="49">
        <f t="shared" si="24"/>
        <v>0</v>
      </c>
      <c r="M53" s="49">
        <f t="shared" si="24"/>
        <v>0</v>
      </c>
      <c r="N53" s="49">
        <f t="shared" si="24"/>
        <v>0</v>
      </c>
      <c r="O53" s="49">
        <f>O43*0.01%</f>
        <v>0</v>
      </c>
      <c r="P53" s="49">
        <f t="shared" ref="P53" si="25">P43*0.01%</f>
        <v>0</v>
      </c>
      <c r="Q53" s="49">
        <f>Q43*0.01%</f>
        <v>0</v>
      </c>
      <c r="R53" s="20">
        <f t="shared" ref="R53" si="26">SUM(B53:Q53)</f>
        <v>-41.505586999999998</v>
      </c>
      <c r="S53" s="21">
        <f t="shared" si="6"/>
        <v>6.3554411614443127E-5</v>
      </c>
      <c r="U53" s="70">
        <f t="shared" si="7"/>
        <v>-41.505586999999998</v>
      </c>
      <c r="V53" s="70">
        <f t="shared" si="1"/>
        <v>0</v>
      </c>
      <c r="X53" s="70">
        <f t="shared" si="2"/>
        <v>-23.289067999999997</v>
      </c>
    </row>
    <row r="54" spans="1:24" ht="14.25" x14ac:dyDescent="0.2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4"/>
      <c r="U54" s="70">
        <f t="shared" si="7"/>
        <v>0</v>
      </c>
      <c r="V54" s="70">
        <f t="shared" si="1"/>
        <v>0</v>
      </c>
      <c r="X54" s="70">
        <f t="shared" si="2"/>
        <v>0</v>
      </c>
    </row>
    <row r="55" spans="1:24" ht="15" x14ac:dyDescent="0.2">
      <c r="A55" s="72" t="s">
        <v>81</v>
      </c>
      <c r="B55" s="93">
        <f t="shared" ref="B55:Q55" si="27">B45+B51+B53+B47+B49</f>
        <v>-1858.93326</v>
      </c>
      <c r="C55" s="93">
        <f t="shared" si="27"/>
        <v>-99536.991210000007</v>
      </c>
      <c r="D55" s="96">
        <f t="shared" ref="D55:E55" si="28">D45+D51+D53+D47+D49</f>
        <v>88414.599891999984</v>
      </c>
      <c r="E55" s="96">
        <f t="shared" si="28"/>
        <v>201345.27964200001</v>
      </c>
      <c r="F55" s="93">
        <f t="shared" si="27"/>
        <v>-10484.1567</v>
      </c>
      <c r="G55" s="93">
        <f t="shared" si="27"/>
        <v>-12458.959676999999</v>
      </c>
      <c r="H55" s="93">
        <f t="shared" si="27"/>
        <v>-10850.980779</v>
      </c>
      <c r="I55" s="93">
        <f t="shared" si="27"/>
        <v>-18083.053629000002</v>
      </c>
      <c r="J55" s="93">
        <f t="shared" si="27"/>
        <v>-15391.504251</v>
      </c>
      <c r="K55" s="93">
        <f t="shared" si="27"/>
        <v>-3.1671</v>
      </c>
      <c r="L55" s="93">
        <f t="shared" si="27"/>
        <v>0</v>
      </c>
      <c r="M55" s="96">
        <f t="shared" si="27"/>
        <v>0</v>
      </c>
      <c r="N55" s="93">
        <f t="shared" si="27"/>
        <v>0</v>
      </c>
      <c r="O55" s="93">
        <f t="shared" si="27"/>
        <v>0</v>
      </c>
      <c r="P55" s="93">
        <f t="shared" si="27"/>
        <v>0</v>
      </c>
      <c r="Q55" s="96">
        <f t="shared" si="27"/>
        <v>0</v>
      </c>
      <c r="R55" s="155">
        <f>SUM(B55:Q55)</f>
        <v>121092.13292799996</v>
      </c>
      <c r="S55" s="21">
        <f>R55/$R$14</f>
        <v>0.1854193571428582</v>
      </c>
      <c r="U55" s="70">
        <f>SUM(B55:Q55)</f>
        <v>121092.13292799996</v>
      </c>
      <c r="V55" s="70">
        <f t="shared" si="1"/>
        <v>0</v>
      </c>
      <c r="X55" s="70">
        <f t="shared" si="2"/>
        <v>134073.45750600001</v>
      </c>
    </row>
    <row r="56" spans="1:24" ht="15" x14ac:dyDescent="0.2">
      <c r="A56" s="50"/>
      <c r="B56" s="50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53"/>
      <c r="S56" s="50"/>
      <c r="U56" s="70"/>
    </row>
    <row r="57" spans="1:24" ht="15" x14ac:dyDescent="0.25">
      <c r="A57" s="52" t="s">
        <v>35</v>
      </c>
      <c r="B57" s="13"/>
      <c r="C57" s="13"/>
      <c r="D57" s="13"/>
      <c r="E57" s="13"/>
      <c r="F57" s="91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/>
    </row>
    <row r="58" spans="1:24" ht="15" x14ac:dyDescent="0.2">
      <c r="C58" s="80"/>
      <c r="D58" s="80"/>
      <c r="E58" s="80"/>
      <c r="F58" s="80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53"/>
      <c r="R58" s="50"/>
    </row>
    <row r="59" spans="1:24" ht="15" x14ac:dyDescent="0.25">
      <c r="A59" s="54" t="s">
        <v>36</v>
      </c>
      <c r="B59" s="50"/>
      <c r="S59" s="89">
        <v>46203</v>
      </c>
    </row>
    <row r="60" spans="1:24" x14ac:dyDescent="0.2"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83"/>
      <c r="S60" s="83"/>
    </row>
    <row r="61" spans="1:24" x14ac:dyDescent="0.2">
      <c r="B61" s="70">
        <f t="shared" ref="B61:Q61" si="29">B14+B43+B47+B49+B51+B53</f>
        <v>-1858.93326</v>
      </c>
      <c r="C61" s="70">
        <f t="shared" si="29"/>
        <v>-99536.991210000007</v>
      </c>
      <c r="D61" s="70">
        <f t="shared" ref="D61:E61" si="30">D14+D43+D47+D49+D51+D53</f>
        <v>88414.599891999984</v>
      </c>
      <c r="E61" s="70">
        <f t="shared" si="30"/>
        <v>201345.27964199998</v>
      </c>
      <c r="F61" s="70">
        <f t="shared" si="29"/>
        <v>-10484.1567</v>
      </c>
      <c r="G61" s="70">
        <f t="shared" si="29"/>
        <v>-12458.959676999999</v>
      </c>
      <c r="H61" s="70">
        <f t="shared" si="29"/>
        <v>-10850.980779</v>
      </c>
      <c r="I61" s="70">
        <f t="shared" si="29"/>
        <v>-18083.053629000002</v>
      </c>
      <c r="J61" s="70">
        <f t="shared" si="29"/>
        <v>-15391.504251</v>
      </c>
      <c r="K61" s="70">
        <f t="shared" si="29"/>
        <v>-3.1671</v>
      </c>
      <c r="L61" s="70">
        <f t="shared" si="29"/>
        <v>0</v>
      </c>
      <c r="M61" s="70">
        <f t="shared" si="29"/>
        <v>0</v>
      </c>
      <c r="N61" s="70">
        <f t="shared" si="29"/>
        <v>0</v>
      </c>
      <c r="O61" s="70">
        <f t="shared" si="29"/>
        <v>0</v>
      </c>
      <c r="P61" s="70">
        <f t="shared" si="29"/>
        <v>0</v>
      </c>
      <c r="Q61" s="70">
        <f t="shared" si="29"/>
        <v>0</v>
      </c>
      <c r="R61" s="70">
        <f>R14+R43+R47+R49+R51+R53</f>
        <v>121092.13292799995</v>
      </c>
    </row>
    <row r="63" spans="1:24" x14ac:dyDescent="0.2">
      <c r="B63" s="70">
        <f>B61-B55</f>
        <v>0</v>
      </c>
      <c r="C63" s="70">
        <f t="shared" ref="C63:R63" si="31">C61-C55</f>
        <v>0</v>
      </c>
      <c r="D63" s="70">
        <f t="shared" ref="D63:E63" si="32">D61-D55</f>
        <v>0</v>
      </c>
      <c r="E63" s="70">
        <f t="shared" si="32"/>
        <v>0</v>
      </c>
      <c r="F63" s="70">
        <f t="shared" si="31"/>
        <v>0</v>
      </c>
      <c r="G63" s="70">
        <f t="shared" si="31"/>
        <v>0</v>
      </c>
      <c r="H63" s="70">
        <f t="shared" si="31"/>
        <v>0</v>
      </c>
      <c r="I63" s="70">
        <f t="shared" si="31"/>
        <v>0</v>
      </c>
      <c r="J63" s="70">
        <f t="shared" si="31"/>
        <v>0</v>
      </c>
      <c r="K63" s="70">
        <f t="shared" si="31"/>
        <v>0</v>
      </c>
      <c r="L63" s="70">
        <f t="shared" si="31"/>
        <v>0</v>
      </c>
      <c r="M63" s="70">
        <f t="shared" si="31"/>
        <v>0</v>
      </c>
      <c r="N63" s="70">
        <f t="shared" si="31"/>
        <v>0</v>
      </c>
      <c r="O63" s="70">
        <f t="shared" si="31"/>
        <v>0</v>
      </c>
      <c r="P63" s="70">
        <f t="shared" si="31"/>
        <v>0</v>
      </c>
      <c r="Q63" s="70">
        <f t="shared" si="31"/>
        <v>0</v>
      </c>
      <c r="R63" s="70">
        <f t="shared" si="31"/>
        <v>0</v>
      </c>
    </row>
  </sheetData>
  <mergeCells count="4">
    <mergeCell ref="A1:R1"/>
    <mergeCell ref="A3:R3"/>
    <mergeCell ref="A5:R5"/>
    <mergeCell ref="A7:R7"/>
  </mergeCells>
  <phoneticPr fontId="12" type="noConversion"/>
  <conditionalFormatting sqref="I55">
    <cfRule type="cellIs" dxfId="7" priority="5" operator="lessThan">
      <formula>0</formula>
    </cfRule>
    <cfRule type="cellIs" dxfId="6" priority="6" operator="greaterThan">
      <formula>0</formula>
    </cfRule>
  </conditionalFormatting>
  <conditionalFormatting sqref="K55:L55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N55">
    <cfRule type="cellIs" dxfId="3" priority="1" operator="lessThan">
      <formula>0</formula>
    </cfRule>
    <cfRule type="cellIs" dxfId="2" priority="2" operator="greaterThan">
      <formula>0</formula>
    </cfRule>
  </conditionalFormatting>
  <printOptions horizontalCentered="1" verticalCentered="1"/>
  <pageMargins left="0" right="0" top="0.19685039370078741" bottom="0" header="0.11811023622047245" footer="0"/>
  <pageSetup paperSize="9" scale="68" orientation="landscape" r:id="rId1"/>
  <colBreaks count="1" manualBreakCount="1">
    <brk id="19" max="1048575" man="1"/>
  </colBreaks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Z64"/>
  <sheetViews>
    <sheetView topLeftCell="A31" zoomScale="85" zoomScaleNormal="85" workbookViewId="0">
      <pane xSplit="1" topLeftCell="J1" activePane="topRight" state="frozen"/>
      <selection activeCell="Q10" sqref="Q10"/>
      <selection pane="topRight" activeCell="R10" sqref="R10"/>
    </sheetView>
  </sheetViews>
  <sheetFormatPr defaultColWidth="9.140625" defaultRowHeight="12.75" x14ac:dyDescent="0.2"/>
  <cols>
    <col min="1" max="1" width="37.5703125" style="10" customWidth="1"/>
    <col min="2" max="2" width="18" style="10" bestFit="1" customWidth="1"/>
    <col min="3" max="3" width="19.140625" style="10" bestFit="1" customWidth="1"/>
    <col min="4" max="5" width="19.140625" style="10" customWidth="1"/>
    <col min="6" max="11" width="18" style="10" customWidth="1"/>
    <col min="12" max="13" width="18" style="10" hidden="1" customWidth="1"/>
    <col min="14" max="14" width="17.42578125" style="10" hidden="1" customWidth="1"/>
    <col min="15" max="15" width="17.5703125" style="10" hidden="1" customWidth="1"/>
    <col min="16" max="16" width="18.140625" style="10" hidden="1" customWidth="1"/>
    <col min="17" max="17" width="16.7109375" style="10" hidden="1" customWidth="1"/>
    <col min="18" max="18" width="19.140625" style="10" bestFit="1" customWidth="1"/>
    <col min="19" max="19" width="10.28515625" style="10" customWidth="1"/>
    <col min="20" max="20" width="5.5703125" style="10" customWidth="1"/>
    <col min="21" max="21" width="17.42578125" style="10" bestFit="1" customWidth="1"/>
    <col min="22" max="22" width="9.140625" style="10"/>
    <col min="23" max="24" width="23.140625" style="10" customWidth="1"/>
    <col min="25" max="25" width="17" style="10" bestFit="1" customWidth="1"/>
    <col min="26" max="26" width="19.28515625" style="10" bestFit="1" customWidth="1"/>
    <col min="27" max="16384" width="9.140625" style="10"/>
  </cols>
  <sheetData>
    <row r="1" spans="1:26" ht="10.15" customHeight="1" x14ac:dyDescent="0.2"/>
    <row r="2" spans="1:26" ht="15.75" x14ac:dyDescent="0.25">
      <c r="A2" s="203" t="s">
        <v>0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</row>
    <row r="3" spans="1:26" ht="15.75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26" ht="15.75" x14ac:dyDescent="0.25">
      <c r="A4" s="203" t="s">
        <v>60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</row>
    <row r="5" spans="1:26" ht="15.75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26" ht="15.75" x14ac:dyDescent="0.25">
      <c r="A6" s="203"/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</row>
    <row r="7" spans="1:26" ht="9.6" customHeight="1" x14ac:dyDescent="0.2"/>
    <row r="8" spans="1:26" ht="10.15" customHeight="1" x14ac:dyDescent="0.25">
      <c r="B8" s="57"/>
      <c r="C8" s="57"/>
      <c r="D8" s="57"/>
      <c r="E8" s="57"/>
      <c r="F8" s="57"/>
      <c r="G8" s="57"/>
    </row>
    <row r="9" spans="1:26" ht="21.75" customHeight="1" x14ac:dyDescent="0.2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</row>
    <row r="10" spans="1:26" ht="15" x14ac:dyDescent="0.2">
      <c r="A10" s="12"/>
      <c r="B10" s="60" t="s">
        <v>83</v>
      </c>
      <c r="C10" s="60" t="s">
        <v>122</v>
      </c>
      <c r="D10" s="60" t="s">
        <v>221</v>
      </c>
      <c r="E10" s="60" t="s">
        <v>303</v>
      </c>
      <c r="F10" s="60" t="s">
        <v>304</v>
      </c>
      <c r="G10" s="60" t="s">
        <v>305</v>
      </c>
      <c r="H10" s="60" t="s">
        <v>306</v>
      </c>
      <c r="I10" s="60" t="s">
        <v>307</v>
      </c>
      <c r="J10" s="60" t="s">
        <v>308</v>
      </c>
      <c r="K10" s="60" t="s">
        <v>309</v>
      </c>
      <c r="L10" s="60" t="s">
        <v>310</v>
      </c>
      <c r="M10" s="60" t="s">
        <v>311</v>
      </c>
      <c r="N10" s="60" t="s">
        <v>312</v>
      </c>
      <c r="O10" s="60" t="s">
        <v>313</v>
      </c>
      <c r="P10" s="60" t="s">
        <v>314</v>
      </c>
      <c r="Q10" s="60" t="s">
        <v>225</v>
      </c>
      <c r="R10" s="13" t="s">
        <v>1</v>
      </c>
      <c r="S10" s="14" t="s">
        <v>2</v>
      </c>
    </row>
    <row r="11" spans="1:26" ht="15" x14ac:dyDescent="0.2">
      <c r="A11" s="15" t="s">
        <v>3</v>
      </c>
      <c r="B11" s="16"/>
      <c r="C11" s="16"/>
      <c r="D11" s="16"/>
      <c r="E11" s="16"/>
      <c r="F11" s="16"/>
      <c r="G11" s="16"/>
      <c r="H11" s="16"/>
      <c r="I11" s="16"/>
      <c r="N11" s="16"/>
      <c r="O11" s="16"/>
      <c r="P11" s="16"/>
      <c r="Q11" s="16"/>
      <c r="R11" s="17"/>
      <c r="S11" s="18"/>
      <c r="Y11" s="104">
        <v>2026</v>
      </c>
    </row>
    <row r="12" spans="1:26" ht="15" x14ac:dyDescent="0.2">
      <c r="A12" s="15" t="s">
        <v>4</v>
      </c>
      <c r="B12" s="22">
        <v>4071519.62</v>
      </c>
      <c r="C12" s="22">
        <v>13846824.279999999</v>
      </c>
      <c r="D12" s="22">
        <v>17245741.640000001</v>
      </c>
      <c r="E12" s="22">
        <v>17070180.440000001</v>
      </c>
      <c r="F12" s="22">
        <f>'OBRA 251'!E11+'OBRA 274'!F12+'OBRA 283'!E9+'OBRA 286'!E9+'OBRA 287'!E9+'OBRA 291'!E9+'OBRA 295'!D9+'OBRA 296'!D9+'OBRA 298'!D10+'OBRA 300'!D10+'OBRA 301'!D9+'OBRA 303'!D9+'OBRA 304'!D9+'OBRA 305'!C9+'OBRA 306'!D9+'OBRA 307'!C9+'OBRA 308'!C9+'OBRA 310'!C9+'OBRA 311'!C9+'OBRA 312'!C9+'OBRA 313'!C9+'OBRA 314'!B9+'OBRA 315'!C9+'OBRA 316'!C9+'OBRA 317'!C9+'DEMAIS OBRAS'!F12</f>
        <v>993663.58999999985</v>
      </c>
      <c r="G12" s="22">
        <f>'OBRA 251'!F11+'OBRA 274'!G12+'OBRA 283'!F9+'OBRA 286'!F9+'OBRA 287'!F9+'OBRA 291'!F9+'OBRA 295'!E9+'OBRA 296'!E9+'OBRA 298'!E10+'OBRA 300'!E10+'OBRA 301'!E9+'OBRA 303'!E9+'OBRA 304'!E9+'OBRA 305'!D9+'OBRA 306'!E9+'OBRA 307'!D9+'OBRA 308'!D9+'OBRA 310'!D9+'OBRA 311'!D9+'OBRA 312'!D9+'OBRA 313'!D9+'OBRA 314'!C9+'OBRA 315'!D9+'OBRA 316'!D9+'OBRA 317'!D9+'DEMAIS OBRAS'!G12</f>
        <v>953012.72</v>
      </c>
      <c r="H12" s="22">
        <f>'OBRA 251'!G11+'OBRA 274'!H12+'OBRA 283'!G9+'OBRA 286'!G9+'OBRA 287'!G9+'OBRA 291'!G9+'OBRA 295'!F9+'OBRA 296'!F9+'OBRA 298'!F10+'OBRA 300'!F10+'OBRA 301'!F9+'OBRA 303'!F9+'OBRA 304'!F9+'OBRA 305'!E9+'OBRA 306'!F9+'OBRA 307'!E9+'OBRA 308'!E9+'OBRA 310'!E9+'OBRA 311'!E9+'OBRA 312'!E9+'OBRA 313'!E9+'OBRA 314'!D9+'OBRA 315'!E9+'OBRA 316'!E9+'OBRA 317'!E9+'DEMAIS OBRAS'!H12</f>
        <v>1115396.72</v>
      </c>
      <c r="I12" s="22">
        <f>'OBRA 251'!H11+'OBRA 274'!I12+'OBRA 283'!H9+'OBRA 286'!H9+'OBRA 287'!H9+'OBRA 291'!H9+'OBRA 295'!G9+'OBRA 296'!G9+'OBRA 298'!G10+'OBRA 300'!G10+'OBRA 301'!G9+'OBRA 303'!G9+'OBRA 304'!G9+'OBRA 305'!F9+'OBRA 306'!G9+'OBRA 307'!F9+'OBRA 308'!F9+'OBRA 310'!F9+'OBRA 311'!F9+'OBRA 312'!F9+'OBRA 313'!F9+'OBRA 314'!E9+'OBRA 315'!F9+'OBRA 316'!F9+'OBRA 317'!F9+'DEMAIS OBRAS'!I12+'OBRA 318'!B9+'OBRA 319'!B9</f>
        <v>1051424.6000000001</v>
      </c>
      <c r="J12" s="22">
        <f>'OBRA 251'!I11+'OBRA 274'!J12+'OBRA 283'!I9+'OBRA 286'!I9+'OBRA 287'!I9+'OBRA 291'!I9+'OBRA 295'!H9+'OBRA 296'!H9+'OBRA 298'!H10+'OBRA 300'!H10+'OBRA 301'!H9+'OBRA 303'!H9+'OBRA 304'!H9+'OBRA 305'!G9+'OBRA 306'!H9+'OBRA 307'!G9+'OBRA 308'!G9+'OBRA 310'!G9+'OBRA 311'!G9+'OBRA 312'!G9+'OBRA 313'!G9+'OBRA 314'!F9+'OBRA 315'!G9+'OBRA 316'!G9+'OBRA 317'!G9+'DEMAIS OBRAS'!J12+'OBRA 318'!C9+'OBRA 319'!C9</f>
        <v>835714.58000000007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f>SUM(B12:Q12)</f>
        <v>57183478.190000005</v>
      </c>
      <c r="S12" s="21">
        <v>1</v>
      </c>
      <c r="U12" s="70">
        <f>SUM(B12:Q12)</f>
        <v>57183478.190000005</v>
      </c>
      <c r="V12" s="70">
        <f>U12-R12</f>
        <v>0</v>
      </c>
    </row>
    <row r="13" spans="1:26" ht="15" x14ac:dyDescent="0.25">
      <c r="A13" s="15" t="s">
        <v>5</v>
      </c>
      <c r="B13" s="22">
        <v>0</v>
      </c>
      <c r="C13" s="22">
        <v>0</v>
      </c>
      <c r="D13" s="22">
        <v>170138.52</v>
      </c>
      <c r="E13" s="22">
        <v>1834571.08</v>
      </c>
      <c r="F13" s="22">
        <f>'OBRA 251'!E12+'OBRA 274'!F13+'OBRA 283'!E10+'OBRA 286'!E10+'OBRA 287'!E10+'OBRA 291'!E10+'OBRA 295'!D10+'OBRA 296'!D10+'OBRA 298'!D11+'OBRA 300'!D11+'OBRA 301'!D10+'OBRA 303'!D10+'OBRA 304'!D10+'OBRA 305'!C10+'OBRA 306'!D10+'OBRA 307'!C10+'OBRA 308'!C10+'OBRA 310'!C10+'OBRA 311'!C10+'OBRA 312'!C10+'OBRA 313'!C10+'OBRA 314'!B10+'OBRA 315'!C10+'OBRA 316'!C10+'OBRA 317'!C10+'DEMAIS OBRAS'!F13</f>
        <v>53891.98</v>
      </c>
      <c r="G13" s="22">
        <f>'OBRA 251'!F12+'OBRA 274'!G13+'OBRA 283'!F10+'OBRA 286'!F10+'OBRA 287'!F10+'OBRA 291'!F10+'OBRA 295'!E10+'OBRA 296'!E10+'OBRA 298'!E11+'OBRA 300'!E11+'OBRA 301'!E10+'OBRA 303'!E10+'OBRA 304'!E10+'OBRA 305'!D10+'OBRA 306'!E10+'OBRA 307'!D10+'OBRA 308'!D10+'OBRA 310'!D10+'OBRA 311'!D10+'OBRA 312'!D10+'OBRA 313'!D10+'OBRA 314'!C10+'OBRA 315'!D10+'OBRA 316'!D10+'OBRA 317'!D10+'DEMAIS OBRAS'!G13</f>
        <v>229790.34</v>
      </c>
      <c r="H13" s="22">
        <f>'OBRA 251'!G12+'OBRA 274'!H13+'OBRA 283'!G10+'OBRA 286'!G10+'OBRA 287'!G10+'OBRA 291'!G10+'OBRA 295'!F10+'OBRA 296'!F10+'OBRA 298'!F11+'OBRA 300'!F11+'OBRA 301'!F10+'OBRA 303'!F10+'OBRA 304'!F10+'OBRA 305'!E10+'OBRA 306'!F10+'OBRA 307'!E10+'OBRA 308'!E10+'OBRA 310'!E10+'OBRA 311'!E10+'OBRA 312'!E10+'OBRA 313'!E10+'OBRA 314'!D10+'OBRA 315'!E10+'OBRA 316'!E10+'OBRA 317'!E10+'DEMAIS OBRAS'!H13</f>
        <v>293033.74</v>
      </c>
      <c r="I13" s="22">
        <f>'OBRA 251'!H12+'OBRA 274'!I13+'OBRA 283'!H10+'OBRA 286'!H10+'OBRA 287'!H10+'OBRA 291'!H10+'OBRA 295'!G10+'OBRA 296'!G10+'OBRA 298'!G11+'OBRA 300'!G11+'OBRA 301'!G10+'OBRA 303'!G10+'OBRA 304'!G10+'OBRA 305'!F10+'OBRA 306'!G10+'OBRA 307'!F10+'OBRA 308'!F10+'OBRA 310'!F10+'OBRA 311'!F10+'OBRA 312'!F10+'OBRA 313'!F10+'OBRA 314'!E10+'OBRA 315'!F10+'OBRA 316'!F10+'OBRA 317'!F10+'DEMAIS OBRAS'!I13+'OBRA 318'!B10+'OBRA 319'!B10</f>
        <v>362705.98</v>
      </c>
      <c r="J13" s="22">
        <f>'OBRA 251'!I12+'OBRA 274'!J13+'OBRA 283'!I10+'OBRA 286'!I10+'OBRA 287'!I10+'OBRA 291'!I10+'OBRA 295'!H10+'OBRA 296'!H10+'OBRA 298'!H11+'OBRA 300'!H11+'OBRA 301'!H10+'OBRA 303'!H10+'OBRA 304'!H10+'OBRA 305'!G10+'OBRA 306'!H10+'OBRA 307'!G10+'OBRA 308'!G10+'OBRA 310'!G10+'OBRA 311'!G10+'OBRA 312'!G10+'OBRA 313'!G10+'OBRA 314'!F10+'OBRA 315'!G10+'OBRA 316'!G10+'OBRA 317'!G10+'DEMAIS OBRAS'!J13+'OBRA 318'!C10+'OBRA 319'!C10</f>
        <v>384380.17000000004</v>
      </c>
      <c r="K13" s="22">
        <f>'OBRA 251'!J12+'OBRA 267'!J13+'OBRA 270'!I11+'OBRA 274'!K13+'OBRA 277'!J13+'OBRA 280'!I13+'OBRA 281'!I11+'OBRA 282'!I10+'OBRA 283'!J10+'OBRA 284'!I10+'OBRA 286'!J10+'OBRA 287'!J10+'OBRA 288'!I10+'OBRA 289'!I10+'OBRA 290'!I10+'OBRA 291'!J10+'OBRA 292'!H10+'OBRA 293'!H10+'OBRA 295'!I10+'OBRA 296'!I10+'OBRA 297'!H10+'OBRA 298'!I11+'OBRA 299'!H10+'OBRA 300'!I11+'OBRA 301'!I10+'OBRA 302'!H10+'OBRA 303'!I10+'OBRA 304'!I10+'OBRA 306'!I10+'OBRA 307'!H10+'DEMAIS OBRAS'!K13</f>
        <v>0</v>
      </c>
      <c r="L13" s="22">
        <f>'OBRA 251'!K12+'OBRA 267'!K13+'OBRA 270'!J11+'OBRA 274'!L13+'OBRA 277'!K13+'OBRA 280'!J13+'OBRA 281'!J11+'OBRA 282'!J10+'OBRA 283'!K10+'OBRA 284'!J10+'OBRA 286'!K10+'OBRA 287'!K10+'OBRA 288'!J10+'OBRA 289'!J10+'OBRA 290'!J10+'OBRA 291'!K10+'OBRA 292'!I10+'OBRA 293'!I10+'OBRA 295'!J10+'OBRA 296'!J10+'OBRA 297'!I10+'OBRA 298'!J11+'OBRA 299'!I10+'OBRA 300'!J11+'OBRA 301'!J10+'OBRA 302'!I10+'OBRA 303'!J10+'OBRA 304'!J10+'OBRA 306'!J10+'OBRA 307'!I10+'DEMAIS OBRAS'!L13</f>
        <v>0</v>
      </c>
      <c r="M13" s="22">
        <f>'OBRA 251'!L12+'OBRA 267'!L13+'OBRA 270'!K11+'OBRA 274'!M13+'OBRA 277'!L13+'OBRA 280'!K13+'OBRA 281'!K11+'OBRA 282'!K10+'OBRA 283'!L10+'OBRA 284'!K10+'OBRA 286'!L10+'OBRA 287'!L10+'OBRA 288'!K10+'OBRA 289'!K10+'OBRA 290'!K10+'OBRA 291'!L10+'OBRA 292'!J10+'OBRA 293'!J10+'OBRA 295'!K10+'OBRA 296'!K10+'OBRA 297'!J10+'OBRA 298'!K11+'OBRA 299'!J10+'OBRA 300'!K11+'OBRA 301'!K10+'OBRA 302'!J10+'OBRA 303'!K10+'OBRA 304'!K10+'OBRA 306'!K10+'OBRA 307'!J10+'DEMAIS OBRAS'!M13</f>
        <v>0</v>
      </c>
      <c r="N13" s="22">
        <f>'OBRA 251'!M12+'OBRA 267'!M13+'OBRA 270'!L11+'OBRA 274'!N13+'OBRA 277'!M13+'OBRA 280'!L13+'OBRA 281'!L11+'OBRA 282'!L10+'OBRA 283'!M10+'OBRA 284'!L10+'OBRA 286'!M10+'OBRA 287'!M10+'OBRA 288'!L10+'OBRA 289'!L10+'OBRA 290'!L10+'OBRA 291'!M10+'OBRA 292'!K10+'OBRA 293'!K10+'OBRA 295'!L10+'OBRA 296'!L10+'OBRA 297'!K10+'OBRA 298'!L11+'OBRA 299'!K10+'OBRA 300'!L11+'OBRA 301'!L10+'OBRA 302'!K10+'OBRA 303'!L10+'OBRA 304'!L10+'OBRA 306'!L10+'OBRA 307'!K10+'DEMAIS OBRAS'!N13</f>
        <v>0</v>
      </c>
      <c r="O13" s="22">
        <f>'OBRA 251'!N12+'OBRA 267'!N13+'OBRA 270'!M11+'OBRA 274'!O13+'OBRA 277'!N13+'OBRA 280'!M13+'OBRA 281'!M11+'OBRA 282'!M10+'OBRA 283'!N10+'OBRA 284'!M10+'OBRA 286'!N10+'OBRA 287'!N10+'OBRA 288'!M10+'OBRA 289'!M10+'OBRA 290'!M10+'OBRA 291'!N10+'OBRA 292'!L10+'OBRA 293'!L10+'OBRA 295'!M10+'OBRA 296'!M10+'OBRA 297'!L10+'OBRA 298'!M11+'OBRA 299'!L10+'OBRA 300'!M11+'OBRA 301'!M10+'OBRA 302'!L10+'OBRA 303'!M10+'OBRA 304'!M10+'OBRA 306'!M10+'OBRA 307'!L10+'DEMAIS OBRAS'!O13</f>
        <v>0</v>
      </c>
      <c r="P13" s="22">
        <f>'OBRA 251'!O12+'OBRA 267'!O13+'OBRA 270'!N11+'OBRA 274'!P13+'OBRA 277'!O13+'OBRA 280'!N13+'OBRA 281'!N11+'OBRA 282'!N10+'OBRA 283'!O10+'OBRA 284'!N10+'OBRA 286'!O10+'OBRA 287'!O10+'OBRA 288'!N10+'OBRA 289'!N10+'OBRA 290'!N10+'OBRA 291'!O10+'OBRA 292'!M10+'OBRA 293'!M10+'OBRA 295'!N10+'OBRA 296'!N10+'OBRA 297'!M10+'OBRA 298'!N11+'OBRA 299'!M10+'OBRA 300'!N11+'OBRA 301'!N10+'OBRA 302'!M10+'OBRA 303'!N10+'OBRA 304'!N10+'OBRA 306'!N10+'OBRA 307'!M10+'DEMAIS OBRAS'!P13</f>
        <v>0</v>
      </c>
      <c r="Q13" s="22">
        <f>'OBRA 251'!P12+'OBRA 267'!P13+'OBRA 270'!O11+'OBRA 274'!Q13+'OBRA 277'!P13+'OBRA 280'!O13+'OBRA 281'!O11+'OBRA 282'!O10+'OBRA 283'!P10+'OBRA 284'!O10+'OBRA 286'!P10+'OBRA 287'!P10+'OBRA 288'!O10+'OBRA 289'!O10+'OBRA 290'!O10+'OBRA 291'!P10+'OBRA 292'!N10+'OBRA 293'!N10+'OBRA 295'!O10+'OBRA 296'!O10+'OBRA 297'!N10+'OBRA 298'!O11+'OBRA 299'!N10+'OBRA 300'!O11+'OBRA 301'!O10+'OBRA 302'!N10+'OBRA 303'!O10+'OBRA 304'!O10+'OBRA 306'!O10+'OBRA 307'!N10+'DEMAIS OBRAS'!Q13</f>
        <v>0</v>
      </c>
      <c r="R13" s="22">
        <f>SUM(B13:Q13)</f>
        <v>3328511.81</v>
      </c>
      <c r="S13" s="21"/>
      <c r="U13" s="70">
        <f t="shared" ref="U13:U54" si="0">SUM(B13:Q13)</f>
        <v>3328511.81</v>
      </c>
      <c r="V13" s="70">
        <f t="shared" ref="V13:V55" si="1">U13-R13</f>
        <v>0</v>
      </c>
      <c r="Y13" s="70">
        <f>R12-B12-C12-D12-E12</f>
        <v>4949212.2100000046</v>
      </c>
      <c r="Z13" s="174">
        <f>'OBRA 251'!Q13+'OBRA 274'!R14+'OBRA 283'!Q11+'OBRA 286'!Q11+'OBRA 287'!Q11+'OBRA 291'!Q11+'OBRA 295'!P11+'OBRA 296'!P11+'OBRA 298'!P12+'OBRA 300'!P12+'OBRA 301'!P11+'OBRA 303'!P11+'OBRA 304'!P11+'OBRA 305'!O11+'OBRA 306'!P11+'OBRA 307'!O11+'OBRA 308'!O11+'OBRA 310'!O11+'OBRA 311'!O11+'OBRA 312'!O11+'OBRA 315'!M11+'OBRA 316'!M11+'OBRA 317'!M11+'OBRA 313'!O11+650000</f>
        <v>31880221.050000004</v>
      </c>
    </row>
    <row r="14" spans="1:26" ht="15" x14ac:dyDescent="0.2">
      <c r="A14" s="23" t="s">
        <v>6</v>
      </c>
      <c r="B14" s="67">
        <f t="shared" ref="B14:H14" si="2">B12+B13</f>
        <v>4071519.62</v>
      </c>
      <c r="C14" s="67">
        <f t="shared" si="2"/>
        <v>13846824.279999999</v>
      </c>
      <c r="D14" s="67">
        <f t="shared" si="2"/>
        <v>17415880.16</v>
      </c>
      <c r="E14" s="67">
        <f t="shared" si="2"/>
        <v>18904751.520000003</v>
      </c>
      <c r="F14" s="67">
        <f t="shared" si="2"/>
        <v>1047555.5699999998</v>
      </c>
      <c r="G14" s="67">
        <f t="shared" si="2"/>
        <v>1182803.06</v>
      </c>
      <c r="H14" s="67">
        <f t="shared" si="2"/>
        <v>1408430.46</v>
      </c>
      <c r="I14" s="67">
        <f>I12+I13</f>
        <v>1414130.58</v>
      </c>
      <c r="J14" s="67">
        <f>J12+J13</f>
        <v>1220094.75</v>
      </c>
      <c r="K14" s="67">
        <f>K12+K13</f>
        <v>0</v>
      </c>
      <c r="L14" s="67">
        <f t="shared" ref="L14:Q14" si="3">L12+L13</f>
        <v>0</v>
      </c>
      <c r="M14" s="67">
        <f t="shared" si="3"/>
        <v>0</v>
      </c>
      <c r="N14" s="67">
        <f t="shared" si="3"/>
        <v>0</v>
      </c>
      <c r="O14" s="67">
        <f t="shared" si="3"/>
        <v>0</v>
      </c>
      <c r="P14" s="67">
        <f>P12+P13</f>
        <v>0</v>
      </c>
      <c r="Q14" s="67">
        <f t="shared" si="3"/>
        <v>0</v>
      </c>
      <c r="R14" s="67">
        <f>R12+R13</f>
        <v>60511990.000000007</v>
      </c>
      <c r="S14" s="21">
        <v>1</v>
      </c>
      <c r="U14" s="70">
        <f t="shared" si="0"/>
        <v>60511990.000000007</v>
      </c>
      <c r="V14" s="70">
        <f t="shared" si="1"/>
        <v>0</v>
      </c>
      <c r="W14" s="185">
        <f>'OBRA 251'!Q13+'OBRA 274'!R14+'OBRA 287'!Q11+'OBRA 296'!P11+'OBRA 298'!P12+'OBRA 300'!P12+'OBRA 301'!P11+'OBRA 303'!P11+'OBRA 304'!P11+'OBRA 305'!O11+'OBRA 306'!P11+'OBRA 307'!O11+'OBRA 308'!O11+'OBRA 310'!O11+'OBRA 311'!O11+'OBRA 312'!O11+'OBRA 313'!O11+'OBRA 314'!N11+'OBRA 315'!O11+'OBRA 316'!O11+'OBRA 317'!O11+'OBRA 318'!K11+'OBRA 319'!K11</f>
        <v>30445574.980000008</v>
      </c>
      <c r="Y14" s="70">
        <f t="shared" ref="Y14:Y55" si="4">R13-B13-C13-D13-E13</f>
        <v>1323802.21</v>
      </c>
    </row>
    <row r="15" spans="1:26" ht="15" x14ac:dyDescent="0.2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61"/>
      <c r="L15" s="61"/>
      <c r="M15" s="61"/>
      <c r="N15" s="26"/>
      <c r="O15" s="26"/>
      <c r="P15" s="26"/>
      <c r="Q15" s="26"/>
      <c r="R15" s="27"/>
      <c r="S15" s="28"/>
      <c r="U15" s="70">
        <f t="shared" si="0"/>
        <v>0</v>
      </c>
      <c r="V15" s="70">
        <f t="shared" si="1"/>
        <v>0</v>
      </c>
      <c r="Y15" s="70">
        <f t="shared" si="4"/>
        <v>6273014.4200000055</v>
      </c>
      <c r="Z15" s="70"/>
    </row>
    <row r="16" spans="1:26" ht="15" x14ac:dyDescent="0.2">
      <c r="A16" s="29" t="s">
        <v>7</v>
      </c>
      <c r="B16" s="29"/>
      <c r="C16" s="29"/>
      <c r="D16" s="29"/>
      <c r="E16" s="29"/>
      <c r="F16" s="29"/>
      <c r="G16" s="29"/>
      <c r="H16" s="29"/>
      <c r="I16" s="29"/>
      <c r="J16" s="29"/>
      <c r="K16" s="48"/>
      <c r="L16" s="48"/>
      <c r="M16" s="48"/>
      <c r="N16" s="29"/>
      <c r="O16" s="29"/>
      <c r="P16" s="29"/>
      <c r="Q16" s="29"/>
      <c r="R16" s="30"/>
      <c r="S16" s="31"/>
      <c r="U16" s="70">
        <f t="shared" si="0"/>
        <v>0</v>
      </c>
      <c r="V16" s="70">
        <f t="shared" si="1"/>
        <v>0</v>
      </c>
      <c r="Y16" s="70">
        <f t="shared" si="4"/>
        <v>0</v>
      </c>
    </row>
    <row r="17" spans="1:26" ht="15" x14ac:dyDescent="0.2">
      <c r="A17" s="15" t="s">
        <v>8</v>
      </c>
      <c r="B17" s="76">
        <v>-215169.99</v>
      </c>
      <c r="C17" s="76">
        <f>-1274848.73-B17</f>
        <v>-1059678.74</v>
      </c>
      <c r="D17" s="76">
        <v>-1402800.3</v>
      </c>
      <c r="E17" s="76">
        <v>-1266394.82</v>
      </c>
      <c r="F17" s="22">
        <f>'OBRA 251'!E16+'OBRA 274'!F17+'OBRA 283'!E14+'OBRA 286'!E14+'OBRA 287'!E14+'OBRA 291'!E14+'OBRA 295'!D14+'OBRA 296'!D14+'OBRA 298'!D15+'OBRA 300'!D15+'OBRA 301'!D14+'OBRA 303'!D14+'OBRA 304'!D14+'OBRA 305'!C14+'OBRA 306'!D14+'OBRA 307'!C14+'OBRA 308'!C14+'OBRA 310'!C14+'OBRA 311'!C14+'OBRA 312'!C14+'OBRA 313'!C14+'OBRA 314'!B14+'OBRA 315'!C14+'OBRA 316'!C14+'OBRA 317'!C14+'DEMAIS OBRAS'!F17</f>
        <v>-85318.12000000001</v>
      </c>
      <c r="G17" s="155">
        <f>'OBRA 251'!F16+'OBRA 274'!G17+'OBRA 283'!F14+'OBRA 286'!F14+'OBRA 287'!F14+'OBRA 291'!F14+'OBRA 295'!E14+'OBRA 296'!E14+'OBRA 298'!E15+'OBRA 300'!E15+'OBRA 301'!E14+'OBRA 303'!E14+'OBRA 304'!E14+'OBRA 305'!D14+'OBRA 306'!E14+'OBRA 307'!D14+'OBRA 308'!D14+'OBRA 310'!D14+'OBRA 311'!D14+'OBRA 312'!D14+'OBRA 313'!D14+'OBRA 314'!C14+'OBRA 315'!D14+'OBRA 316'!D14+'OBRA 317'!D14+'DEMAIS OBRAS'!G17</f>
        <v>-100527.45</v>
      </c>
      <c r="H17" s="191">
        <f>'OBRA 251'!G16+'OBRA 274'!H17+'OBRA 283'!G14+'OBRA 286'!G14+'OBRA 287'!G14+'OBRA 291'!G14+'OBRA 295'!F14+'OBRA 296'!F14+'OBRA 298'!F15+'OBRA 300'!F15+'OBRA 301'!F14+'OBRA 303'!F14+'OBRA 304'!F14+'OBRA 305'!E14+'OBRA 306'!F14+'OBRA 307'!E14+'OBRA 308'!E14+'OBRA 310'!E14+'OBRA 311'!E14+'OBRA 312'!E14+'OBRA 313'!E14+'OBRA 314'!D14+'OBRA 315'!E14+'OBRA 316'!E14+'OBRA 317'!E14+'DEMAIS OBRAS'!H17</f>
        <v>-90534.9</v>
      </c>
      <c r="I17" s="20">
        <f>'OBRA 251'!H16+'OBRA 274'!I17+'OBRA 283'!H14+'OBRA 286'!H14+'OBRA 287'!H14+'OBRA 291'!H14+'OBRA 295'!G14+'OBRA 296'!G14+'OBRA 298'!G15+'OBRA 300'!G15+'OBRA 301'!G14+'OBRA 303'!G14+'OBRA 304'!G14+'OBRA 305'!F14+'OBRA 306'!G14+'OBRA 307'!F14+'OBRA 308'!F14+'OBRA 310'!F14+'OBRA 311'!F14+'OBRA 312'!F14+'OBRA 313'!F14+'OBRA 314'!E14+'OBRA 315'!F14+'OBRA 316'!F14+'OBRA 317'!F14+'DEMAIS OBRAS'!I17+'OBRA 318'!B14+'OBRA 319'!B14</f>
        <v>-98401.839999999982</v>
      </c>
      <c r="J17" s="193">
        <f>'OBRA 251'!I16+'OBRA 274'!J17+'OBRA 283'!I14+'OBRA 286'!I14+'OBRA 287'!I14+'OBRA 291'!I14+'OBRA 295'!H14+'OBRA 296'!H14+'OBRA 298'!H15+'OBRA 300'!H15+'OBRA 301'!H14+'OBRA 303'!H14+'OBRA 304'!H14+'OBRA 305'!G14+'OBRA 306'!H14+'OBRA 307'!G14+'OBRA 308'!G14+'OBRA 310'!G14+'OBRA 311'!G14+'OBRA 312'!G14+'OBRA 313'!G14+'OBRA 314'!F14+'OBRA 315'!G14+'OBRA 316'!G14+'OBRA 317'!G14+'DEMAIS OBRAS'!J17+'OBRA 318'!C14+'OBRA 319'!C14</f>
        <v>-99023.22</v>
      </c>
      <c r="K17" s="152">
        <v>0</v>
      </c>
      <c r="L17" s="152">
        <v>0</v>
      </c>
      <c r="M17" s="152">
        <v>0</v>
      </c>
      <c r="N17" s="152">
        <v>0</v>
      </c>
      <c r="O17" s="152">
        <v>0</v>
      </c>
      <c r="P17" s="152">
        <v>0</v>
      </c>
      <c r="Q17" s="152">
        <v>0</v>
      </c>
      <c r="R17" s="22">
        <f>SUM(B17:Q17)</f>
        <v>-4417849.3800000008</v>
      </c>
      <c r="S17" s="21">
        <f>-R17/$R$14</f>
        <v>7.3007834976175801E-2</v>
      </c>
      <c r="U17" s="70">
        <f t="shared" si="0"/>
        <v>-4417849.3800000008</v>
      </c>
      <c r="V17" s="70">
        <f t="shared" si="1"/>
        <v>0</v>
      </c>
      <c r="W17" s="192">
        <v>-2223.7600000000002</v>
      </c>
      <c r="X17" s="179">
        <f>U17+W17</f>
        <v>-4420073.1400000006</v>
      </c>
      <c r="Y17" s="70">
        <f t="shared" si="4"/>
        <v>0</v>
      </c>
    </row>
    <row r="18" spans="1:26" ht="15" x14ac:dyDescent="0.2">
      <c r="A18" s="33" t="s">
        <v>9</v>
      </c>
      <c r="B18" s="76">
        <v>-7807.72</v>
      </c>
      <c r="C18" s="76">
        <f>-7807.72-B18</f>
        <v>0</v>
      </c>
      <c r="D18" s="76">
        <v>0</v>
      </c>
      <c r="E18" s="76">
        <v>0</v>
      </c>
      <c r="F18" s="22">
        <f>'OBRA 251'!E17+'OBRA 274'!F18+'OBRA 283'!E15+'OBRA 286'!E15+'OBRA 287'!E15+'OBRA 291'!E15+'OBRA 295'!D15+'OBRA 296'!D15+'OBRA 298'!D16+'OBRA 300'!D16+'OBRA 301'!D15+'OBRA 303'!D15+'OBRA 304'!D15+'OBRA 305'!C15+'OBRA 306'!D15+'OBRA 307'!C15+'OBRA 308'!C15+'OBRA 310'!C15+'OBRA 311'!C15+'OBRA 312'!C15+'OBRA 313'!C15+'OBRA 314'!B15+'OBRA 315'!C15+'OBRA 316'!C15+'OBRA 317'!C15+'DEMAIS OBRAS'!F18</f>
        <v>0</v>
      </c>
      <c r="G18" s="22">
        <f>'OBRA 251'!F17+'OBRA 274'!G18+'OBRA 283'!F15+'OBRA 286'!F15+'OBRA 287'!F15+'OBRA 291'!F15+'OBRA 295'!E15+'OBRA 296'!E15+'OBRA 298'!E16+'OBRA 300'!E16+'OBRA 301'!E15+'OBRA 303'!E15+'OBRA 304'!E15+'OBRA 305'!D15+'OBRA 306'!E15+'OBRA 307'!D15+'OBRA 308'!D15+'OBRA 310'!D15+'OBRA 311'!D15+'OBRA 312'!D15+'OBRA 313'!D15+'OBRA 314'!C15+'OBRA 315'!D15+'OBRA 316'!D15+'OBRA 317'!D15+'DEMAIS OBRAS'!G18</f>
        <v>0</v>
      </c>
      <c r="H18" s="20">
        <f>'OBRA 251'!G17+'OBRA 274'!H18+'OBRA 283'!G15+'OBRA 286'!G15+'OBRA 287'!G15+'OBRA 291'!G15+'OBRA 295'!F15+'OBRA 296'!F15+'OBRA 298'!F16+'OBRA 300'!F16+'OBRA 301'!F15+'OBRA 303'!F15+'OBRA 304'!F15+'OBRA 305'!E15+'OBRA 306'!F15+'OBRA 307'!E15+'OBRA 308'!E15+'OBRA 310'!E15+'OBRA 311'!E15+'OBRA 312'!E15+'OBRA 313'!E15+'OBRA 314'!D15+'OBRA 315'!E15+'OBRA 316'!E15+'OBRA 317'!E15+'DEMAIS OBRAS'!H18</f>
        <v>0</v>
      </c>
      <c r="I18" s="20">
        <f>'OBRA 251'!H17+'OBRA 274'!I18+'OBRA 283'!H15+'OBRA 286'!H15+'OBRA 287'!H15+'OBRA 291'!H15+'OBRA 295'!G15+'OBRA 296'!G15+'OBRA 298'!G16+'OBRA 300'!G16+'OBRA 301'!G15+'OBRA 303'!G15+'OBRA 304'!G15+'OBRA 305'!F15+'OBRA 306'!G15+'OBRA 307'!F15+'OBRA 308'!F15+'OBRA 310'!F15+'OBRA 311'!F15+'OBRA 312'!F15+'OBRA 313'!F15+'OBRA 314'!E15+'OBRA 315'!F15+'OBRA 316'!F15+'OBRA 317'!F15+'DEMAIS OBRAS'!I18+'OBRA 318'!B15+'OBRA 319'!B15</f>
        <v>0</v>
      </c>
      <c r="J18" s="20">
        <f>'OBRA 251'!I17+'OBRA 274'!J18+'OBRA 283'!I15+'OBRA 286'!I15+'OBRA 287'!I15+'OBRA 291'!I15+'OBRA 295'!H15+'OBRA 296'!H15+'OBRA 298'!H16+'OBRA 300'!H16+'OBRA 301'!H15+'OBRA 303'!H15+'OBRA 304'!H15+'OBRA 305'!G15+'OBRA 306'!H15+'OBRA 307'!G15+'OBRA 308'!G15+'OBRA 310'!G15+'OBRA 311'!G15+'OBRA 312'!G15+'OBRA 313'!G15+'OBRA 314'!F15+'OBRA 315'!G15+'OBRA 316'!G15+'OBRA 317'!G15+'DEMAIS OBRAS'!J18+'OBRA 318'!C15+'OBRA 319'!C15</f>
        <v>0</v>
      </c>
      <c r="K18" s="152">
        <v>0</v>
      </c>
      <c r="L18" s="152">
        <v>0</v>
      </c>
      <c r="M18" s="152">
        <v>0</v>
      </c>
      <c r="N18" s="152">
        <v>0</v>
      </c>
      <c r="O18" s="152">
        <v>0</v>
      </c>
      <c r="P18" s="152">
        <v>0</v>
      </c>
      <c r="Q18" s="152">
        <v>0</v>
      </c>
      <c r="R18" s="22">
        <f t="shared" ref="R18:R42" si="5">SUM(B18:Q18)</f>
        <v>-7807.72</v>
      </c>
      <c r="S18" s="21">
        <f>-R18/$R$14</f>
        <v>1.2902765220578597E-4</v>
      </c>
      <c r="U18" s="70">
        <f t="shared" si="0"/>
        <v>-7807.72</v>
      </c>
      <c r="V18" s="70">
        <f t="shared" si="1"/>
        <v>0</v>
      </c>
      <c r="W18" s="178">
        <v>0</v>
      </c>
      <c r="X18" s="179">
        <f t="shared" ref="X18:X42" si="6">U18+W18</f>
        <v>-7807.72</v>
      </c>
      <c r="Y18" s="70">
        <f t="shared" si="4"/>
        <v>-473805.53000000026</v>
      </c>
      <c r="Z18" s="70"/>
    </row>
    <row r="19" spans="1:26" ht="15" x14ac:dyDescent="0.2">
      <c r="A19" s="15" t="s">
        <v>10</v>
      </c>
      <c r="B19" s="76">
        <v>-2506</v>
      </c>
      <c r="C19" s="76">
        <f>-12959.42-B19</f>
        <v>-10453.42</v>
      </c>
      <c r="D19" s="76">
        <v>-24853.5</v>
      </c>
      <c r="E19" s="76">
        <v>-20996.080000000002</v>
      </c>
      <c r="F19" s="22">
        <f>'OBRA 251'!E18+'OBRA 274'!F19+'OBRA 283'!E16+'OBRA 286'!E16+'OBRA 287'!E16+'OBRA 291'!E16+'OBRA 295'!D16+'OBRA 296'!D16+'OBRA 298'!D17+'OBRA 300'!D17+'OBRA 301'!D16+'OBRA 303'!D16+'OBRA 304'!D16+'OBRA 305'!C16+'OBRA 306'!D16+'OBRA 307'!C16+'OBRA 308'!C16+'OBRA 310'!C16+'OBRA 311'!C16+'OBRA 312'!C16+'OBRA 313'!C16+'OBRA 314'!B16+'OBRA 315'!C16+'OBRA 316'!C16+'OBRA 317'!C16+'DEMAIS OBRAS'!F19</f>
        <v>-1842.15</v>
      </c>
      <c r="G19" s="155">
        <f>'OBRA 251'!F18+'OBRA 274'!G19+'OBRA 283'!F16+'OBRA 286'!F16+'OBRA 287'!F16+'OBRA 291'!F16+'OBRA 295'!E16+'OBRA 296'!E16+'OBRA 298'!E17+'OBRA 300'!E17+'OBRA 301'!E16+'OBRA 303'!E16+'OBRA 304'!E16+'OBRA 305'!D16+'OBRA 306'!E16+'OBRA 307'!D16+'OBRA 308'!D16+'OBRA 310'!D16+'OBRA 311'!D16+'OBRA 312'!D16+'OBRA 313'!D16+'OBRA 314'!C16+'OBRA 315'!D16+'OBRA 316'!D16+'OBRA 317'!D16+'DEMAIS OBRAS'!G19</f>
        <v>-1758.15</v>
      </c>
      <c r="H19" s="191">
        <f>'OBRA 251'!G18+'OBRA 274'!H19+'OBRA 283'!G16+'OBRA 286'!G16+'OBRA 287'!G16+'OBRA 291'!G16+'OBRA 295'!F16+'OBRA 296'!F16+'OBRA 298'!F17+'OBRA 300'!F17+'OBRA 301'!F16+'OBRA 303'!F16+'OBRA 304'!F16+'OBRA 305'!E16+'OBRA 306'!F16+'OBRA 307'!E16+'OBRA 308'!E16+'OBRA 310'!E16+'OBRA 311'!E16+'OBRA 312'!E16+'OBRA 313'!E16+'OBRA 314'!D16+'OBRA 315'!E16+'OBRA 316'!E16+'OBRA 317'!E16+'DEMAIS OBRAS'!H19</f>
        <v>-4080.65</v>
      </c>
      <c r="I19" s="20">
        <f>'OBRA 251'!H18+'OBRA 274'!I19+'OBRA 283'!H16+'OBRA 286'!H16+'OBRA 287'!H16+'OBRA 291'!H16+'OBRA 295'!G16+'OBRA 296'!G16+'OBRA 298'!G17+'OBRA 300'!G17+'OBRA 301'!G16+'OBRA 303'!G16+'OBRA 304'!G16+'OBRA 305'!F16+'OBRA 306'!G16+'OBRA 307'!F16+'OBRA 308'!F16+'OBRA 310'!F16+'OBRA 311'!F16+'OBRA 312'!F16+'OBRA 313'!F16+'OBRA 314'!E16+'OBRA 315'!F16+'OBRA 316'!F16+'OBRA 317'!F16+'DEMAIS OBRAS'!I19+'OBRA 318'!B16+'OBRA 319'!B16</f>
        <v>-1715.72</v>
      </c>
      <c r="J19" s="193">
        <f>'OBRA 251'!I18+'OBRA 274'!J19+'OBRA 283'!I16+'OBRA 286'!I16+'OBRA 287'!I16+'OBRA 291'!I16+'OBRA 295'!H16+'OBRA 296'!H16+'OBRA 298'!H17+'OBRA 300'!H17+'OBRA 301'!H16+'OBRA 303'!H16+'OBRA 304'!H16+'OBRA 305'!G16+'OBRA 306'!H16+'OBRA 307'!G16+'OBRA 308'!G16+'OBRA 310'!G16+'OBRA 311'!G16+'OBRA 312'!G16+'OBRA 313'!G16+'OBRA 314'!F16+'OBRA 315'!G16+'OBRA 316'!G16+'OBRA 317'!G16+'DEMAIS OBRAS'!J19+'OBRA 318'!C16+'OBRA 319'!C16</f>
        <v>-1456.52</v>
      </c>
      <c r="K19" s="152">
        <v>0</v>
      </c>
      <c r="L19" s="152">
        <v>0</v>
      </c>
      <c r="M19" s="152">
        <v>0</v>
      </c>
      <c r="N19" s="152">
        <v>0</v>
      </c>
      <c r="O19" s="152">
        <v>0</v>
      </c>
      <c r="P19" s="152">
        <v>0</v>
      </c>
      <c r="Q19" s="152">
        <v>0</v>
      </c>
      <c r="R19" s="22">
        <f t="shared" si="5"/>
        <v>-69662.19</v>
      </c>
      <c r="S19" s="21">
        <f>-R19/$R$14</f>
        <v>1.1512130075378448E-3</v>
      </c>
      <c r="U19" s="70">
        <f t="shared" si="0"/>
        <v>-69662.19</v>
      </c>
      <c r="V19" s="70">
        <f t="shared" si="1"/>
        <v>0</v>
      </c>
      <c r="W19" s="178"/>
      <c r="X19" s="179">
        <f t="shared" si="6"/>
        <v>-69662.19</v>
      </c>
      <c r="Y19" s="70">
        <f t="shared" si="4"/>
        <v>0</v>
      </c>
    </row>
    <row r="20" spans="1:26" ht="15.6" customHeight="1" x14ac:dyDescent="0.2">
      <c r="A20" s="33" t="s">
        <v>11</v>
      </c>
      <c r="B20" s="76">
        <v>-11159.28</v>
      </c>
      <c r="C20" s="76">
        <f>-65515.5-B20</f>
        <v>-54356.22</v>
      </c>
      <c r="D20" s="76">
        <v>-112655.15</v>
      </c>
      <c r="E20" s="76">
        <v>-98140.67</v>
      </c>
      <c r="F20" s="22">
        <f>'OBRA 251'!E19+'OBRA 274'!F20+'OBRA 283'!E17+'OBRA 286'!E17+'OBRA 287'!E17+'OBRA 291'!E17+'OBRA 295'!D17+'OBRA 296'!D17+'OBRA 298'!D18+'OBRA 300'!D18+'OBRA 301'!D17+'OBRA 303'!D17+'OBRA 304'!D17+'OBRA 305'!C17+'OBRA 306'!D17+'OBRA 307'!C17+'OBRA 308'!C17+'OBRA 310'!C17+'OBRA 311'!C17+'OBRA 312'!C17+'OBRA 313'!C17+'OBRA 314'!B17+'OBRA 315'!C17+'OBRA 316'!C17+'OBRA 317'!C17+'DEMAIS OBRAS'!F20</f>
        <v>-8790.0400000000009</v>
      </c>
      <c r="G20" s="155">
        <f>'OBRA 251'!F19+'OBRA 274'!G20+'OBRA 283'!F17+'OBRA 286'!F17+'OBRA 287'!F17+'OBRA 291'!F17+'OBRA 295'!E17+'OBRA 296'!E17+'OBRA 298'!E18+'OBRA 300'!E18+'OBRA 301'!E17+'OBRA 303'!E17+'OBRA 304'!E17+'OBRA 305'!D17+'OBRA 306'!E17+'OBRA 307'!D17+'OBRA 308'!D17+'OBRA 310'!D17+'OBRA 311'!D17+'OBRA 312'!D17+'OBRA 313'!D17+'OBRA 314'!C17+'OBRA 315'!D17+'OBRA 316'!D17+'OBRA 317'!D17+'DEMAIS OBRAS'!G20</f>
        <v>-10842.38</v>
      </c>
      <c r="H20" s="191">
        <f>'OBRA 251'!G19+'OBRA 274'!H20+'OBRA 283'!G17+'OBRA 286'!G17+'OBRA 287'!G17+'OBRA 291'!G17+'OBRA 295'!F17+'OBRA 296'!F17+'OBRA 298'!F18+'OBRA 300'!F18+'OBRA 301'!F17+'OBRA 303'!F17+'OBRA 304'!F17+'OBRA 305'!E17+'OBRA 306'!F17+'OBRA 307'!E17+'OBRA 308'!E17+'OBRA 310'!E17+'OBRA 311'!E17+'OBRA 312'!E17+'OBRA 313'!E17+'OBRA 314'!D17+'OBRA 315'!E17+'OBRA 316'!E17+'OBRA 317'!E17+'DEMAIS OBRAS'!H20</f>
        <v>-5253.24</v>
      </c>
      <c r="I20" s="20">
        <f>'OBRA 251'!H19+'OBRA 274'!I20+'OBRA 283'!H17+'OBRA 286'!H17+'OBRA 287'!H17+'OBRA 291'!H17+'OBRA 295'!G17+'OBRA 296'!G17+'OBRA 298'!G18+'OBRA 300'!G18+'OBRA 301'!G17+'OBRA 303'!G17+'OBRA 304'!G17+'OBRA 305'!F17+'OBRA 306'!G17+'OBRA 307'!F17+'OBRA 308'!F17+'OBRA 310'!F17+'OBRA 311'!F17+'OBRA 312'!F17+'OBRA 313'!F17+'OBRA 314'!E17+'OBRA 315'!F17+'OBRA 316'!F17+'OBRA 317'!F17+'DEMAIS OBRAS'!I20+'OBRA 318'!B17+'OBRA 319'!B17</f>
        <v>-14316.51</v>
      </c>
      <c r="J20" s="193">
        <f>'OBRA 251'!I19+'OBRA 274'!J20+'OBRA 283'!I17+'OBRA 286'!I17+'OBRA 287'!I17+'OBRA 291'!I17+'OBRA 295'!H17+'OBRA 296'!H17+'OBRA 298'!H18+'OBRA 300'!H18+'OBRA 301'!H17+'OBRA 303'!H17+'OBRA 304'!H17+'OBRA 305'!G17+'OBRA 306'!H17+'OBRA 307'!G17+'OBRA 308'!G17+'OBRA 310'!G17+'OBRA 311'!G17+'OBRA 312'!G17+'OBRA 313'!G17+'OBRA 314'!F17+'OBRA 315'!G17+'OBRA 316'!G17+'OBRA 317'!G17+'DEMAIS OBRAS'!J20+'OBRA 318'!C17+'OBRA 319'!C17</f>
        <v>-4942.82</v>
      </c>
      <c r="K20" s="152">
        <v>0</v>
      </c>
      <c r="L20" s="152">
        <v>0</v>
      </c>
      <c r="M20" s="152">
        <v>0</v>
      </c>
      <c r="N20" s="152">
        <v>0</v>
      </c>
      <c r="O20" s="152">
        <v>0</v>
      </c>
      <c r="P20" s="152">
        <v>0</v>
      </c>
      <c r="Q20" s="152">
        <v>0</v>
      </c>
      <c r="R20" s="22">
        <f t="shared" si="5"/>
        <v>-320456.31</v>
      </c>
      <c r="S20" s="21">
        <f>-R20/$R$14</f>
        <v>5.2957489912329762E-3</v>
      </c>
      <c r="U20" s="70">
        <f t="shared" si="0"/>
        <v>-320456.31</v>
      </c>
      <c r="V20" s="70">
        <f t="shared" si="1"/>
        <v>0</v>
      </c>
      <c r="W20" s="178"/>
      <c r="X20" s="179">
        <f t="shared" si="6"/>
        <v>-320456.31</v>
      </c>
      <c r="Y20" s="70">
        <f t="shared" si="4"/>
        <v>-10853.190000000002</v>
      </c>
    </row>
    <row r="21" spans="1:26" ht="15" x14ac:dyDescent="0.2">
      <c r="A21" s="15" t="s">
        <v>12</v>
      </c>
      <c r="B21" s="76">
        <v>-125247.58</v>
      </c>
      <c r="C21" s="76">
        <f>-749831.63-B21</f>
        <v>-624584.05000000005</v>
      </c>
      <c r="D21" s="76">
        <v>-729283.71</v>
      </c>
      <c r="E21" s="76">
        <v>-606695.66</v>
      </c>
      <c r="F21" s="22">
        <f>'OBRA 251'!E20+'OBRA 274'!F21+'OBRA 283'!E18+'OBRA 286'!E18+'OBRA 287'!E18+'OBRA 291'!E18+'OBRA 295'!D18+'OBRA 296'!D18+'OBRA 298'!D19+'OBRA 300'!D19+'OBRA 301'!D18+'OBRA 303'!D18+'OBRA 304'!D18+'OBRA 305'!C18+'OBRA 306'!D18+'OBRA 307'!C18+'OBRA 308'!C18+'OBRA 310'!C18+'OBRA 311'!C18+'OBRA 312'!C18+'OBRA 313'!C18+'OBRA 314'!B18+'OBRA 315'!C18+'OBRA 316'!C18+'OBRA 317'!C18+'DEMAIS OBRAS'!F21</f>
        <v>-38363.469999999994</v>
      </c>
      <c r="G21" s="155">
        <f>'OBRA 251'!F20+'OBRA 274'!G21+'OBRA 283'!F18+'OBRA 286'!F18+'OBRA 287'!F18+'OBRA 291'!F18+'OBRA 295'!E18+'OBRA 296'!E18+'OBRA 298'!E19+'OBRA 300'!E19+'OBRA 301'!E18+'OBRA 303'!E18+'OBRA 304'!E18+'OBRA 305'!D18+'OBRA 306'!E18+'OBRA 307'!D18+'OBRA 308'!D18+'OBRA 310'!D18+'OBRA 311'!D18+'OBRA 312'!D18+'OBRA 313'!D18+'OBRA 314'!C18+'OBRA 315'!D18+'OBRA 316'!D18+'OBRA 317'!D18+'DEMAIS OBRAS'!G21</f>
        <v>-42855.11</v>
      </c>
      <c r="H21" s="191">
        <f>'OBRA 251'!G20+'OBRA 274'!H21+'OBRA 283'!G18+'OBRA 286'!G18+'OBRA 287'!G18+'OBRA 291'!G18+'OBRA 295'!F18+'OBRA 296'!F18+'OBRA 298'!F19+'OBRA 300'!F19+'OBRA 301'!F18+'OBRA 303'!F18+'OBRA 304'!F18+'OBRA 305'!E18+'OBRA 306'!F18+'OBRA 307'!E18+'OBRA 308'!E18+'OBRA 310'!E18+'OBRA 311'!E18+'OBRA 312'!E18+'OBRA 313'!E18+'OBRA 314'!D18+'OBRA 315'!E18+'OBRA 316'!E18+'OBRA 317'!E18+'DEMAIS OBRAS'!H21</f>
        <v>-41910.980000000003</v>
      </c>
      <c r="I21" s="20">
        <f>'OBRA 251'!H20+'OBRA 274'!I21+'OBRA 283'!H18+'OBRA 286'!H18+'OBRA 287'!H18+'OBRA 291'!H18+'OBRA 295'!G18+'OBRA 296'!G18+'OBRA 298'!G19+'OBRA 300'!G19+'OBRA 301'!G18+'OBRA 303'!G18+'OBRA 304'!G18+'OBRA 305'!F18+'OBRA 306'!G18+'OBRA 307'!F18+'OBRA 308'!F18+'OBRA 310'!F18+'OBRA 311'!F18+'OBRA 312'!F18+'OBRA 313'!F18+'OBRA 314'!E18+'OBRA 315'!F18+'OBRA 316'!F18+'OBRA 317'!F18+'DEMAIS OBRAS'!I21+'OBRA 318'!B18+'OBRA 319'!B18</f>
        <v>-44663.540000000008</v>
      </c>
      <c r="J21" s="193">
        <f>'OBRA 251'!I20+'OBRA 274'!J21+'OBRA 283'!I18+'OBRA 286'!I18+'OBRA 287'!I18+'OBRA 291'!I18+'OBRA 295'!H18+'OBRA 296'!H18+'OBRA 298'!H19+'OBRA 300'!H19+'OBRA 301'!H18+'OBRA 303'!H18+'OBRA 304'!H18+'OBRA 305'!G18+'OBRA 306'!H18+'OBRA 307'!G18+'OBRA 308'!G18+'OBRA 310'!G18+'OBRA 311'!G18+'OBRA 312'!G18+'OBRA 313'!G18+'OBRA 314'!F18+'OBRA 315'!G18+'OBRA 316'!G18+'OBRA 317'!G18+'DEMAIS OBRAS'!J21+'OBRA 318'!C18+'OBRA 319'!C18</f>
        <v>-50778.889999999992</v>
      </c>
      <c r="K21" s="152">
        <v>0</v>
      </c>
      <c r="L21" s="152">
        <v>0</v>
      </c>
      <c r="M21" s="152">
        <v>0</v>
      </c>
      <c r="N21" s="152">
        <v>0</v>
      </c>
      <c r="O21" s="152">
        <v>0</v>
      </c>
      <c r="P21" s="152">
        <v>0</v>
      </c>
      <c r="Q21" s="152">
        <v>0</v>
      </c>
      <c r="R21" s="22">
        <f t="shared" si="5"/>
        <v>-2304382.9900000002</v>
      </c>
      <c r="S21" s="21">
        <f>-R21/$R$14</f>
        <v>3.8081427994683364E-2</v>
      </c>
      <c r="U21" s="70">
        <f t="shared" si="0"/>
        <v>-2304382.9900000002</v>
      </c>
      <c r="V21" s="70">
        <f t="shared" si="1"/>
        <v>0</v>
      </c>
      <c r="W21" s="194">
        <v>-4215.6000000000004</v>
      </c>
      <c r="X21" s="179">
        <f t="shared" si="6"/>
        <v>-2308598.5900000003</v>
      </c>
      <c r="Y21" s="70">
        <f t="shared" si="4"/>
        <v>-44144.989999999976</v>
      </c>
    </row>
    <row r="22" spans="1:26" ht="15" x14ac:dyDescent="0.2">
      <c r="A22" s="15" t="s">
        <v>13</v>
      </c>
      <c r="B22" s="76">
        <v>-75206.31</v>
      </c>
      <c r="C22" s="76">
        <f>-466853.96-B22</f>
        <v>-391647.65</v>
      </c>
      <c r="D22" s="76">
        <v>-492520.49</v>
      </c>
      <c r="E22" s="76">
        <v>-494538.64</v>
      </c>
      <c r="F22" s="22">
        <f>'OBRA 251'!E21+'OBRA 274'!F22+'OBRA 283'!E19+'OBRA 286'!E19+'OBRA 287'!E19+'OBRA 291'!E19+'OBRA 295'!D19+'OBRA 296'!D19+'OBRA 298'!D20+'OBRA 300'!D20+'OBRA 301'!D19+'OBRA 303'!D19+'OBRA 304'!D19+'OBRA 305'!C19+'OBRA 306'!D19+'OBRA 307'!C19+'OBRA 308'!C19+'OBRA 310'!C19+'OBRA 311'!C19+'OBRA 312'!C19+'OBRA 313'!C19+'OBRA 314'!B19+'OBRA 315'!C19+'OBRA 316'!C19+'OBRA 317'!C19+'DEMAIS OBRAS'!F22</f>
        <v>-35486.379999999997</v>
      </c>
      <c r="G22" s="155">
        <f>'OBRA 251'!F21+'OBRA 274'!G22+'OBRA 283'!F19+'OBRA 286'!F19+'OBRA 287'!F19+'OBRA 291'!F19+'OBRA 295'!E19+'OBRA 296'!E19+'OBRA 298'!E20+'OBRA 300'!E20+'OBRA 301'!E19+'OBRA 303'!E19+'OBRA 304'!E19+'OBRA 305'!D19+'OBRA 306'!E19+'OBRA 307'!D19+'OBRA 308'!D19+'OBRA 310'!D19+'OBRA 311'!D19+'OBRA 312'!D19+'OBRA 313'!D19+'OBRA 314'!C19+'OBRA 315'!D19+'OBRA 316'!D19+'OBRA 317'!D19+'DEMAIS OBRAS'!G22</f>
        <v>-44126.530000000006</v>
      </c>
      <c r="H22" s="191">
        <f>'OBRA 251'!G21+'OBRA 274'!H22+'OBRA 283'!G19+'OBRA 286'!G19+'OBRA 287'!G19+'OBRA 291'!G19+'OBRA 295'!F19+'OBRA 296'!F19+'OBRA 298'!F20+'OBRA 300'!F20+'OBRA 301'!F19+'OBRA 303'!F19+'OBRA 304'!F19+'OBRA 305'!E19+'OBRA 306'!F19+'OBRA 307'!E19+'OBRA 308'!E19+'OBRA 310'!E19+'OBRA 311'!E19+'OBRA 312'!E19+'OBRA 313'!E19+'OBRA 314'!D19+'OBRA 315'!E19+'OBRA 316'!E19+'OBRA 317'!E19+'DEMAIS OBRAS'!H22</f>
        <v>-37094.230000000003</v>
      </c>
      <c r="I22" s="20">
        <f>'OBRA 251'!H21+'OBRA 274'!I22+'OBRA 283'!H19+'OBRA 286'!H19+'OBRA 287'!H19+'OBRA 291'!H19+'OBRA 295'!G19+'OBRA 296'!G19+'OBRA 298'!G20+'OBRA 300'!G20+'OBRA 301'!G19+'OBRA 303'!G19+'OBRA 304'!G19+'OBRA 305'!F19+'OBRA 306'!G19+'OBRA 307'!F19+'OBRA 308'!F19+'OBRA 310'!F19+'OBRA 311'!F19+'OBRA 312'!F19+'OBRA 313'!F19+'OBRA 314'!E19+'OBRA 315'!F19+'OBRA 316'!F19+'OBRA 317'!F19+'DEMAIS OBRAS'!I22+'OBRA 318'!B19+'OBRA 319'!B19</f>
        <v>-35466.979999999996</v>
      </c>
      <c r="J22" s="193">
        <f>'OBRA 251'!I21+'OBRA 274'!J22+'OBRA 283'!I19+'OBRA 286'!I19+'OBRA 287'!I19+'OBRA 291'!I19+'OBRA 295'!H19+'OBRA 296'!H19+'OBRA 298'!H20+'OBRA 300'!H20+'OBRA 301'!H19+'OBRA 303'!H19+'OBRA 304'!H19+'OBRA 305'!G19+'OBRA 306'!H19+'OBRA 307'!G19+'OBRA 308'!G19+'OBRA 310'!G19+'OBRA 311'!G19+'OBRA 312'!G19+'OBRA 313'!G19+'OBRA 314'!F19+'OBRA 315'!G19+'OBRA 316'!G19+'OBRA 317'!G19+'DEMAIS OBRAS'!J22+'OBRA 318'!C19+'OBRA 319'!C19</f>
        <v>-39373.1</v>
      </c>
      <c r="K22" s="152">
        <v>0</v>
      </c>
      <c r="L22" s="152">
        <v>0</v>
      </c>
      <c r="M22" s="152">
        <v>0</v>
      </c>
      <c r="N22" s="152">
        <v>0</v>
      </c>
      <c r="O22" s="152">
        <v>0</v>
      </c>
      <c r="P22" s="152">
        <v>0</v>
      </c>
      <c r="Q22" s="152">
        <v>0</v>
      </c>
      <c r="R22" s="22">
        <f t="shared" si="5"/>
        <v>-1645460.3099999998</v>
      </c>
      <c r="S22" s="21">
        <f t="shared" ref="S22:S23" si="7">-R22/$R$14</f>
        <v>2.7192302054518447E-2</v>
      </c>
      <c r="U22" s="70">
        <f t="shared" si="0"/>
        <v>-1645460.3099999998</v>
      </c>
      <c r="V22" s="70">
        <f t="shared" si="1"/>
        <v>0</v>
      </c>
      <c r="W22" s="194">
        <v>-2003.71</v>
      </c>
      <c r="X22" s="179">
        <f t="shared" si="6"/>
        <v>-1647464.0199999998</v>
      </c>
      <c r="Y22" s="70">
        <f t="shared" si="4"/>
        <v>-218571.99000000011</v>
      </c>
    </row>
    <row r="23" spans="1:26" ht="15" x14ac:dyDescent="0.2">
      <c r="A23" s="15" t="s">
        <v>14</v>
      </c>
      <c r="B23" s="76">
        <v>-62597.72</v>
      </c>
      <c r="C23" s="76">
        <f>-376016.3-B23</f>
        <v>-313418.57999999996</v>
      </c>
      <c r="D23" s="76">
        <v>-583413.18000000005</v>
      </c>
      <c r="E23" s="76">
        <v>-518131.22</v>
      </c>
      <c r="F23" s="22">
        <f>'OBRA 251'!E22+'OBRA 274'!F23+'OBRA 283'!E20+'OBRA 286'!E20+'OBRA 287'!E20+'OBRA 291'!E20+'OBRA 295'!D20+'OBRA 296'!D20+'OBRA 298'!D21+'OBRA 300'!D21+'OBRA 301'!D20+'OBRA 303'!D20+'OBRA 304'!D20+'OBRA 305'!C20+'OBRA 306'!D20+'OBRA 307'!C20+'OBRA 308'!C20+'OBRA 310'!C20+'OBRA 311'!C20+'OBRA 312'!C20+'OBRA 313'!C20+'OBRA 314'!B20+'OBRA 315'!C20+'OBRA 316'!C20+'OBRA 317'!C20+'DEMAIS OBRAS'!F23</f>
        <v>-19201.16</v>
      </c>
      <c r="G23" s="155">
        <f>'OBRA 251'!F22+'OBRA 274'!G23+'OBRA 283'!F20+'OBRA 286'!F20+'OBRA 287'!F20+'OBRA 291'!F20+'OBRA 295'!E20+'OBRA 296'!E20+'OBRA 298'!E21+'OBRA 300'!E21+'OBRA 301'!E20+'OBRA 303'!E20+'OBRA 304'!E20+'OBRA 305'!D20+'OBRA 306'!E20+'OBRA 307'!D20+'OBRA 308'!D20+'OBRA 310'!D20+'OBRA 311'!D20+'OBRA 312'!D20+'OBRA 313'!D20+'OBRA 314'!C20+'OBRA 315'!D20+'OBRA 316'!D20+'OBRA 317'!D20+'DEMAIS OBRAS'!G23</f>
        <v>-56187.55</v>
      </c>
      <c r="H23" s="191">
        <f>'OBRA 251'!G22+'OBRA 274'!H23+'OBRA 283'!G20+'OBRA 286'!G20+'OBRA 287'!G20+'OBRA 291'!G20+'OBRA 295'!F20+'OBRA 296'!F20+'OBRA 298'!F21+'OBRA 300'!F21+'OBRA 301'!F20+'OBRA 303'!F20+'OBRA 304'!F20+'OBRA 305'!E20+'OBRA 306'!F20+'OBRA 307'!E20+'OBRA 308'!E20+'OBRA 310'!E20+'OBRA 311'!E20+'OBRA 312'!E20+'OBRA 313'!E20+'OBRA 314'!D20+'OBRA 315'!E20+'OBRA 316'!E20+'OBRA 317'!E20+'DEMAIS OBRAS'!H23</f>
        <v>-47019.82</v>
      </c>
      <c r="I23" s="20">
        <f>'OBRA 251'!H22+'OBRA 274'!I23+'OBRA 283'!H20+'OBRA 286'!H20+'OBRA 287'!H20+'OBRA 291'!H20+'OBRA 295'!G20+'OBRA 296'!G20+'OBRA 298'!G21+'OBRA 300'!G21+'OBRA 301'!G20+'OBRA 303'!G20+'OBRA 304'!G20+'OBRA 305'!F20+'OBRA 306'!G20+'OBRA 307'!F20+'OBRA 308'!F20+'OBRA 310'!F20+'OBRA 311'!F20+'OBRA 312'!F20+'OBRA 313'!F20+'OBRA 314'!E20+'OBRA 315'!F20+'OBRA 316'!F20+'OBRA 317'!F20+'DEMAIS OBRAS'!I23+'OBRA 318'!B20+'OBRA 319'!B20</f>
        <v>-41446.079999999994</v>
      </c>
      <c r="J23" s="193">
        <f>'OBRA 251'!I22+'OBRA 274'!J23+'OBRA 283'!I20+'OBRA 286'!I20+'OBRA 287'!I20+'OBRA 291'!I20+'OBRA 295'!H20+'OBRA 296'!H20+'OBRA 298'!H21+'OBRA 300'!H21+'OBRA 301'!H20+'OBRA 303'!H20+'OBRA 304'!H20+'OBRA 305'!G20+'OBRA 306'!H20+'OBRA 307'!G20+'OBRA 308'!G20+'OBRA 310'!G20+'OBRA 311'!G20+'OBRA 312'!G20+'OBRA 313'!G20+'OBRA 314'!F20+'OBRA 315'!G20+'OBRA 316'!G20+'OBRA 317'!G20+'DEMAIS OBRAS'!J23+'OBRA 318'!C20+'OBRA 319'!C20</f>
        <v>-58958.92</v>
      </c>
      <c r="K23" s="152">
        <v>0</v>
      </c>
      <c r="L23" s="152">
        <v>0</v>
      </c>
      <c r="M23" s="152">
        <v>0</v>
      </c>
      <c r="N23" s="152">
        <v>0</v>
      </c>
      <c r="O23" s="152">
        <v>0</v>
      </c>
      <c r="P23" s="152">
        <v>0</v>
      </c>
      <c r="Q23" s="152">
        <v>0</v>
      </c>
      <c r="R23" s="22">
        <f t="shared" si="5"/>
        <v>-1700374.23</v>
      </c>
      <c r="S23" s="21">
        <f t="shared" si="7"/>
        <v>2.8099790306020341E-2</v>
      </c>
      <c r="U23" s="70">
        <f t="shared" si="0"/>
        <v>-1700374.23</v>
      </c>
      <c r="V23" s="70">
        <f t="shared" si="1"/>
        <v>0</v>
      </c>
      <c r="W23" s="194">
        <v>-645.82000000000005</v>
      </c>
      <c r="X23" s="179">
        <f t="shared" si="6"/>
        <v>-1701020.05</v>
      </c>
      <c r="Y23" s="70">
        <f t="shared" si="4"/>
        <v>-191547.21999999962</v>
      </c>
    </row>
    <row r="24" spans="1:26" ht="15" x14ac:dyDescent="0.2">
      <c r="A24" s="15" t="s">
        <v>15</v>
      </c>
      <c r="B24" s="76">
        <v>4304.12</v>
      </c>
      <c r="C24" s="76">
        <f>17268.74-B24</f>
        <v>12964.620000000003</v>
      </c>
      <c r="D24" s="76">
        <v>-6099.13</v>
      </c>
      <c r="E24" s="76">
        <v>-13421.53</v>
      </c>
      <c r="F24" s="22">
        <f>'OBRA 251'!E23+'OBRA 274'!F24+'OBRA 283'!E21+'OBRA 286'!E21+'OBRA 287'!E21+'OBRA 291'!E21+'OBRA 295'!D21+'OBRA 296'!D21+'OBRA 298'!D22+'OBRA 300'!D22+'OBRA 301'!D21+'OBRA 303'!D21+'OBRA 304'!D21+'OBRA 305'!C21+'OBRA 306'!D21+'OBRA 307'!C21+'OBRA 308'!C21+'OBRA 310'!C21+'OBRA 311'!C21+'OBRA 312'!C21+'OBRA 313'!C21+'OBRA 314'!B21+'OBRA 315'!C21+'OBRA 316'!C21+'OBRA 317'!C21+'DEMAIS OBRAS'!F24</f>
        <v>-2956.74</v>
      </c>
      <c r="G24" s="155">
        <f>'OBRA 251'!F23+'OBRA 274'!G24+'OBRA 283'!F21+'OBRA 286'!F21+'OBRA 287'!F21+'OBRA 291'!F21+'OBRA 295'!E21+'OBRA 296'!E21+'OBRA 298'!E22+'OBRA 300'!E22+'OBRA 301'!E21+'OBRA 303'!E21+'OBRA 304'!E21+'OBRA 305'!D21+'OBRA 306'!E21+'OBRA 307'!D21+'OBRA 308'!D21+'OBRA 310'!D21+'OBRA 311'!D21+'OBRA 312'!D21+'OBRA 313'!D21+'OBRA 314'!C21+'OBRA 315'!D21+'OBRA 316'!D21+'OBRA 317'!D21+'DEMAIS OBRAS'!G24</f>
        <v>6489.78</v>
      </c>
      <c r="H24" s="20">
        <f>'OBRA 251'!G23+'OBRA 274'!H24+'OBRA 283'!G21+'OBRA 286'!G21+'OBRA 287'!G21+'OBRA 291'!G21+'OBRA 295'!F21+'OBRA 296'!F21+'OBRA 298'!F22+'OBRA 300'!F22+'OBRA 301'!F21+'OBRA 303'!F21+'OBRA 304'!F21+'OBRA 305'!E21+'OBRA 306'!F21+'OBRA 307'!E21+'OBRA 308'!E21+'OBRA 310'!E21+'OBRA 311'!E21+'OBRA 312'!E21+'OBRA 313'!E21+'OBRA 314'!D21+'OBRA 315'!E21+'OBRA 316'!E21+'OBRA 317'!E21+'DEMAIS OBRAS'!H24</f>
        <v>0</v>
      </c>
      <c r="I24" s="20">
        <f>'OBRA 251'!H23+'OBRA 274'!I24+'OBRA 283'!H21+'OBRA 286'!H21+'OBRA 287'!H21+'OBRA 291'!H21+'OBRA 295'!G21+'OBRA 296'!G21+'OBRA 298'!G22+'OBRA 300'!G22+'OBRA 301'!G21+'OBRA 303'!G21+'OBRA 304'!G21+'OBRA 305'!F21+'OBRA 306'!G21+'OBRA 307'!F21+'OBRA 308'!F21+'OBRA 310'!F21+'OBRA 311'!F21+'OBRA 312'!F21+'OBRA 313'!F21+'OBRA 314'!E21+'OBRA 315'!F21+'OBRA 316'!F21+'OBRA 317'!F21+'DEMAIS OBRAS'!I24+'OBRA 318'!B21+'OBRA 319'!B21</f>
        <v>3783.7799999999997</v>
      </c>
      <c r="J24" s="193">
        <f>'OBRA 251'!I23+'OBRA 274'!J24+'OBRA 283'!I21+'OBRA 286'!I21+'OBRA 287'!I21+'OBRA 291'!I21+'OBRA 295'!H21+'OBRA 296'!H21+'OBRA 298'!H22+'OBRA 300'!H22+'OBRA 301'!H21+'OBRA 303'!H21+'OBRA 304'!H21+'OBRA 305'!G21+'OBRA 306'!H21+'OBRA 307'!G21+'OBRA 308'!G21+'OBRA 310'!G21+'OBRA 311'!G21+'OBRA 312'!G21+'OBRA 313'!G21+'OBRA 314'!F21+'OBRA 315'!G21+'OBRA 316'!G21+'OBRA 317'!G21+'DEMAIS OBRAS'!J24+'OBRA 318'!C21+'OBRA 319'!C21</f>
        <v>-1366.37</v>
      </c>
      <c r="K24" s="152">
        <v>0</v>
      </c>
      <c r="L24" s="152">
        <v>0</v>
      </c>
      <c r="M24" s="152">
        <v>0</v>
      </c>
      <c r="N24" s="152">
        <v>0</v>
      </c>
      <c r="O24" s="152">
        <v>0</v>
      </c>
      <c r="P24" s="152">
        <v>0</v>
      </c>
      <c r="Q24" s="152">
        <v>0</v>
      </c>
      <c r="R24" s="22">
        <f t="shared" si="5"/>
        <v>3698.5299999999997</v>
      </c>
      <c r="S24" s="21">
        <f>R24/$R$14</f>
        <v>6.1120614278261203E-5</v>
      </c>
      <c r="U24" s="70">
        <f t="shared" si="0"/>
        <v>3698.5299999999997</v>
      </c>
      <c r="V24" s="70">
        <f t="shared" si="1"/>
        <v>0</v>
      </c>
      <c r="W24" s="178"/>
      <c r="X24" s="179">
        <f t="shared" si="6"/>
        <v>3698.5299999999997</v>
      </c>
      <c r="Y24" s="70">
        <f t="shared" si="4"/>
        <v>-222813.53000000014</v>
      </c>
    </row>
    <row r="25" spans="1:26" ht="15" x14ac:dyDescent="0.2">
      <c r="A25" s="15" t="s">
        <v>16</v>
      </c>
      <c r="B25" s="76">
        <v>0</v>
      </c>
      <c r="C25" s="76">
        <f>-1000-B25</f>
        <v>-1000</v>
      </c>
      <c r="D25" s="76">
        <v>-35300.39</v>
      </c>
      <c r="E25" s="76">
        <v>-16637.66</v>
      </c>
      <c r="F25" s="22">
        <f>'OBRA 251'!E24+'OBRA 274'!F25+'OBRA 283'!E22+'OBRA 286'!E22+'OBRA 287'!E22+'OBRA 291'!E22+'OBRA 295'!D22+'OBRA 296'!D22+'OBRA 298'!D23+'OBRA 300'!D23+'OBRA 301'!D22+'OBRA 303'!D22+'OBRA 304'!D22+'OBRA 305'!C22+'OBRA 306'!D22+'OBRA 307'!C22+'OBRA 308'!C22+'OBRA 310'!C22+'OBRA 311'!C22+'OBRA 312'!C22+'OBRA 313'!C22+'OBRA 314'!B22+'OBRA 315'!C22+'OBRA 316'!C22+'OBRA 317'!C22+'DEMAIS OBRAS'!F25</f>
        <v>-574.69000000000005</v>
      </c>
      <c r="G25" s="155">
        <f>'OBRA 251'!F24+'OBRA 274'!G25+'OBRA 283'!F22+'OBRA 286'!F22+'OBRA 287'!F22+'OBRA 291'!F22+'OBRA 295'!E22+'OBRA 296'!E22+'OBRA 298'!E23+'OBRA 300'!E23+'OBRA 301'!E22+'OBRA 303'!E22+'OBRA 304'!E22+'OBRA 305'!D22+'OBRA 306'!E22+'OBRA 307'!D22+'OBRA 308'!D22+'OBRA 310'!D22+'OBRA 311'!D22+'OBRA 312'!D22+'OBRA 313'!D22+'OBRA 314'!C22+'OBRA 315'!D22+'OBRA 316'!D22+'OBRA 317'!D22+'DEMAIS OBRAS'!G25</f>
        <v>-292.3</v>
      </c>
      <c r="H25" s="20">
        <v>0</v>
      </c>
      <c r="I25" s="20">
        <f>'OBRA 251'!H24+'OBRA 274'!I25+'OBRA 283'!H22+'OBRA 286'!H22+'OBRA 287'!H22+'OBRA 291'!H22+'OBRA 295'!G22+'OBRA 296'!G22+'OBRA 298'!G23+'OBRA 300'!G23+'OBRA 301'!G22+'OBRA 303'!G22+'OBRA 304'!G22+'OBRA 305'!F22+'OBRA 306'!G22+'OBRA 307'!F22+'OBRA 308'!F22+'OBRA 310'!F22+'OBRA 311'!F22+'OBRA 312'!F22+'OBRA 313'!F22+'OBRA 314'!E22+'OBRA 315'!F22+'OBRA 316'!F22+'OBRA 317'!F22+'DEMAIS OBRAS'!I25+'OBRA 318'!B22+'OBRA 319'!B22</f>
        <v>0</v>
      </c>
      <c r="J25" s="193">
        <f>'OBRA 251'!I24+'OBRA 274'!J25+'OBRA 283'!I22+'OBRA 286'!I22+'OBRA 287'!I22+'OBRA 291'!I22+'OBRA 295'!H22+'OBRA 296'!H22+'OBRA 298'!H23+'OBRA 300'!H23+'OBRA 301'!H22+'OBRA 303'!H22+'OBRA 304'!H22+'OBRA 305'!G22+'OBRA 306'!H22+'OBRA 307'!G22+'OBRA 308'!G22+'OBRA 310'!G22+'OBRA 311'!G22+'OBRA 312'!G22+'OBRA 313'!G22+'OBRA 314'!F22+'OBRA 315'!G22+'OBRA 316'!G22+'OBRA 317'!G22+'DEMAIS OBRAS'!J25+'OBRA 318'!C22+'OBRA 319'!C22</f>
        <v>-2145.59</v>
      </c>
      <c r="K25" s="152">
        <v>0</v>
      </c>
      <c r="L25" s="152">
        <v>0</v>
      </c>
      <c r="M25" s="152">
        <v>0</v>
      </c>
      <c r="N25" s="152">
        <v>0</v>
      </c>
      <c r="O25" s="152">
        <v>0</v>
      </c>
      <c r="P25" s="152">
        <v>0</v>
      </c>
      <c r="Q25" s="152">
        <v>0</v>
      </c>
      <c r="R25" s="22">
        <f t="shared" si="5"/>
        <v>-55950.630000000005</v>
      </c>
      <c r="S25" s="21">
        <f>R25/$R$14</f>
        <v>-9.246205586694471E-4</v>
      </c>
      <c r="U25" s="70">
        <f t="shared" si="0"/>
        <v>-55950.630000000005</v>
      </c>
      <c r="V25" s="70">
        <f t="shared" si="1"/>
        <v>0</v>
      </c>
      <c r="W25" s="178"/>
      <c r="X25" s="179">
        <f t="shared" si="6"/>
        <v>-55950.630000000005</v>
      </c>
      <c r="Y25" s="70">
        <f t="shared" si="4"/>
        <v>5950.449999999998</v>
      </c>
    </row>
    <row r="26" spans="1:26" ht="15" x14ac:dyDescent="0.2">
      <c r="A26" s="15" t="s">
        <v>17</v>
      </c>
      <c r="B26" s="76">
        <v>-89668.94</v>
      </c>
      <c r="C26" s="76">
        <f>-531865.79-B26</f>
        <v>-442196.85000000003</v>
      </c>
      <c r="D26" s="76">
        <v>-548160.56000000006</v>
      </c>
      <c r="E26" s="76">
        <v>-768525.51</v>
      </c>
      <c r="F26" s="22">
        <f>'OBRA 251'!E25+'OBRA 274'!F26+'OBRA 283'!E23+'OBRA 286'!E23+'OBRA 287'!E23+'OBRA 291'!E23+'OBRA 295'!D23+'OBRA 296'!D23+'OBRA 298'!D24+'OBRA 300'!D24+'OBRA 301'!D23+'OBRA 303'!D23+'OBRA 304'!D23+'OBRA 305'!C23+'OBRA 306'!D23+'OBRA 307'!C23+'OBRA 308'!C23+'OBRA 310'!C23+'OBRA 311'!C23+'OBRA 312'!C23+'OBRA 313'!C23+'OBRA 314'!B23+'OBRA 315'!C23+'OBRA 316'!C23+'OBRA 317'!C23+'DEMAIS OBRAS'!F26</f>
        <v>-78050.05</v>
      </c>
      <c r="G26" s="155">
        <f>'OBRA 251'!F25+'OBRA 274'!G26+'OBRA 283'!F23+'OBRA 286'!F23+'OBRA 287'!F23+'OBRA 291'!F23+'OBRA 295'!E23+'OBRA 296'!E23+'OBRA 298'!E24+'OBRA 300'!E24+'OBRA 301'!E23+'OBRA 303'!E23+'OBRA 304'!E23+'OBRA 305'!D23+'OBRA 306'!E23+'OBRA 307'!D23+'OBRA 308'!D23+'OBRA 310'!D23+'OBRA 311'!D23+'OBRA 312'!D23+'OBRA 313'!D23+'OBRA 314'!C23+'OBRA 315'!D23+'OBRA 316'!D23+'OBRA 317'!D23+'DEMAIS OBRAS'!G26</f>
        <v>-85000.660000000018</v>
      </c>
      <c r="H26" s="191">
        <f>'OBRA 251'!G25+'OBRA 274'!H26+'OBRA 283'!G23+'OBRA 286'!G23+'OBRA 287'!G23+'OBRA 291'!G23+'OBRA 295'!F23+'OBRA 296'!F23+'OBRA 298'!F24+'OBRA 300'!F24+'OBRA 301'!F23+'OBRA 303'!F23+'OBRA 304'!F23+'OBRA 305'!E23+'OBRA 306'!F23+'OBRA 307'!E23+'OBRA 308'!E23+'OBRA 310'!E23+'OBRA 311'!E23+'OBRA 312'!E23+'OBRA 313'!E23+'OBRA 314'!D23+'OBRA 315'!E23+'OBRA 316'!E23+'OBRA 317'!E23+'DEMAIS OBRAS'!H26</f>
        <v>-80756.259999999995</v>
      </c>
      <c r="I26" s="20">
        <f>'OBRA 251'!H25+'OBRA 274'!I26+'OBRA 283'!H23+'OBRA 286'!H23+'OBRA 287'!H23+'OBRA 291'!H23+'OBRA 295'!G23+'OBRA 296'!G23+'OBRA 298'!G24+'OBRA 300'!G24+'OBRA 301'!G23+'OBRA 303'!G23+'OBRA 304'!G23+'OBRA 305'!F23+'OBRA 306'!G23+'OBRA 307'!F23+'OBRA 308'!F23+'OBRA 310'!F23+'OBRA 311'!F23+'OBRA 312'!F23+'OBRA 313'!F23+'OBRA 314'!E23+'OBRA 315'!F23+'OBRA 316'!F23+'OBRA 317'!F23+'DEMAIS OBRAS'!I26+'OBRA 318'!B23+'OBRA 319'!B23</f>
        <v>-78757.530000000013</v>
      </c>
      <c r="J26" s="193">
        <f>'OBRA 251'!I25+'OBRA 274'!J26+'OBRA 283'!I23+'OBRA 286'!I23+'OBRA 287'!I23+'OBRA 291'!I23+'OBRA 295'!H23+'OBRA 296'!H23+'OBRA 298'!H24+'OBRA 300'!H24+'OBRA 301'!H23+'OBRA 303'!H23+'OBRA 304'!H23+'OBRA 305'!G23+'OBRA 306'!H23+'OBRA 307'!G23+'OBRA 308'!G23+'OBRA 310'!G23+'OBRA 311'!G23+'OBRA 312'!G23+'OBRA 313'!G23+'OBRA 314'!F23+'OBRA 315'!G23+'OBRA 316'!G23+'OBRA 317'!G23+'DEMAIS OBRAS'!J26+'OBRA 318'!C23+'OBRA 319'!C23</f>
        <v>-91740.219999999987</v>
      </c>
      <c r="K26" s="152">
        <v>0</v>
      </c>
      <c r="L26" s="152">
        <v>0</v>
      </c>
      <c r="M26" s="152">
        <v>0</v>
      </c>
      <c r="N26" s="152">
        <v>0</v>
      </c>
      <c r="O26" s="152">
        <v>0</v>
      </c>
      <c r="P26" s="152">
        <v>0</v>
      </c>
      <c r="Q26" s="152">
        <v>0</v>
      </c>
      <c r="R26" s="22">
        <f t="shared" si="5"/>
        <v>-2262856.58</v>
      </c>
      <c r="S26" s="21">
        <f t="shared" ref="S26" si="8">-R26/$R$14</f>
        <v>3.739517705499356E-2</v>
      </c>
      <c r="U26" s="70">
        <f t="shared" si="0"/>
        <v>-2262856.58</v>
      </c>
      <c r="V26" s="70">
        <f t="shared" si="1"/>
        <v>0</v>
      </c>
      <c r="W26" s="194">
        <v>-6413.18</v>
      </c>
      <c r="X26" s="179">
        <f t="shared" si="6"/>
        <v>-2269269.7600000002</v>
      </c>
      <c r="Y26" s="70">
        <f t="shared" si="4"/>
        <v>-3012.5800000000054</v>
      </c>
      <c r="Z26" s="70"/>
    </row>
    <row r="27" spans="1:26" ht="15" x14ac:dyDescent="0.2">
      <c r="A27" s="15" t="s">
        <v>18</v>
      </c>
      <c r="B27" s="76">
        <v>-9898.16</v>
      </c>
      <c r="C27" s="76">
        <f>-38629.79-B27</f>
        <v>-28731.63</v>
      </c>
      <c r="D27" s="76">
        <v>-57896.09</v>
      </c>
      <c r="E27" s="76">
        <v>-99442.68</v>
      </c>
      <c r="F27" s="22">
        <f>'OBRA 251'!E26+'OBRA 274'!F27+'OBRA 283'!E24+'OBRA 286'!E24+'OBRA 287'!E24+'OBRA 291'!E24+'OBRA 295'!D24+'OBRA 296'!D24+'OBRA 298'!D25+'OBRA 300'!D25+'OBRA 301'!D24+'OBRA 303'!D24+'OBRA 304'!D24+'OBRA 305'!C24+'OBRA 306'!D24+'OBRA 307'!C24+'OBRA 308'!C24+'OBRA 310'!C24+'OBRA 311'!C24+'OBRA 312'!C24+'OBRA 313'!C24+'OBRA 314'!B24+'OBRA 315'!C24+'OBRA 316'!C24+'OBRA 317'!C24+'DEMAIS OBRAS'!F27</f>
        <v>-12680.179999999998</v>
      </c>
      <c r="G27" s="155">
        <f>'OBRA 251'!F26+'OBRA 274'!G27+'OBRA 283'!F24+'OBRA 286'!F24+'OBRA 287'!F24+'OBRA 291'!F24+'OBRA 295'!E24+'OBRA 296'!E24+'OBRA 298'!E25+'OBRA 300'!E25+'OBRA 301'!E24+'OBRA 303'!E24+'OBRA 304'!E24+'OBRA 305'!D24+'OBRA 306'!E24+'OBRA 307'!D24+'OBRA 308'!D24+'OBRA 310'!D24+'OBRA 311'!D24+'OBRA 312'!D24+'OBRA 313'!D24+'OBRA 314'!C24+'OBRA 315'!D24+'OBRA 316'!D24+'OBRA 317'!D24+'DEMAIS OBRAS'!G27</f>
        <v>-20375.11</v>
      </c>
      <c r="H27" s="191">
        <f>'OBRA 251'!G26+'OBRA 274'!H27+'OBRA 283'!G24+'OBRA 286'!G24+'OBRA 287'!G24+'OBRA 291'!G24+'OBRA 295'!F24+'OBRA 296'!F24+'OBRA 298'!F25+'OBRA 300'!F25+'OBRA 301'!F24+'OBRA 303'!F24+'OBRA 304'!F24+'OBRA 305'!E24+'OBRA 306'!F24+'OBRA 307'!E24+'OBRA 308'!E24+'OBRA 310'!E24+'OBRA 311'!E24+'OBRA 312'!E24+'OBRA 313'!E24+'OBRA 314'!D24+'OBRA 315'!E24+'OBRA 316'!E24+'OBRA 317'!E24+'DEMAIS OBRAS'!H27</f>
        <v>-15943.510000000002</v>
      </c>
      <c r="I27" s="20">
        <f>'OBRA 251'!H26+'OBRA 274'!I27+'OBRA 283'!H24+'OBRA 286'!H24+'OBRA 287'!H24+'OBRA 291'!H24+'OBRA 295'!G24+'OBRA 296'!G24+'OBRA 298'!G25+'OBRA 300'!G25+'OBRA 301'!G24+'OBRA 303'!G24+'OBRA 304'!G24+'OBRA 305'!F24+'OBRA 306'!G24+'OBRA 307'!F24+'OBRA 308'!F24+'OBRA 310'!F24+'OBRA 311'!F24+'OBRA 312'!F24+'OBRA 313'!F24+'OBRA 314'!E24+'OBRA 315'!F24+'OBRA 316'!F24+'OBRA 317'!F24+'DEMAIS OBRAS'!I27+'OBRA 318'!B24+'OBRA 319'!B24</f>
        <v>-4860.12</v>
      </c>
      <c r="J27" s="193">
        <f>'OBRA 251'!I26+'OBRA 274'!J27+'OBRA 283'!I24+'OBRA 286'!I24+'OBRA 287'!I24+'OBRA 291'!I24+'OBRA 295'!H24+'OBRA 296'!H24+'OBRA 298'!H25+'OBRA 300'!H25+'OBRA 301'!H24+'OBRA 303'!H24+'OBRA 304'!H24+'OBRA 305'!G24+'OBRA 306'!H24+'OBRA 307'!G24+'OBRA 308'!G24+'OBRA 310'!G24+'OBRA 311'!G24+'OBRA 312'!G24+'OBRA 313'!G24+'OBRA 314'!F24+'OBRA 315'!G24+'OBRA 316'!G24+'OBRA 317'!G24+'DEMAIS OBRAS'!J27+'OBRA 318'!C24+'OBRA 319'!C24</f>
        <v>-3460.85</v>
      </c>
      <c r="K27" s="152">
        <v>0</v>
      </c>
      <c r="L27" s="152">
        <v>0</v>
      </c>
      <c r="M27" s="152">
        <v>0</v>
      </c>
      <c r="N27" s="152">
        <v>0</v>
      </c>
      <c r="O27" s="152">
        <v>0</v>
      </c>
      <c r="P27" s="152">
        <v>0</v>
      </c>
      <c r="Q27" s="152">
        <v>0</v>
      </c>
      <c r="R27" s="22">
        <f t="shared" si="5"/>
        <v>-253288.33</v>
      </c>
      <c r="S27" s="21">
        <f>-R27/$R$14</f>
        <v>4.1857544265194377E-3</v>
      </c>
      <c r="U27" s="70">
        <f t="shared" si="0"/>
        <v>-253288.33</v>
      </c>
      <c r="V27" s="70">
        <f t="shared" si="1"/>
        <v>0</v>
      </c>
      <c r="W27" s="178">
        <v>0</v>
      </c>
      <c r="X27" s="179">
        <f t="shared" si="6"/>
        <v>-253288.33</v>
      </c>
      <c r="Y27" s="70">
        <f t="shared" si="4"/>
        <v>-414304.72</v>
      </c>
    </row>
    <row r="28" spans="1:26" ht="15" x14ac:dyDescent="0.2">
      <c r="A28" s="15" t="s">
        <v>19</v>
      </c>
      <c r="B28" s="76">
        <v>-39287.360000000001</v>
      </c>
      <c r="C28" s="76">
        <f>-334088.39-B28</f>
        <v>-294801.03000000003</v>
      </c>
      <c r="D28" s="76">
        <v>-404491.46</v>
      </c>
      <c r="E28" s="76">
        <v>-465143.06</v>
      </c>
      <c r="F28" s="22">
        <f>'OBRA 251'!E27+'OBRA 274'!F28+'OBRA 283'!E25+'OBRA 286'!E25+'OBRA 287'!E25+'OBRA 291'!E25+'OBRA 295'!D25+'OBRA 296'!D25+'OBRA 298'!D26+'OBRA 300'!D26+'OBRA 301'!D25+'OBRA 303'!D25+'OBRA 304'!D25+'OBRA 305'!C25+'OBRA 306'!D25+'OBRA 307'!C25+'OBRA 308'!C25+'OBRA 310'!C25+'OBRA 311'!C25+'OBRA 312'!C25+'OBRA 313'!C25+'OBRA 314'!B25+'OBRA 315'!C25+'OBRA 316'!C25+'OBRA 317'!C25+'DEMAIS OBRAS'!F28</f>
        <v>-34360.870000000003</v>
      </c>
      <c r="G28" s="155">
        <f>'OBRA 251'!F27+'OBRA 274'!G28+'OBRA 283'!F25+'OBRA 286'!F25+'OBRA 287'!F25+'OBRA 291'!F25+'OBRA 295'!E25+'OBRA 296'!E25+'OBRA 298'!E26+'OBRA 300'!E26+'OBRA 301'!E25+'OBRA 303'!E25+'OBRA 304'!E25+'OBRA 305'!D25+'OBRA 306'!E25+'OBRA 307'!D25+'OBRA 308'!D25+'OBRA 310'!D25+'OBRA 311'!D25+'OBRA 312'!D25+'OBRA 313'!D25+'OBRA 314'!C25+'OBRA 315'!D25+'OBRA 316'!D25+'OBRA 317'!D25+'DEMAIS OBRAS'!G28</f>
        <v>-33679.81</v>
      </c>
      <c r="H28" s="191">
        <f>'OBRA 251'!G27+'OBRA 274'!H28+'OBRA 283'!G25+'OBRA 286'!G25+'OBRA 287'!G25+'OBRA 291'!G25+'OBRA 295'!F25+'OBRA 296'!F25+'OBRA 298'!F26+'OBRA 300'!F26+'OBRA 301'!F25+'OBRA 303'!F25+'OBRA 304'!F25+'OBRA 305'!E25+'OBRA 306'!F25+'OBRA 307'!E25+'OBRA 308'!E25+'OBRA 310'!E25+'OBRA 311'!E25+'OBRA 312'!E25+'OBRA 313'!E25+'OBRA 314'!D25+'OBRA 315'!E25+'OBRA 316'!E25+'OBRA 317'!E25+'DEMAIS OBRAS'!H28</f>
        <v>-33986.410000000003</v>
      </c>
      <c r="I28" s="20">
        <f>'OBRA 251'!H27+'OBRA 274'!I28+'OBRA 283'!H25+'OBRA 286'!H25+'OBRA 287'!H25+'OBRA 291'!H25+'OBRA 295'!G25+'OBRA 296'!G25+'OBRA 298'!G26+'OBRA 300'!G26+'OBRA 301'!G25+'OBRA 303'!G25+'OBRA 304'!G25+'OBRA 305'!F25+'OBRA 306'!G25+'OBRA 307'!F25+'OBRA 308'!F25+'OBRA 310'!F25+'OBRA 311'!F25+'OBRA 312'!F25+'OBRA 313'!F25+'OBRA 314'!E25+'OBRA 315'!F25+'OBRA 316'!F25+'OBRA 317'!F25+'DEMAIS OBRAS'!I28+'OBRA 318'!B25+'OBRA 319'!B25</f>
        <v>-45313.82</v>
      </c>
      <c r="J28" s="193">
        <f>'OBRA 251'!I27+'OBRA 274'!J28+'OBRA 283'!I25+'OBRA 286'!I25+'OBRA 287'!I25+'OBRA 291'!I25+'OBRA 295'!H25+'OBRA 296'!H25+'OBRA 298'!H26+'OBRA 300'!H26+'OBRA 301'!H25+'OBRA 303'!H25+'OBRA 304'!H25+'OBRA 305'!G25+'OBRA 306'!H25+'OBRA 307'!G25+'OBRA 308'!G25+'OBRA 310'!G25+'OBRA 311'!G25+'OBRA 312'!G25+'OBRA 313'!G25+'OBRA 314'!F25+'OBRA 315'!G25+'OBRA 316'!G25+'OBRA 317'!G25+'DEMAIS OBRAS'!J28+'OBRA 318'!C25+'OBRA 319'!C25</f>
        <v>-39018.239999999998</v>
      </c>
      <c r="K28" s="152">
        <v>0</v>
      </c>
      <c r="L28" s="152">
        <v>0</v>
      </c>
      <c r="M28" s="152">
        <v>0</v>
      </c>
      <c r="N28" s="152">
        <v>0</v>
      </c>
      <c r="O28" s="152">
        <v>0</v>
      </c>
      <c r="P28" s="152">
        <v>0</v>
      </c>
      <c r="Q28" s="152">
        <v>0</v>
      </c>
      <c r="R28" s="22">
        <f t="shared" si="5"/>
        <v>-1390082.0600000003</v>
      </c>
      <c r="S28" s="21">
        <f t="shared" ref="S28:S30" si="9">-R28/$R$14</f>
        <v>2.2972010340430057E-2</v>
      </c>
      <c r="U28" s="70">
        <f t="shared" si="0"/>
        <v>-1390082.0600000003</v>
      </c>
      <c r="V28" s="70">
        <f t="shared" si="1"/>
        <v>0</v>
      </c>
      <c r="W28" s="178"/>
      <c r="X28" s="179">
        <f t="shared" si="6"/>
        <v>-1390082.0600000003</v>
      </c>
      <c r="Y28" s="70">
        <f t="shared" si="4"/>
        <v>-57319.76999999999</v>
      </c>
    </row>
    <row r="29" spans="1:26" ht="15" x14ac:dyDescent="0.2">
      <c r="A29" s="15" t="s">
        <v>20</v>
      </c>
      <c r="B29" s="76">
        <v>-450</v>
      </c>
      <c r="C29" s="76">
        <f>-450-B29</f>
        <v>0</v>
      </c>
      <c r="D29" s="76">
        <v>-1680</v>
      </c>
      <c r="E29" s="76">
        <v>0</v>
      </c>
      <c r="F29" s="22">
        <f>'OBRA 251'!E28+'OBRA 274'!F29+'OBRA 283'!E26+'OBRA 286'!E26+'OBRA 287'!E26+'OBRA 291'!E26+'OBRA 295'!D26+'OBRA 296'!D26+'OBRA 298'!D27+'OBRA 300'!D27+'OBRA 301'!D26+'OBRA 303'!D26+'OBRA 304'!D26+'OBRA 305'!C26+'OBRA 306'!D26+'OBRA 307'!C26+'OBRA 308'!C26+'OBRA 310'!C26+'OBRA 311'!C26+'OBRA 312'!C26+'OBRA 313'!C26+'OBRA 314'!B26+'OBRA 315'!C26+'OBRA 316'!C26+'OBRA 317'!C26+'DEMAIS OBRAS'!F29</f>
        <v>0</v>
      </c>
      <c r="G29" s="22">
        <f>'OBRA 251'!F28+'OBRA 274'!G29+'OBRA 283'!F26+'OBRA 286'!F26+'OBRA 287'!F26+'OBRA 291'!F26+'OBRA 295'!E26+'OBRA 296'!E26+'OBRA 298'!E27+'OBRA 300'!E27+'OBRA 301'!E26+'OBRA 303'!E26+'OBRA 304'!E26+'OBRA 305'!D26+'OBRA 306'!E26+'OBRA 307'!D26+'OBRA 308'!D26+'OBRA 310'!D26+'OBRA 311'!D26+'OBRA 312'!D26+'OBRA 313'!D26+'OBRA 314'!C26+'OBRA 315'!D26+'OBRA 316'!D26+'OBRA 317'!D26+'DEMAIS OBRAS'!G29</f>
        <v>0</v>
      </c>
      <c r="H29" s="20">
        <f>'OBRA 251'!G28+'OBRA 274'!H29+'OBRA 283'!G26+'OBRA 286'!G26+'OBRA 287'!G26+'OBRA 291'!G26+'OBRA 295'!F26+'OBRA 296'!F26+'OBRA 298'!F27+'OBRA 300'!F27+'OBRA 301'!F26+'OBRA 303'!F26+'OBRA 304'!F26+'OBRA 305'!E26+'OBRA 306'!F26+'OBRA 307'!E26+'OBRA 308'!E26+'OBRA 310'!E26+'OBRA 311'!E26+'OBRA 312'!E26+'OBRA 313'!E26+'OBRA 314'!D26+'OBRA 315'!E26+'OBRA 316'!E26+'OBRA 317'!E26+'DEMAIS OBRAS'!H29</f>
        <v>0</v>
      </c>
      <c r="I29" s="20">
        <f>'OBRA 251'!H28+'OBRA 274'!I29+'OBRA 283'!H26+'OBRA 286'!H26+'OBRA 287'!H26+'OBRA 291'!H26+'OBRA 295'!G26+'OBRA 296'!G26+'OBRA 298'!G27+'OBRA 300'!G27+'OBRA 301'!G26+'OBRA 303'!G26+'OBRA 304'!G26+'OBRA 305'!F26+'OBRA 306'!G26+'OBRA 307'!F26+'OBRA 308'!F26+'OBRA 310'!F26+'OBRA 311'!F26+'OBRA 312'!F26+'OBRA 313'!F26+'OBRA 314'!E26+'OBRA 315'!F26+'OBRA 316'!F26+'OBRA 317'!F26+'DEMAIS OBRAS'!I29+'OBRA 318'!B26+'OBRA 319'!B26</f>
        <v>0</v>
      </c>
      <c r="J29" s="20">
        <f>'OBRA 251'!I28+'OBRA 274'!J29+'OBRA 283'!I26+'OBRA 286'!I26+'OBRA 287'!I26+'OBRA 291'!I26+'OBRA 295'!H26+'OBRA 296'!H26+'OBRA 298'!H27+'OBRA 300'!H27+'OBRA 301'!H26+'OBRA 303'!H26+'OBRA 304'!H26+'OBRA 305'!G26+'OBRA 306'!H26+'OBRA 307'!G26+'OBRA 308'!G26+'OBRA 310'!G26+'OBRA 311'!G26+'OBRA 312'!G26+'OBRA 313'!G26+'OBRA 314'!F26+'OBRA 315'!G26+'OBRA 316'!G26+'OBRA 317'!G26+'DEMAIS OBRAS'!J29+'OBRA 318'!C26+'OBRA 319'!C26</f>
        <v>0</v>
      </c>
      <c r="K29" s="152">
        <v>0</v>
      </c>
      <c r="L29" s="152">
        <v>0</v>
      </c>
      <c r="M29" s="152">
        <v>0</v>
      </c>
      <c r="N29" s="152">
        <v>0</v>
      </c>
      <c r="O29" s="152">
        <v>0</v>
      </c>
      <c r="P29" s="152">
        <v>0</v>
      </c>
      <c r="Q29" s="152">
        <v>0</v>
      </c>
      <c r="R29" s="22">
        <f t="shared" si="5"/>
        <v>-2130</v>
      </c>
      <c r="S29" s="21">
        <f t="shared" si="9"/>
        <v>3.519963564245697E-5</v>
      </c>
      <c r="U29" s="70">
        <f t="shared" si="0"/>
        <v>-2130</v>
      </c>
      <c r="V29" s="70">
        <f t="shared" si="1"/>
        <v>0</v>
      </c>
      <c r="W29" s="178"/>
      <c r="X29" s="179">
        <f t="shared" si="6"/>
        <v>-2130</v>
      </c>
      <c r="Y29" s="70">
        <f t="shared" si="4"/>
        <v>-186359.1500000002</v>
      </c>
    </row>
    <row r="30" spans="1:26" ht="15" x14ac:dyDescent="0.2">
      <c r="A30" s="15" t="s">
        <v>59</v>
      </c>
      <c r="B30" s="76">
        <v>-660</v>
      </c>
      <c r="C30" s="76">
        <f>-660-B30</f>
        <v>0</v>
      </c>
      <c r="D30" s="76">
        <v>0</v>
      </c>
      <c r="E30" s="76">
        <v>0</v>
      </c>
      <c r="F30" s="22">
        <f>'OBRA 251'!E29+'OBRA 274'!F30+'OBRA 283'!E27+'OBRA 286'!E27+'OBRA 287'!E27+'OBRA 291'!E27+'OBRA 295'!D27+'OBRA 296'!D27+'OBRA 298'!D28+'OBRA 300'!D28+'OBRA 301'!D27+'OBRA 303'!D27+'OBRA 304'!D27+'OBRA 305'!C27+'OBRA 306'!D27+'OBRA 307'!C27+'OBRA 308'!C27+'OBRA 310'!C27+'OBRA 311'!C27+'OBRA 312'!C27+'OBRA 313'!C27+'OBRA 314'!B27+'OBRA 315'!C27+'OBRA 316'!C27+'OBRA 317'!C27+'DEMAIS OBRAS'!F30</f>
        <v>0</v>
      </c>
      <c r="G30" s="22">
        <f>'OBRA 251'!F29+'OBRA 274'!G30+'OBRA 283'!F27+'OBRA 286'!F27+'OBRA 287'!F27+'OBRA 291'!F27+'OBRA 295'!E27+'OBRA 296'!E27+'OBRA 298'!E28+'OBRA 300'!E28+'OBRA 301'!E27+'OBRA 303'!E27+'OBRA 304'!E27+'OBRA 305'!D27+'OBRA 306'!E27+'OBRA 307'!D27+'OBRA 308'!D27+'OBRA 310'!D27+'OBRA 311'!D27+'OBRA 312'!D27+'OBRA 313'!D27+'OBRA 314'!C27+'OBRA 315'!D27+'OBRA 316'!D27+'OBRA 317'!D27+'DEMAIS OBRAS'!G30</f>
        <v>0</v>
      </c>
      <c r="H30" s="20">
        <f>'OBRA 251'!G29+'OBRA 274'!H30+'OBRA 283'!G27+'OBRA 286'!G27+'OBRA 287'!G27+'OBRA 291'!G27+'OBRA 295'!F27+'OBRA 296'!F27+'OBRA 298'!F28+'OBRA 300'!F28+'OBRA 301'!F27+'OBRA 303'!F27+'OBRA 304'!F27+'OBRA 305'!E27+'OBRA 306'!F27+'OBRA 307'!E27+'OBRA 308'!E27+'OBRA 310'!E27+'OBRA 311'!E27+'OBRA 312'!E27+'OBRA 313'!E27+'OBRA 314'!D27+'OBRA 315'!E27+'OBRA 316'!E27+'OBRA 317'!E27+'DEMAIS OBRAS'!H30</f>
        <v>0</v>
      </c>
      <c r="I30" s="20">
        <f>'OBRA 251'!H29+'OBRA 274'!I30+'OBRA 283'!H27+'OBRA 286'!H27+'OBRA 287'!H27+'OBRA 291'!H27+'OBRA 295'!G27+'OBRA 296'!G27+'OBRA 298'!G28+'OBRA 300'!G28+'OBRA 301'!G27+'OBRA 303'!G27+'OBRA 304'!G27+'OBRA 305'!F27+'OBRA 306'!G27+'OBRA 307'!F27+'OBRA 308'!F27+'OBRA 310'!F27+'OBRA 311'!F27+'OBRA 312'!F27+'OBRA 313'!F27+'OBRA 314'!E27+'OBRA 315'!F27+'OBRA 316'!F27+'OBRA 317'!F27+'DEMAIS OBRAS'!I30+'OBRA 318'!B27+'OBRA 319'!B27</f>
        <v>0</v>
      </c>
      <c r="J30" s="20">
        <f>'OBRA 251'!I29+'OBRA 274'!J30+'OBRA 283'!I27+'OBRA 286'!I27+'OBRA 287'!I27+'OBRA 291'!I27+'OBRA 295'!H27+'OBRA 296'!H27+'OBRA 298'!H28+'OBRA 300'!H28+'OBRA 301'!H27+'OBRA 303'!H27+'OBRA 304'!H27+'OBRA 305'!G27+'OBRA 306'!H27+'OBRA 307'!G27+'OBRA 308'!G27+'OBRA 310'!G27+'OBRA 311'!G27+'OBRA 312'!G27+'OBRA 313'!G27+'OBRA 314'!F27+'OBRA 315'!G27+'OBRA 316'!G27+'OBRA 317'!G27+'DEMAIS OBRAS'!J30+'OBRA 318'!C27+'OBRA 319'!C27</f>
        <v>0</v>
      </c>
      <c r="K30" s="152">
        <v>0</v>
      </c>
      <c r="L30" s="152">
        <v>0</v>
      </c>
      <c r="M30" s="152">
        <v>0</v>
      </c>
      <c r="N30" s="152">
        <v>0</v>
      </c>
      <c r="O30" s="152">
        <v>0</v>
      </c>
      <c r="P30" s="152">
        <v>0</v>
      </c>
      <c r="Q30" s="152">
        <v>0</v>
      </c>
      <c r="R30" s="22">
        <f t="shared" si="5"/>
        <v>-660</v>
      </c>
      <c r="S30" s="21">
        <f t="shared" si="9"/>
        <v>1.0906929354000751E-5</v>
      </c>
      <c r="U30" s="70">
        <f t="shared" si="0"/>
        <v>-660</v>
      </c>
      <c r="V30" s="70">
        <f t="shared" si="1"/>
        <v>0</v>
      </c>
      <c r="W30" s="178"/>
      <c r="X30" s="179">
        <f t="shared" si="6"/>
        <v>-660</v>
      </c>
      <c r="Y30" s="70">
        <f t="shared" si="4"/>
        <v>0</v>
      </c>
    </row>
    <row r="31" spans="1:26" ht="15" x14ac:dyDescent="0.2">
      <c r="A31" s="15" t="s">
        <v>21</v>
      </c>
      <c r="B31" s="76">
        <v>-10583.57</v>
      </c>
      <c r="C31" s="76">
        <f>-59411.94-B31</f>
        <v>-48828.37</v>
      </c>
      <c r="D31" s="76">
        <v>-46201</v>
      </c>
      <c r="E31" s="76">
        <v>-67690</v>
      </c>
      <c r="F31" s="22">
        <f>'OBRA 251'!E30+'OBRA 274'!F31+'OBRA 283'!E28+'OBRA 286'!E28+'OBRA 287'!E28+'OBRA 291'!E28+'OBRA 295'!D28+'OBRA 296'!D28+'OBRA 298'!D29+'OBRA 300'!D29+'OBRA 301'!D28+'OBRA 303'!D28+'OBRA 304'!D28+'OBRA 305'!C28+'OBRA 306'!D28+'OBRA 307'!C28+'OBRA 308'!C28+'OBRA 310'!C28+'OBRA 311'!C28+'OBRA 312'!C28+'OBRA 313'!C28+'OBRA 314'!B28+'OBRA 315'!C28+'OBRA 316'!C28+'OBRA 317'!C28+'DEMAIS OBRAS'!F31</f>
        <v>-1755</v>
      </c>
      <c r="G31" s="155">
        <f>'OBRA 251'!F30+'OBRA 274'!G31+'OBRA 283'!F28+'OBRA 286'!F28+'OBRA 287'!F28+'OBRA 291'!F28+'OBRA 295'!E28+'OBRA 296'!E28+'OBRA 298'!E29+'OBRA 300'!E29+'OBRA 301'!E28+'OBRA 303'!E28+'OBRA 304'!E28+'OBRA 305'!D28+'OBRA 306'!E28+'OBRA 307'!D28+'OBRA 308'!D28+'OBRA 310'!D28+'OBRA 311'!D28+'OBRA 312'!D28+'OBRA 313'!D28+'OBRA 314'!C28+'OBRA 315'!D28+'OBRA 316'!D28+'OBRA 317'!D28+'DEMAIS OBRAS'!G31</f>
        <v>-6935</v>
      </c>
      <c r="H31" s="191">
        <f>'OBRA 251'!G30+'OBRA 274'!H31+'OBRA 283'!G28+'OBRA 286'!G28+'OBRA 287'!G28+'OBRA 291'!G28+'OBRA 295'!F28+'OBRA 296'!F28+'OBRA 298'!F29+'OBRA 300'!F29+'OBRA 301'!F28+'OBRA 303'!F28+'OBRA 304'!F28+'OBRA 305'!E28+'OBRA 306'!F28+'OBRA 307'!E28+'OBRA 308'!E28+'OBRA 310'!E28+'OBRA 311'!E28+'OBRA 312'!E28+'OBRA 313'!E28+'OBRA 314'!D28+'OBRA 315'!E28+'OBRA 316'!E28+'OBRA 317'!E28+'DEMAIS OBRAS'!H31</f>
        <v>-4910</v>
      </c>
      <c r="I31" s="20">
        <f>'OBRA 251'!H30+'OBRA 274'!I31+'OBRA 283'!H28+'OBRA 286'!H28+'OBRA 287'!H28+'OBRA 291'!H28+'OBRA 295'!G28+'OBRA 296'!G28+'OBRA 298'!G29+'OBRA 300'!G29+'OBRA 301'!G28+'OBRA 303'!G28+'OBRA 304'!G28+'OBRA 305'!F28+'OBRA 306'!G28+'OBRA 307'!F28+'OBRA 308'!F28+'OBRA 310'!F28+'OBRA 311'!F28+'OBRA 312'!F28+'OBRA 313'!F28+'OBRA 314'!E28+'OBRA 315'!F28+'OBRA 316'!F28+'OBRA 317'!F28+'DEMAIS OBRAS'!I31+'OBRA 318'!B28+'OBRA 319'!B28</f>
        <v>-2835</v>
      </c>
      <c r="J31" s="193">
        <f>'OBRA 251'!I30+'OBRA 274'!J31+'OBRA 283'!I28+'OBRA 286'!I28+'OBRA 287'!I28+'OBRA 291'!I28+'OBRA 295'!H28+'OBRA 296'!H28+'OBRA 298'!H29+'OBRA 300'!H29+'OBRA 301'!H28+'OBRA 303'!H28+'OBRA 304'!H28+'OBRA 305'!G28+'OBRA 306'!H28+'OBRA 307'!G28+'OBRA 308'!G28+'OBRA 310'!G28+'OBRA 311'!G28+'OBRA 312'!G28+'OBRA 313'!G28+'OBRA 314'!F28+'OBRA 315'!G28+'OBRA 316'!G28+'OBRA 317'!G28+'DEMAIS OBRAS'!J31+'OBRA 318'!C28+'OBRA 319'!C28</f>
        <v>-7610</v>
      </c>
      <c r="K31" s="152">
        <v>0</v>
      </c>
      <c r="L31" s="152">
        <v>0</v>
      </c>
      <c r="M31" s="152">
        <v>0</v>
      </c>
      <c r="N31" s="152">
        <v>0</v>
      </c>
      <c r="O31" s="152">
        <v>0</v>
      </c>
      <c r="P31" s="152">
        <v>0</v>
      </c>
      <c r="Q31" s="152">
        <v>0</v>
      </c>
      <c r="R31" s="22">
        <f t="shared" si="5"/>
        <v>-197347.94</v>
      </c>
      <c r="S31" s="21">
        <f>-R31/$R$14</f>
        <v>3.2613030905114834E-3</v>
      </c>
      <c r="U31" s="70">
        <f t="shared" si="0"/>
        <v>-197347.94</v>
      </c>
      <c r="V31" s="70">
        <f t="shared" si="1"/>
        <v>0</v>
      </c>
      <c r="W31" s="194">
        <v>-975</v>
      </c>
      <c r="X31" s="179">
        <f t="shared" si="6"/>
        <v>-198322.94</v>
      </c>
      <c r="Y31" s="70">
        <f t="shared" si="4"/>
        <v>0</v>
      </c>
    </row>
    <row r="32" spans="1:26" ht="15" x14ac:dyDescent="0.2">
      <c r="A32" s="15" t="s">
        <v>22</v>
      </c>
      <c r="B32" s="76">
        <v>-2550</v>
      </c>
      <c r="C32" s="76">
        <f>-5055-B32</f>
        <v>-2505</v>
      </c>
      <c r="D32" s="76">
        <v>0</v>
      </c>
      <c r="E32" s="76">
        <v>0</v>
      </c>
      <c r="F32" s="22">
        <f>'OBRA 251'!E31+'OBRA 274'!F32+'OBRA 283'!E29+'OBRA 286'!E29+'OBRA 287'!E29+'OBRA 291'!E29+'OBRA 295'!D29+'OBRA 296'!D29+'OBRA 298'!D30+'OBRA 300'!D30+'OBRA 301'!D29+'OBRA 303'!D29+'OBRA 304'!D29+'OBRA 305'!C29+'OBRA 306'!D29+'OBRA 307'!C29+'OBRA 308'!C29+'OBRA 310'!C29+'OBRA 311'!C29+'OBRA 312'!C29+'OBRA 313'!C29+'OBRA 314'!B29+'OBRA 315'!C29+'OBRA 316'!C29+'OBRA 317'!C29+'DEMAIS OBRAS'!F32</f>
        <v>0</v>
      </c>
      <c r="G32" s="22">
        <f>'OBRA 251'!F31+'OBRA 274'!G32+'OBRA 283'!F29+'OBRA 286'!F29+'OBRA 287'!F29+'OBRA 291'!F29+'OBRA 295'!E29+'OBRA 296'!E29+'OBRA 298'!E30+'OBRA 300'!E30+'OBRA 301'!E29+'OBRA 303'!E29+'OBRA 304'!E29+'OBRA 305'!D29+'OBRA 306'!E29+'OBRA 307'!D29+'OBRA 308'!D29+'OBRA 310'!D29+'OBRA 311'!D29+'OBRA 312'!D29+'OBRA 313'!D29+'OBRA 314'!C29+'OBRA 315'!D29+'OBRA 316'!D29+'OBRA 317'!D29+'DEMAIS OBRAS'!G32</f>
        <v>0</v>
      </c>
      <c r="H32" s="20">
        <f>'OBRA 251'!G31+'OBRA 274'!H32+'OBRA 283'!G29+'OBRA 286'!G29+'OBRA 287'!G29+'OBRA 291'!G29+'OBRA 295'!F29+'OBRA 296'!F29+'OBRA 298'!F30+'OBRA 300'!F30+'OBRA 301'!F29+'OBRA 303'!F29+'OBRA 304'!F29+'OBRA 305'!E29+'OBRA 306'!F29+'OBRA 307'!E29+'OBRA 308'!E29+'OBRA 310'!E29+'OBRA 311'!E29+'OBRA 312'!E29+'OBRA 313'!E29+'OBRA 314'!D29+'OBRA 315'!E29+'OBRA 316'!E29+'OBRA 317'!E29+'DEMAIS OBRAS'!H32</f>
        <v>0</v>
      </c>
      <c r="I32" s="20">
        <f>'OBRA 251'!H31+'OBRA 274'!I32+'OBRA 283'!H29+'OBRA 286'!H29+'OBRA 287'!H29+'OBRA 291'!H29+'OBRA 295'!G29+'OBRA 296'!G29+'OBRA 298'!G30+'OBRA 300'!G30+'OBRA 301'!G29+'OBRA 303'!G29+'OBRA 304'!G29+'OBRA 305'!F29+'OBRA 306'!G29+'OBRA 307'!F29+'OBRA 308'!F29+'OBRA 310'!F29+'OBRA 311'!F29+'OBRA 312'!F29+'OBRA 313'!F29+'OBRA 314'!E29+'OBRA 315'!F29+'OBRA 316'!F29+'OBRA 317'!F29+'DEMAIS OBRAS'!I32+'OBRA 318'!B29+'OBRA 319'!B29</f>
        <v>0</v>
      </c>
      <c r="J32" s="20">
        <f>'OBRA 251'!I31+'OBRA 274'!J32+'OBRA 283'!I29+'OBRA 286'!I29+'OBRA 287'!I29+'OBRA 291'!I29+'OBRA 295'!H29+'OBRA 296'!H29+'OBRA 298'!H30+'OBRA 300'!H30+'OBRA 301'!H29+'OBRA 303'!H29+'OBRA 304'!H29+'OBRA 305'!G29+'OBRA 306'!H29+'OBRA 307'!G29+'OBRA 308'!G29+'OBRA 310'!G29+'OBRA 311'!G29+'OBRA 312'!G29+'OBRA 313'!G29+'OBRA 314'!F29+'OBRA 315'!G29+'OBRA 316'!G29+'OBRA 317'!G29+'DEMAIS OBRAS'!J32+'OBRA 318'!C29+'OBRA 319'!C29</f>
        <v>0</v>
      </c>
      <c r="K32" s="152">
        <v>0</v>
      </c>
      <c r="L32" s="152">
        <v>0</v>
      </c>
      <c r="M32" s="152">
        <v>0</v>
      </c>
      <c r="N32" s="152">
        <v>0</v>
      </c>
      <c r="O32" s="152">
        <v>0</v>
      </c>
      <c r="P32" s="152">
        <v>0</v>
      </c>
      <c r="Q32" s="152">
        <v>0</v>
      </c>
      <c r="R32" s="22">
        <f t="shared" si="5"/>
        <v>-5055</v>
      </c>
      <c r="S32" s="21">
        <f>-R32/$R$14</f>
        <v>8.3537163461323941E-5</v>
      </c>
      <c r="U32" s="70">
        <f t="shared" si="0"/>
        <v>-5055</v>
      </c>
      <c r="V32" s="70">
        <f t="shared" si="1"/>
        <v>0</v>
      </c>
      <c r="W32" s="178"/>
      <c r="X32" s="179">
        <f t="shared" si="6"/>
        <v>-5055</v>
      </c>
      <c r="Y32" s="70">
        <f t="shared" si="4"/>
        <v>-24045</v>
      </c>
    </row>
    <row r="33" spans="1:25" ht="17.100000000000001" customHeight="1" x14ac:dyDescent="0.2">
      <c r="A33" s="33" t="s">
        <v>23</v>
      </c>
      <c r="B33" s="76">
        <v>-37867.99</v>
      </c>
      <c r="C33" s="76">
        <f>-86257.44-B33</f>
        <v>-48389.450000000004</v>
      </c>
      <c r="D33" s="76">
        <v>-96911.24</v>
      </c>
      <c r="E33" s="76">
        <v>-74868.649999999994</v>
      </c>
      <c r="F33" s="22">
        <f>'OBRA 251'!E32+'OBRA 274'!F33+'OBRA 283'!E30+'OBRA 286'!E30+'OBRA 287'!E30+'OBRA 291'!E30+'OBRA 295'!D30+'OBRA 296'!D30+'OBRA 298'!D31+'OBRA 300'!D31+'OBRA 301'!D30+'OBRA 303'!D30+'OBRA 304'!D30+'OBRA 305'!C30+'OBRA 306'!D30+'OBRA 307'!C30+'OBRA 308'!C30+'OBRA 310'!C30+'OBRA 311'!C30+'OBRA 312'!C30+'OBRA 313'!C30+'OBRA 314'!B30+'OBRA 315'!C30+'OBRA 316'!C30+'OBRA 317'!C30+'DEMAIS OBRAS'!F33</f>
        <v>-6468.96</v>
      </c>
      <c r="G33" s="155">
        <f>'OBRA 251'!F32+'OBRA 274'!G33+'OBRA 283'!F30+'OBRA 286'!F30+'OBRA 287'!F30+'OBRA 291'!F30+'OBRA 295'!E30+'OBRA 296'!E30+'OBRA 298'!E31+'OBRA 300'!E31+'OBRA 301'!E30+'OBRA 303'!E30+'OBRA 304'!E30+'OBRA 305'!D30+'OBRA 306'!E30+'OBRA 307'!D30+'OBRA 308'!D30+'OBRA 310'!D30+'OBRA 311'!D30+'OBRA 312'!D30+'OBRA 313'!D30+'OBRA 314'!C30+'OBRA 315'!D30+'OBRA 316'!D30+'OBRA 317'!D30+'DEMAIS OBRAS'!G33</f>
        <v>-666.93</v>
      </c>
      <c r="H33" s="191">
        <f>'OBRA 251'!G32+'OBRA 274'!H33+'OBRA 283'!G30+'OBRA 286'!G30+'OBRA 287'!G30+'OBRA 291'!G30+'OBRA 295'!F30+'OBRA 296'!F30+'OBRA 298'!F31+'OBRA 300'!F31+'OBRA 301'!F30+'OBRA 303'!F30+'OBRA 304'!F30+'OBRA 305'!E30+'OBRA 306'!F30+'OBRA 307'!E30+'OBRA 308'!E30+'OBRA 310'!E30+'OBRA 311'!E30+'OBRA 312'!E30+'OBRA 313'!E30+'OBRA 314'!D30+'OBRA 315'!E30+'OBRA 316'!E30+'OBRA 317'!E30+'DEMAIS OBRAS'!H33</f>
        <v>-5314.78</v>
      </c>
      <c r="I33" s="20">
        <f>'OBRA 251'!H32+'OBRA 274'!I33+'OBRA 283'!H30+'OBRA 286'!H30+'OBRA 287'!H30+'OBRA 291'!H30+'OBRA 295'!G30+'OBRA 296'!G30+'OBRA 298'!G31+'OBRA 300'!G31+'OBRA 301'!G30+'OBRA 303'!G30+'OBRA 304'!G30+'OBRA 305'!F30+'OBRA 306'!G30+'OBRA 307'!F30+'OBRA 308'!F30+'OBRA 310'!F30+'OBRA 311'!F30+'OBRA 312'!F30+'OBRA 313'!F30+'OBRA 314'!E30+'OBRA 315'!F30+'OBRA 316'!F30+'OBRA 317'!F30+'DEMAIS OBRAS'!I33+'OBRA 318'!B30+'OBRA 319'!B30</f>
        <v>-2812.46</v>
      </c>
      <c r="J33" s="193">
        <f>'OBRA 251'!I32+'OBRA 274'!J33+'OBRA 283'!I30+'OBRA 286'!I30+'OBRA 287'!I30+'OBRA 291'!I30+'OBRA 295'!H30+'OBRA 296'!H30+'OBRA 298'!H31+'OBRA 300'!H31+'OBRA 301'!H30+'OBRA 303'!H30+'OBRA 304'!H30+'OBRA 305'!G30+'OBRA 306'!H30+'OBRA 307'!G30+'OBRA 308'!G30+'OBRA 310'!G30+'OBRA 311'!G30+'OBRA 312'!G30+'OBRA 313'!G30+'OBRA 314'!F30+'OBRA 315'!G30+'OBRA 316'!G30+'OBRA 317'!G30+'DEMAIS OBRAS'!J33+'OBRA 318'!C30+'OBRA 319'!C30</f>
        <v>-12324.390000000001</v>
      </c>
      <c r="K33" s="152">
        <v>0</v>
      </c>
      <c r="L33" s="152">
        <v>0</v>
      </c>
      <c r="M33" s="152">
        <v>0</v>
      </c>
      <c r="N33" s="152">
        <v>0</v>
      </c>
      <c r="O33" s="152">
        <v>0</v>
      </c>
      <c r="P33" s="152">
        <v>0</v>
      </c>
      <c r="Q33" s="152">
        <v>0</v>
      </c>
      <c r="R33" s="22">
        <f t="shared" si="5"/>
        <v>-285624.85000000003</v>
      </c>
      <c r="S33" s="21">
        <f t="shared" ref="S33:S36" si="10">-R33/$R$14</f>
        <v>4.7201364556016092E-3</v>
      </c>
      <c r="U33" s="70">
        <f t="shared" si="0"/>
        <v>-285624.85000000003</v>
      </c>
      <c r="V33" s="70">
        <f t="shared" si="1"/>
        <v>0</v>
      </c>
      <c r="W33" s="178"/>
      <c r="X33" s="179">
        <f t="shared" si="6"/>
        <v>-285624.85000000003</v>
      </c>
      <c r="Y33" s="70">
        <f t="shared" si="4"/>
        <v>0</v>
      </c>
    </row>
    <row r="34" spans="1:25" ht="15.95" customHeight="1" x14ac:dyDescent="0.2">
      <c r="A34" s="15" t="s">
        <v>24</v>
      </c>
      <c r="B34" s="76">
        <v>-416633.45</v>
      </c>
      <c r="C34" s="76">
        <f>-2573696.71-B34</f>
        <v>-2157063.2599999998</v>
      </c>
      <c r="D34" s="76">
        <v>-2607240.9900000002</v>
      </c>
      <c r="E34" s="76">
        <v>-2940988.75</v>
      </c>
      <c r="F34" s="22">
        <f>'OBRA 251'!E33+'OBRA 274'!F34+'OBRA 283'!E31+'OBRA 286'!E31+'OBRA 287'!E31+'OBRA 291'!E31+'OBRA 295'!D31+'OBRA 296'!D31+'OBRA 298'!D32+'OBRA 300'!D32+'OBRA 301'!D31+'OBRA 303'!D31+'OBRA 304'!D31+'OBRA 305'!C31+'OBRA 306'!D31+'OBRA 307'!C31+'OBRA 308'!C31+'OBRA 310'!C31+'OBRA 311'!C31+'OBRA 312'!C31+'OBRA 313'!C31+'OBRA 314'!B31+'OBRA 315'!C31+'OBRA 316'!C31+'OBRA 317'!C31+'DEMAIS OBRAS'!F34</f>
        <v>-194395.37</v>
      </c>
      <c r="G34" s="155">
        <f>'OBRA 251'!F33+'OBRA 274'!G34+'OBRA 283'!F31+'OBRA 286'!F31+'OBRA 287'!F31+'OBRA 291'!F31+'OBRA 295'!E31+'OBRA 296'!E31+'OBRA 298'!E32+'OBRA 300'!E32+'OBRA 301'!E31+'OBRA 303'!E31+'OBRA 304'!E31+'OBRA 305'!D31+'OBRA 306'!E31+'OBRA 307'!D31+'OBRA 308'!D31+'OBRA 310'!D31+'OBRA 311'!D31+'OBRA 312'!D31+'OBRA 313'!D31+'OBRA 314'!C31+'OBRA 315'!D31+'OBRA 316'!D31+'OBRA 317'!D31+'DEMAIS OBRAS'!G34</f>
        <v>-280911.12</v>
      </c>
      <c r="H34" s="191">
        <f>'OBRA 251'!G33+'OBRA 274'!H34+'OBRA 283'!G31+'OBRA 286'!G31+'OBRA 287'!G31+'OBRA 291'!G31+'OBRA 295'!F31+'OBRA 296'!F31+'OBRA 298'!F32+'OBRA 300'!F32+'OBRA 301'!F31+'OBRA 303'!F31+'OBRA 304'!F31+'OBRA 305'!E31+'OBRA 306'!F31+'OBRA 307'!E31+'OBRA 308'!E31+'OBRA 310'!E31+'OBRA 311'!E31+'OBRA 312'!E31+'OBRA 313'!E31+'OBRA 314'!D31+'OBRA 315'!E31+'OBRA 316'!E31+'OBRA 317'!E31+'DEMAIS OBRAS'!H34</f>
        <v>-315878.85000000003</v>
      </c>
      <c r="I34" s="20">
        <f>'OBRA 251'!H33+'OBRA 274'!I34+'OBRA 283'!H31+'OBRA 286'!H31+'OBRA 287'!H31+'OBRA 291'!H31+'OBRA 295'!G31+'OBRA 296'!G31+'OBRA 298'!G32+'OBRA 300'!G32+'OBRA 301'!G31+'OBRA 303'!G31+'OBRA 304'!G31+'OBRA 305'!F31+'OBRA 306'!G31+'OBRA 307'!F31+'OBRA 308'!F31+'OBRA 310'!F31+'OBRA 311'!F31+'OBRA 312'!F31+'OBRA 313'!F31+'OBRA 314'!E31+'OBRA 315'!F31+'OBRA 316'!F31+'OBRA 317'!F31+'DEMAIS OBRAS'!I34+'OBRA 318'!B31+'OBRA 319'!B31</f>
        <v>-270723</v>
      </c>
      <c r="J34" s="193">
        <f>'OBRA 251'!I33+'OBRA 274'!J34+'OBRA 283'!I31+'OBRA 286'!I31+'OBRA 287'!I31+'OBRA 291'!I31+'OBRA 295'!H31+'OBRA 296'!H31+'OBRA 298'!H32+'OBRA 300'!H32+'OBRA 301'!H31+'OBRA 303'!H31+'OBRA 304'!H31+'OBRA 305'!G31+'OBRA 306'!H31+'OBRA 307'!G31+'OBRA 308'!G31+'OBRA 310'!G31+'OBRA 311'!G31+'OBRA 312'!G31+'OBRA 313'!G31+'OBRA 314'!F31+'OBRA 315'!G31+'OBRA 316'!G31+'OBRA 317'!G31+'DEMAIS OBRAS'!J34+'OBRA 318'!C31+'OBRA 319'!C31</f>
        <v>-289239</v>
      </c>
      <c r="K34" s="152">
        <v>0</v>
      </c>
      <c r="L34" s="152">
        <v>0</v>
      </c>
      <c r="M34" s="152">
        <v>0</v>
      </c>
      <c r="N34" s="152">
        <v>0</v>
      </c>
      <c r="O34" s="152">
        <v>0</v>
      </c>
      <c r="P34" s="152">
        <v>0</v>
      </c>
      <c r="Q34" s="152">
        <v>0</v>
      </c>
      <c r="R34" s="22">
        <f t="shared" si="5"/>
        <v>-9473073.7899999991</v>
      </c>
      <c r="S34" s="21">
        <f t="shared" si="10"/>
        <v>0.15654870695873657</v>
      </c>
      <c r="T34" s="63"/>
      <c r="U34" s="70">
        <f t="shared" si="0"/>
        <v>-9473073.7899999991</v>
      </c>
      <c r="V34" s="70">
        <f t="shared" si="1"/>
        <v>0</v>
      </c>
      <c r="W34" s="194">
        <v>-11297</v>
      </c>
      <c r="X34" s="179">
        <f t="shared" si="6"/>
        <v>-9484370.7899999991</v>
      </c>
      <c r="Y34" s="70">
        <f t="shared" si="4"/>
        <v>-27587.520000000033</v>
      </c>
    </row>
    <row r="35" spans="1:25" ht="15" x14ac:dyDescent="0.2">
      <c r="A35" s="34" t="s">
        <v>25</v>
      </c>
      <c r="B35" s="76">
        <v>-897112.41</v>
      </c>
      <c r="C35" s="76">
        <f>-5289398.36-B35</f>
        <v>-4392285.95</v>
      </c>
      <c r="D35" s="76">
        <v>-5134185.28</v>
      </c>
      <c r="E35" s="76">
        <v>-4270544.04</v>
      </c>
      <c r="F35" s="22">
        <f>'OBRA 251'!E34+'OBRA 274'!F35+'OBRA 283'!E32+'OBRA 286'!E32+'OBRA 287'!E32+'OBRA 291'!E32+'OBRA 295'!D32+'OBRA 296'!D32+'OBRA 298'!D33+'OBRA 300'!D33+'OBRA 301'!D32+'OBRA 303'!D32+'OBRA 304'!D32+'OBRA 305'!C32+'OBRA 306'!D32+'OBRA 307'!C32+'OBRA 308'!C32+'OBRA 310'!C32+'OBRA 311'!C32+'OBRA 312'!C32+'OBRA 313'!C32+'OBRA 314'!B32+'OBRA 315'!C32+'OBRA 316'!C32+'OBRA 317'!C32+'DEMAIS OBRAS'!F35</f>
        <v>-333278.78999999998</v>
      </c>
      <c r="G35" s="155">
        <f>'OBRA 251'!F34+'OBRA 274'!G35+'OBRA 283'!F32+'OBRA 286'!F32+'OBRA 287'!F32+'OBRA 291'!F32+'OBRA 295'!E32+'OBRA 296'!E32+'OBRA 298'!E33+'OBRA 300'!E33+'OBRA 301'!E32+'OBRA 303'!E32+'OBRA 304'!E32+'OBRA 305'!D32+'OBRA 306'!E32+'OBRA 307'!D32+'OBRA 308'!D32+'OBRA 310'!D32+'OBRA 311'!D32+'OBRA 312'!D32+'OBRA 313'!D32+'OBRA 314'!C32+'OBRA 315'!D32+'OBRA 316'!D32+'OBRA 317'!D32+'DEMAIS OBRAS'!G35</f>
        <v>-385104.16000000009</v>
      </c>
      <c r="H35" s="191">
        <f>'OBRA 251'!G34+'OBRA 274'!H35+'OBRA 283'!G32+'OBRA 286'!G32+'OBRA 287'!G32+'OBRA 291'!G32+'OBRA 295'!F32+'OBRA 296'!F32+'OBRA 298'!F33+'OBRA 300'!F33+'OBRA 301'!F32+'OBRA 303'!F32+'OBRA 304'!F32+'OBRA 305'!E32+'OBRA 306'!F32+'OBRA 307'!E32+'OBRA 308'!E32+'OBRA 310'!E32+'OBRA 311'!E32+'OBRA 312'!E32+'OBRA 313'!E32+'OBRA 314'!D32+'OBRA 315'!E32+'OBRA 316'!E32+'OBRA 317'!E32+'DEMAIS OBRAS'!H35</f>
        <v>-339418.82</v>
      </c>
      <c r="I35" s="20">
        <f>'OBRA 251'!H34+'OBRA 274'!I35+'OBRA 283'!H32+'OBRA 286'!H32+'OBRA 287'!H32+'OBRA 291'!H32+'OBRA 295'!G32+'OBRA 296'!G32+'OBRA 298'!G33+'OBRA 300'!G33+'OBRA 301'!G32+'OBRA 303'!G32+'OBRA 304'!G32+'OBRA 305'!F32+'OBRA 306'!G32+'OBRA 307'!F32+'OBRA 308'!F32+'OBRA 310'!F32+'OBRA 311'!F32+'OBRA 312'!F32+'OBRA 313'!F32+'OBRA 314'!E32+'OBRA 315'!F32+'OBRA 316'!F32+'OBRA 317'!F32+'DEMAIS OBRAS'!I35+'OBRA 318'!B32+'OBRA 319'!B32</f>
        <v>-366337.34</v>
      </c>
      <c r="J35" s="193">
        <f>'OBRA 251'!I34+'OBRA 274'!J35+'OBRA 283'!I32+'OBRA 286'!I32+'OBRA 287'!I32+'OBRA 291'!I32+'OBRA 295'!H32+'OBRA 296'!H32+'OBRA 298'!H33+'OBRA 300'!H33+'OBRA 301'!H32+'OBRA 303'!H32+'OBRA 304'!H32+'OBRA 305'!G32+'OBRA 306'!H32+'OBRA 307'!G32+'OBRA 308'!G32+'OBRA 310'!G32+'OBRA 311'!G32+'OBRA 312'!G32+'OBRA 313'!G32+'OBRA 314'!F32+'OBRA 315'!G32+'OBRA 316'!G32+'OBRA 317'!G32+'DEMAIS OBRAS'!J35+'OBRA 318'!C32+'OBRA 319'!C32</f>
        <v>-398731.80999999988</v>
      </c>
      <c r="K35" s="152">
        <v>0</v>
      </c>
      <c r="L35" s="152">
        <v>0</v>
      </c>
      <c r="M35" s="152">
        <v>0</v>
      </c>
      <c r="N35" s="152">
        <v>0</v>
      </c>
      <c r="O35" s="152">
        <v>0</v>
      </c>
      <c r="P35" s="152">
        <v>0</v>
      </c>
      <c r="Q35" s="152">
        <v>0</v>
      </c>
      <c r="R35" s="22">
        <f t="shared" si="5"/>
        <v>-16516998.6</v>
      </c>
      <c r="S35" s="21">
        <f t="shared" si="10"/>
        <v>0.27295414677322621</v>
      </c>
      <c r="T35" s="63"/>
      <c r="U35" s="70">
        <f t="shared" si="0"/>
        <v>-16516998.6</v>
      </c>
      <c r="V35" s="70">
        <f t="shared" si="1"/>
        <v>0</v>
      </c>
      <c r="W35" s="194">
        <v>-22383.58</v>
      </c>
      <c r="X35" s="179">
        <f t="shared" si="6"/>
        <v>-16539382.18</v>
      </c>
      <c r="Y35" s="70">
        <f t="shared" si="4"/>
        <v>-1351147.3399999999</v>
      </c>
    </row>
    <row r="36" spans="1:25" ht="15" x14ac:dyDescent="0.2">
      <c r="A36" s="15" t="s">
        <v>26</v>
      </c>
      <c r="B36" s="76">
        <v>-8623.25</v>
      </c>
      <c r="C36" s="76">
        <f>-15191.65-B36</f>
        <v>-6568.4</v>
      </c>
      <c r="D36" s="76">
        <v>-50825.42</v>
      </c>
      <c r="E36" s="76">
        <v>-36209.25</v>
      </c>
      <c r="F36" s="22">
        <f>'OBRA 251'!E35+'OBRA 274'!F36+'OBRA 283'!E33+'OBRA 286'!E33+'OBRA 287'!E33+'OBRA 291'!E33+'OBRA 295'!D33+'OBRA 296'!D33+'OBRA 298'!D34+'OBRA 300'!D34+'OBRA 301'!D33+'OBRA 303'!D33+'OBRA 304'!D33+'OBRA 305'!C33+'OBRA 306'!D33+'OBRA 307'!C33+'OBRA 308'!C33+'OBRA 310'!C33+'OBRA 311'!C33+'OBRA 312'!C33+'OBRA 313'!C33+'OBRA 314'!B33+'OBRA 315'!C33+'OBRA 316'!C33+'OBRA 317'!C33+'DEMAIS OBRAS'!F36</f>
        <v>-2741.1600000000003</v>
      </c>
      <c r="G36" s="155">
        <f>'OBRA 251'!F35+'OBRA 274'!G36+'OBRA 283'!F33+'OBRA 286'!F33+'OBRA 287'!F33+'OBRA 291'!F33+'OBRA 295'!E33+'OBRA 296'!E33+'OBRA 298'!E34+'OBRA 300'!E34+'OBRA 301'!E33+'OBRA 303'!E33+'OBRA 304'!E33+'OBRA 305'!D33+'OBRA 306'!E33+'OBRA 307'!D33+'OBRA 308'!D33+'OBRA 310'!D33+'OBRA 311'!D33+'OBRA 312'!D33+'OBRA 313'!D33+'OBRA 314'!C33+'OBRA 315'!D33+'OBRA 316'!D33+'OBRA 317'!D33+'DEMAIS OBRAS'!G36</f>
        <v>-2741.1600000000003</v>
      </c>
      <c r="H36" s="191">
        <f>'OBRA 251'!G35+'OBRA 274'!H36+'OBRA 283'!G33+'OBRA 286'!G33+'OBRA 287'!G33+'OBRA 291'!G33+'OBRA 295'!F33+'OBRA 296'!F33+'OBRA 298'!F34+'OBRA 300'!F34+'OBRA 301'!F33+'OBRA 303'!F33+'OBRA 304'!F33+'OBRA 305'!E33+'OBRA 306'!F33+'OBRA 307'!E33+'OBRA 308'!E33+'OBRA 310'!E33+'OBRA 311'!E33+'OBRA 312'!E33+'OBRA 313'!E33+'OBRA 314'!D33+'OBRA 315'!E33+'OBRA 316'!E33+'OBRA 317'!E33+'DEMAIS OBRAS'!H36</f>
        <v>-2741.1600000000003</v>
      </c>
      <c r="I36" s="20">
        <f>'OBRA 251'!H35+'OBRA 274'!I36+'OBRA 283'!H33+'OBRA 286'!H33+'OBRA 287'!H33+'OBRA 291'!H33+'OBRA 295'!G33+'OBRA 296'!G33+'OBRA 298'!G34+'OBRA 300'!G34+'OBRA 301'!G33+'OBRA 303'!G33+'OBRA 304'!G33+'OBRA 305'!F33+'OBRA 306'!G33+'OBRA 307'!F33+'OBRA 308'!F33+'OBRA 310'!F33+'OBRA 311'!F33+'OBRA 312'!F33+'OBRA 313'!F33+'OBRA 314'!E33+'OBRA 315'!F33+'OBRA 316'!F33+'OBRA 317'!F33+'DEMAIS OBRAS'!I36+'OBRA 318'!B33+'OBRA 319'!B33</f>
        <v>-3096.3199999999997</v>
      </c>
      <c r="J36" s="193">
        <f>'OBRA 251'!I35+'OBRA 274'!J36+'OBRA 283'!I33+'OBRA 286'!I33+'OBRA 287'!I33+'OBRA 291'!I33+'OBRA 295'!H33+'OBRA 296'!H33+'OBRA 298'!H34+'OBRA 300'!H34+'OBRA 301'!H33+'OBRA 303'!H33+'OBRA 304'!H33+'OBRA 305'!G33+'OBRA 306'!H33+'OBRA 307'!G33+'OBRA 308'!G33+'OBRA 310'!G33+'OBRA 311'!G33+'OBRA 312'!G33+'OBRA 313'!G33+'OBRA 314'!F33+'OBRA 315'!G33+'OBRA 316'!G33+'OBRA 317'!G33+'DEMAIS OBRAS'!J36+'OBRA 318'!C33+'OBRA 319'!C33</f>
        <v>-2766.32</v>
      </c>
      <c r="K36" s="152">
        <v>0</v>
      </c>
      <c r="L36" s="152">
        <v>0</v>
      </c>
      <c r="M36" s="152">
        <v>0</v>
      </c>
      <c r="N36" s="152">
        <v>0</v>
      </c>
      <c r="O36" s="152">
        <v>0</v>
      </c>
      <c r="P36" s="152">
        <v>0</v>
      </c>
      <c r="Q36" s="152">
        <v>0</v>
      </c>
      <c r="R36" s="22">
        <f t="shared" si="5"/>
        <v>-116312.44</v>
      </c>
      <c r="S36" s="21">
        <f t="shared" si="10"/>
        <v>1.9221387364718957E-3</v>
      </c>
      <c r="T36" s="63"/>
      <c r="U36" s="70">
        <f t="shared" si="0"/>
        <v>-116312.44</v>
      </c>
      <c r="V36" s="70">
        <f t="shared" si="1"/>
        <v>0</v>
      </c>
      <c r="W36" s="194">
        <v>-7770.25</v>
      </c>
      <c r="X36" s="179">
        <f t="shared" si="6"/>
        <v>-124082.69</v>
      </c>
      <c r="Y36" s="70">
        <f t="shared" si="4"/>
        <v>-1822870.9199999981</v>
      </c>
    </row>
    <row r="37" spans="1:25" ht="15" x14ac:dyDescent="0.2">
      <c r="A37" s="15" t="s">
        <v>27</v>
      </c>
      <c r="B37" s="76">
        <v>0</v>
      </c>
      <c r="C37" s="76">
        <f>0-B37</f>
        <v>0</v>
      </c>
      <c r="D37" s="76">
        <v>-77.83</v>
      </c>
      <c r="E37" s="76">
        <v>-933.96</v>
      </c>
      <c r="F37" s="22">
        <f>'OBRA 251'!E36+'OBRA 274'!F37+'OBRA 283'!E34+'OBRA 286'!E34+'OBRA 287'!E34+'OBRA 291'!E34+'OBRA 295'!D34+'OBRA 296'!D34+'OBRA 298'!D35+'OBRA 300'!D35+'OBRA 301'!D34+'OBRA 303'!D34+'OBRA 304'!D34+'OBRA 305'!C34+'OBRA 306'!D34+'OBRA 307'!C34+'OBRA 308'!C34+'OBRA 310'!C34+'OBRA 311'!C34+'OBRA 312'!C34+'OBRA 313'!C34+'OBRA 314'!B34+'OBRA 315'!C34+'OBRA 316'!C34+'OBRA 317'!C34+'DEMAIS OBRAS'!F37</f>
        <v>-77.83</v>
      </c>
      <c r="G37" s="155">
        <f>'OBRA 251'!F36+'OBRA 274'!G37+'OBRA 283'!F34+'OBRA 286'!F34+'OBRA 287'!F34+'OBRA 291'!F34+'OBRA 295'!E34+'OBRA 296'!E34+'OBRA 298'!E35+'OBRA 300'!E35+'OBRA 301'!E34+'OBRA 303'!E34+'OBRA 304'!E34+'OBRA 305'!D34+'OBRA 306'!E34+'OBRA 307'!D34+'OBRA 308'!D34+'OBRA 310'!D34+'OBRA 311'!D34+'OBRA 312'!D34+'OBRA 313'!D34+'OBRA 314'!C34+'OBRA 315'!D34+'OBRA 316'!D34+'OBRA 317'!D34+'DEMAIS OBRAS'!G37</f>
        <v>-77.83</v>
      </c>
      <c r="H37" s="191">
        <f>'OBRA 251'!G36+'OBRA 274'!H37+'OBRA 283'!G34+'OBRA 286'!G34+'OBRA 287'!G34+'OBRA 291'!G34+'OBRA 295'!F34+'OBRA 296'!F34+'OBRA 298'!F35+'OBRA 300'!F35+'OBRA 301'!F34+'OBRA 303'!F34+'OBRA 304'!F34+'OBRA 305'!E34+'OBRA 306'!F34+'OBRA 307'!E34+'OBRA 308'!E34+'OBRA 310'!E34+'OBRA 311'!E34+'OBRA 312'!E34+'OBRA 313'!E34+'OBRA 314'!D34+'OBRA 315'!E34+'OBRA 316'!E34+'OBRA 317'!E34+'DEMAIS OBRAS'!H37</f>
        <v>-77.83</v>
      </c>
      <c r="I37" s="20">
        <f>'OBRA 251'!H36+'OBRA 274'!I37+'OBRA 283'!H34+'OBRA 286'!H34+'OBRA 287'!H34+'OBRA 291'!H34+'OBRA 295'!G34+'OBRA 296'!G34+'OBRA 298'!G35+'OBRA 300'!G35+'OBRA 301'!G34+'OBRA 303'!G34+'OBRA 304'!G34+'OBRA 305'!F34+'OBRA 306'!G34+'OBRA 307'!F34+'OBRA 308'!F34+'OBRA 310'!F34+'OBRA 311'!F34+'OBRA 312'!F34+'OBRA 313'!F34+'OBRA 314'!E34+'OBRA 315'!F34+'OBRA 316'!F34+'OBRA 317'!F34+'DEMAIS OBRAS'!I37+'OBRA 318'!B34+'OBRA 319'!B34</f>
        <v>-77.83</v>
      </c>
      <c r="J37" s="20">
        <f>'OBRA 251'!I36+'OBRA 274'!J37+'OBRA 283'!I34+'OBRA 286'!I34+'OBRA 287'!I34+'OBRA 291'!I34+'OBRA 295'!H34+'OBRA 296'!H34+'OBRA 298'!H35+'OBRA 300'!H35+'OBRA 301'!H34+'OBRA 303'!H34+'OBRA 304'!H34+'OBRA 305'!G34+'OBRA 306'!H34+'OBRA 307'!G34+'OBRA 308'!G34+'OBRA 310'!G34+'OBRA 311'!G34+'OBRA 312'!G34+'OBRA 313'!G34+'OBRA 314'!F34+'OBRA 315'!G34+'OBRA 316'!G34+'OBRA 317'!G34+'DEMAIS OBRAS'!J37+'OBRA 318'!C34+'OBRA 319'!C34</f>
        <v>0</v>
      </c>
      <c r="K37" s="152">
        <v>0</v>
      </c>
      <c r="L37" s="152">
        <v>0</v>
      </c>
      <c r="M37" s="152">
        <v>0</v>
      </c>
      <c r="N37" s="152">
        <v>0</v>
      </c>
      <c r="O37" s="152">
        <v>0</v>
      </c>
      <c r="P37" s="152">
        <v>0</v>
      </c>
      <c r="Q37" s="152">
        <v>0</v>
      </c>
      <c r="R37" s="22">
        <f t="shared" si="5"/>
        <v>-1323.11</v>
      </c>
      <c r="S37" s="21">
        <f>R37/$R$14</f>
        <v>-2.1865253481169595E-5</v>
      </c>
      <c r="T37" s="63"/>
      <c r="U37" s="70">
        <f t="shared" si="0"/>
        <v>-1323.11</v>
      </c>
      <c r="V37" s="70">
        <f t="shared" si="1"/>
        <v>0</v>
      </c>
      <c r="W37" s="178">
        <v>0</v>
      </c>
      <c r="X37" s="179">
        <f t="shared" si="6"/>
        <v>-1323.11</v>
      </c>
      <c r="Y37" s="70">
        <f t="shared" si="4"/>
        <v>-14086.12000000001</v>
      </c>
    </row>
    <row r="38" spans="1:25" ht="15.6" customHeight="1" x14ac:dyDescent="0.2">
      <c r="A38" s="33" t="s">
        <v>28</v>
      </c>
      <c r="B38" s="76">
        <v>-10452.52</v>
      </c>
      <c r="C38" s="76">
        <f>-84644.56-B38</f>
        <v>-74192.039999999994</v>
      </c>
      <c r="D38" s="76">
        <v>-60284.480000000003</v>
      </c>
      <c r="E38" s="76">
        <v>-43548.63</v>
      </c>
      <c r="F38" s="22">
        <f>'OBRA 251'!E37+'OBRA 274'!F38+'OBRA 283'!E35+'OBRA 286'!E35+'OBRA 287'!E35+'OBRA 291'!E35+'OBRA 295'!D35+'OBRA 296'!D35+'OBRA 298'!D36+'OBRA 300'!D36+'OBRA 301'!D35+'OBRA 303'!D35+'OBRA 304'!D35+'OBRA 305'!C35+'OBRA 306'!D35+'OBRA 307'!C35+'OBRA 308'!C35+'OBRA 310'!C35+'OBRA 311'!C35+'OBRA 312'!C35+'OBRA 313'!C35+'OBRA 314'!B35+'OBRA 315'!C35+'OBRA 316'!C35+'OBRA 317'!C35+'DEMAIS OBRAS'!F38</f>
        <v>0</v>
      </c>
      <c r="G38" s="155">
        <f>'OBRA 251'!F37+'OBRA 274'!G38+'OBRA 283'!F35+'OBRA 286'!F35+'OBRA 287'!F35+'OBRA 291'!F35+'OBRA 295'!E35+'OBRA 296'!E35+'OBRA 298'!E36+'OBRA 300'!E36+'OBRA 301'!E35+'OBRA 303'!E35+'OBRA 304'!E35+'OBRA 305'!D35+'OBRA 306'!E35+'OBRA 307'!D35+'OBRA 308'!D35+'OBRA 310'!D35+'OBRA 311'!D35+'OBRA 312'!D35+'OBRA 313'!D35+'OBRA 314'!C35+'OBRA 315'!D35+'OBRA 316'!D35+'OBRA 317'!D35+'DEMAIS OBRAS'!G38</f>
        <v>-988.00000000000023</v>
      </c>
      <c r="H38" s="191">
        <f>'OBRA 251'!G37+'OBRA 274'!H38+'OBRA 283'!G35+'OBRA 286'!G35+'OBRA 287'!G35+'OBRA 291'!G35+'OBRA 295'!F35+'OBRA 296'!F35+'OBRA 298'!F36+'OBRA 300'!F36+'OBRA 301'!F35+'OBRA 303'!F35+'OBRA 304'!F35+'OBRA 305'!E35+'OBRA 306'!F35+'OBRA 307'!E35+'OBRA 308'!E35+'OBRA 310'!E35+'OBRA 311'!E35+'OBRA 312'!E35+'OBRA 313'!E35+'OBRA 314'!D35+'OBRA 315'!E35+'OBRA 316'!E35+'OBRA 317'!E35+'DEMAIS OBRAS'!H38</f>
        <v>-2587.2400000000002</v>
      </c>
      <c r="I38" s="20">
        <f>'OBRA 251'!H37+'OBRA 274'!I38+'OBRA 283'!H35+'OBRA 286'!H35+'OBRA 287'!H35+'OBRA 291'!H35+'OBRA 295'!G35+'OBRA 296'!G35+'OBRA 298'!G36+'OBRA 300'!G36+'OBRA 301'!G35+'OBRA 303'!G35+'OBRA 304'!G35+'OBRA 305'!F35+'OBRA 306'!G35+'OBRA 307'!F35+'OBRA 308'!F35+'OBRA 310'!F35+'OBRA 311'!F35+'OBRA 312'!F35+'OBRA 313'!F35+'OBRA 314'!E35+'OBRA 315'!F35+'OBRA 316'!F35+'OBRA 317'!F35+'DEMAIS OBRAS'!I38+'OBRA 318'!B35+'OBRA 319'!B35</f>
        <v>-7568.7599999999993</v>
      </c>
      <c r="J38" s="20">
        <f>'OBRA 251'!I37+'OBRA 274'!J38+'OBRA 283'!I35+'OBRA 286'!I35+'OBRA 287'!I35+'OBRA 291'!I35+'OBRA 295'!H35+'OBRA 296'!H35+'OBRA 298'!H36+'OBRA 300'!H36+'OBRA 301'!H35+'OBRA 303'!H35+'OBRA 304'!H35+'OBRA 305'!G35+'OBRA 306'!H35+'OBRA 307'!G35+'OBRA 308'!G35+'OBRA 310'!G35+'OBRA 311'!G35+'OBRA 312'!G35+'OBRA 313'!G35+'OBRA 314'!F35+'OBRA 315'!G35+'OBRA 316'!G35+'OBRA 317'!G35+'DEMAIS OBRAS'!J38+'OBRA 318'!C35+'OBRA 319'!C35</f>
        <v>0</v>
      </c>
      <c r="K38" s="152">
        <v>0</v>
      </c>
      <c r="L38" s="152">
        <v>0</v>
      </c>
      <c r="M38" s="152">
        <v>0</v>
      </c>
      <c r="N38" s="152">
        <v>0</v>
      </c>
      <c r="O38" s="152">
        <v>0</v>
      </c>
      <c r="P38" s="152">
        <v>0</v>
      </c>
      <c r="Q38" s="152">
        <v>0</v>
      </c>
      <c r="R38" s="22">
        <f t="shared" si="5"/>
        <v>-199621.67</v>
      </c>
      <c r="S38" s="21">
        <f>-R38/$R$14</f>
        <v>3.2988779579055322E-3</v>
      </c>
      <c r="U38" s="70">
        <f t="shared" si="0"/>
        <v>-199621.67</v>
      </c>
      <c r="V38" s="70">
        <f t="shared" si="1"/>
        <v>0</v>
      </c>
      <c r="W38" s="178"/>
      <c r="X38" s="179">
        <f t="shared" si="6"/>
        <v>-199621.67</v>
      </c>
      <c r="Y38" s="70">
        <f t="shared" si="4"/>
        <v>-311.31999999999994</v>
      </c>
    </row>
    <row r="39" spans="1:25" ht="15" x14ac:dyDescent="0.2">
      <c r="A39" s="15" t="s">
        <v>29</v>
      </c>
      <c r="B39" s="76">
        <v>-80932.25</v>
      </c>
      <c r="C39" s="76">
        <f>-452425.99-B39</f>
        <v>-371493.74</v>
      </c>
      <c r="D39" s="76">
        <v>-519751.46</v>
      </c>
      <c r="E39" s="76">
        <v>-468208.58</v>
      </c>
      <c r="F39" s="22">
        <f>'OBRA 251'!E38+'OBRA 274'!F39+'OBRA 283'!E36+'OBRA 286'!E36+'OBRA 287'!E36+'OBRA 291'!E36+'OBRA 295'!D36+'OBRA 296'!D36+'OBRA 298'!D37+'OBRA 300'!D37+'OBRA 301'!D36+'OBRA 303'!D36+'OBRA 304'!D36+'OBRA 305'!C36+'OBRA 306'!D36+'OBRA 307'!C36+'OBRA 308'!C36+'OBRA 310'!C36+'OBRA 311'!C36+'OBRA 312'!C36+'OBRA 313'!C36+'OBRA 314'!B36+'OBRA 315'!C36+'OBRA 316'!C36+'OBRA 317'!C36+'DEMAIS OBRAS'!F39</f>
        <v>-34364.53</v>
      </c>
      <c r="G39" s="155">
        <f>'OBRA 251'!F38+'OBRA 274'!G39+'OBRA 283'!F36+'OBRA 286'!F36+'OBRA 287'!F36+'OBRA 291'!F36+'OBRA 295'!E36+'OBRA 296'!E36+'OBRA 298'!E37+'OBRA 300'!E37+'OBRA 301'!E36+'OBRA 303'!E36+'OBRA 304'!E36+'OBRA 305'!D36+'OBRA 306'!E36+'OBRA 307'!D36+'OBRA 308'!D36+'OBRA 310'!D36+'OBRA 311'!D36+'OBRA 312'!D36+'OBRA 313'!D36+'OBRA 314'!C36+'OBRA 315'!D36+'OBRA 316'!D36+'OBRA 317'!D36+'DEMAIS OBRAS'!G39</f>
        <v>-36371.600000000006</v>
      </c>
      <c r="H39" s="191">
        <f>'OBRA 251'!G38+'OBRA 274'!H39+'OBRA 283'!G36+'OBRA 286'!G36+'OBRA 287'!G36+'OBRA 291'!G36+'OBRA 295'!F36+'OBRA 296'!F36+'OBRA 298'!F37+'OBRA 300'!F37+'OBRA 301'!F36+'OBRA 303'!F36+'OBRA 304'!F36+'OBRA 305'!E36+'OBRA 306'!F36+'OBRA 307'!E36+'OBRA 308'!E36+'OBRA 310'!E36+'OBRA 311'!E36+'OBRA 312'!E36+'OBRA 313'!E36+'OBRA 314'!D36+'OBRA 315'!E36+'OBRA 316'!E36+'OBRA 317'!E36+'DEMAIS OBRAS'!H39</f>
        <v>-39598.98000000001</v>
      </c>
      <c r="I39" s="20">
        <f>'OBRA 251'!H38+'OBRA 274'!I39+'OBRA 283'!H36+'OBRA 286'!H36+'OBRA 287'!H36+'OBRA 291'!H36+'OBRA 295'!G36+'OBRA 296'!G36+'OBRA 298'!G37+'OBRA 300'!G37+'OBRA 301'!G36+'OBRA 303'!G36+'OBRA 304'!G36+'OBRA 305'!F36+'OBRA 306'!G36+'OBRA 307'!F36+'OBRA 308'!F36+'OBRA 310'!F36+'OBRA 311'!F36+'OBRA 312'!F36+'OBRA 313'!F36+'OBRA 314'!E36+'OBRA 315'!F36+'OBRA 316'!F36+'OBRA 317'!F36+'DEMAIS OBRAS'!I39+'OBRA 318'!B36+'OBRA 319'!B36</f>
        <v>-32576.489999999998</v>
      </c>
      <c r="J39" s="193">
        <f>'OBRA 251'!I38+'OBRA 274'!J39+'OBRA 283'!I36+'OBRA 286'!I36+'OBRA 287'!I36+'OBRA 291'!I36+'OBRA 295'!H36+'OBRA 296'!H36+'OBRA 298'!H37+'OBRA 300'!H37+'OBRA 301'!H36+'OBRA 303'!H36+'OBRA 304'!H36+'OBRA 305'!G36+'OBRA 306'!H36+'OBRA 307'!G36+'OBRA 308'!G36+'OBRA 310'!G36+'OBRA 311'!G36+'OBRA 312'!G36+'OBRA 313'!G36+'OBRA 314'!F36+'OBRA 315'!G36+'OBRA 316'!G36+'OBRA 317'!G36+'DEMAIS OBRAS'!J39+'OBRA 318'!C36+'OBRA 319'!C36</f>
        <v>-36222.54</v>
      </c>
      <c r="K39" s="152">
        <v>0</v>
      </c>
      <c r="L39" s="152">
        <v>0</v>
      </c>
      <c r="M39" s="152">
        <v>0</v>
      </c>
      <c r="N39" s="152">
        <v>0</v>
      </c>
      <c r="O39" s="152">
        <v>0</v>
      </c>
      <c r="P39" s="152">
        <v>0</v>
      </c>
      <c r="Q39" s="152">
        <v>0</v>
      </c>
      <c r="R39" s="22">
        <f t="shared" si="5"/>
        <v>-1619520.1700000002</v>
      </c>
      <c r="S39" s="21">
        <f t="shared" ref="S39:S43" si="11">-R39/$R$14</f>
        <v>2.6763624366014073E-2</v>
      </c>
      <c r="U39" s="70">
        <f t="shared" si="0"/>
        <v>-1619520.1700000002</v>
      </c>
      <c r="V39" s="70">
        <f t="shared" si="1"/>
        <v>0</v>
      </c>
      <c r="W39" s="194">
        <v>-324.19</v>
      </c>
      <c r="X39" s="179">
        <f t="shared" si="6"/>
        <v>-1619844.36</v>
      </c>
      <c r="Y39" s="70">
        <f t="shared" si="4"/>
        <v>-11144.000000000029</v>
      </c>
    </row>
    <row r="40" spans="1:25" ht="15" x14ac:dyDescent="0.2">
      <c r="A40" s="15" t="s">
        <v>276</v>
      </c>
      <c r="B40" s="76">
        <v>-88933.07</v>
      </c>
      <c r="C40" s="76">
        <f>-548979.79-B40</f>
        <v>-460046.72000000003</v>
      </c>
      <c r="D40" s="76">
        <v>-468383.19</v>
      </c>
      <c r="E40" s="76">
        <v>-450599.3</v>
      </c>
      <c r="F40" s="22">
        <f>'OBRA 251'!E39+'OBRA 274'!F40+'OBRA 283'!E37+'OBRA 286'!E37+'OBRA 287'!E37+'OBRA 291'!E37+'OBRA 295'!D37+'OBRA 296'!D37+'OBRA 298'!D38+'OBRA 300'!D38+'OBRA 301'!D37+'OBRA 303'!D37+'OBRA 304'!D37+'OBRA 305'!C37+'OBRA 306'!D37+'OBRA 307'!C37+'OBRA 308'!C37+'OBRA 310'!C37+'OBRA 311'!C37+'OBRA 312'!C37+'OBRA 313'!C37+'OBRA 314'!B37+'OBRA 315'!C37+'OBRA 316'!C37+'OBRA 317'!C37+'DEMAIS OBRAS'!F40</f>
        <v>-37132.68</v>
      </c>
      <c r="G40" s="155">
        <f>'OBRA 251'!F39+'OBRA 274'!G40+'OBRA 283'!F37+'OBRA 286'!F37+'OBRA 287'!F37+'OBRA 291'!F37+'OBRA 295'!E37+'OBRA 296'!E37+'OBRA 298'!E38+'OBRA 300'!E38+'OBRA 301'!E37+'OBRA 303'!E37+'OBRA 304'!E37+'OBRA 305'!D37+'OBRA 306'!E37+'OBRA 307'!D37+'OBRA 308'!D37+'OBRA 310'!D37+'OBRA 311'!D37+'OBRA 312'!D37+'OBRA 313'!D37+'OBRA 314'!C37+'OBRA 315'!D37+'OBRA 316'!D37+'OBRA 317'!D37+'DEMAIS OBRAS'!G40</f>
        <v>-38286.329999999994</v>
      </c>
      <c r="H40" s="191">
        <f>'OBRA 251'!G39+'OBRA 274'!H40+'OBRA 283'!G37+'OBRA 286'!G37+'OBRA 287'!G37+'OBRA 291'!G37+'OBRA 295'!F37+'OBRA 296'!F37+'OBRA 298'!F38+'OBRA 300'!F38+'OBRA 301'!F37+'OBRA 303'!F37+'OBRA 304'!F37+'OBRA 305'!E37+'OBRA 306'!F37+'OBRA 307'!E37+'OBRA 308'!E37+'OBRA 310'!E37+'OBRA 311'!E37+'OBRA 312'!E37+'OBRA 313'!E37+'OBRA 314'!D37+'OBRA 315'!E37+'OBRA 316'!E37+'OBRA 317'!E37+'DEMAIS OBRAS'!H40</f>
        <v>-35488.07</v>
      </c>
      <c r="I40" s="20">
        <f>'OBRA 251'!H39+'OBRA 274'!I40+'OBRA 283'!H37+'OBRA 286'!H37+'OBRA 287'!H37+'OBRA 291'!H37+'OBRA 295'!G37+'OBRA 296'!G37+'OBRA 298'!G38+'OBRA 300'!G38+'OBRA 301'!G37+'OBRA 303'!G37+'OBRA 304'!G37+'OBRA 305'!F37+'OBRA 306'!G37+'OBRA 307'!F37+'OBRA 308'!F37+'OBRA 310'!F37+'OBRA 311'!F37+'OBRA 312'!F37+'OBRA 313'!F37+'OBRA 314'!E37+'OBRA 315'!F37+'OBRA 316'!F37+'OBRA 317'!F37+'DEMAIS OBRAS'!I40+'OBRA 318'!B37+'OBRA 319'!B37</f>
        <v>-36299.99</v>
      </c>
      <c r="J40" s="193">
        <f>'OBRA 251'!I39+'OBRA 274'!J40+'OBRA 283'!I37+'OBRA 286'!I37+'OBRA 287'!I37+'OBRA 291'!I37+'OBRA 295'!H37+'OBRA 296'!H37+'OBRA 298'!H38+'OBRA 300'!H38+'OBRA 301'!H37+'OBRA 303'!H37+'OBRA 304'!H37+'OBRA 305'!G37+'OBRA 306'!H37+'OBRA 307'!G37+'OBRA 308'!G37+'OBRA 310'!G37+'OBRA 311'!G37+'OBRA 312'!G37+'OBRA 313'!G37+'OBRA 314'!F37+'OBRA 315'!G37+'OBRA 316'!G37+'OBRA 317'!G37+'DEMAIS OBRAS'!J40+'OBRA 318'!C37+'OBRA 319'!C37</f>
        <v>-40533.210000000006</v>
      </c>
      <c r="K40" s="152">
        <v>0</v>
      </c>
      <c r="L40" s="152">
        <v>0</v>
      </c>
      <c r="M40" s="152">
        <v>0</v>
      </c>
      <c r="N40" s="152">
        <v>0</v>
      </c>
      <c r="O40" s="152">
        <v>0</v>
      </c>
      <c r="P40" s="152">
        <v>0</v>
      </c>
      <c r="Q40" s="152">
        <v>0</v>
      </c>
      <c r="R40" s="22">
        <f t="shared" si="5"/>
        <v>-1655702.56</v>
      </c>
      <c r="S40" s="21">
        <f t="shared" si="11"/>
        <v>2.7361561898724532E-2</v>
      </c>
      <c r="U40" s="70">
        <f t="shared" si="0"/>
        <v>-1655702.56</v>
      </c>
      <c r="V40" s="70">
        <f t="shared" si="1"/>
        <v>0</v>
      </c>
      <c r="W40" s="194">
        <v>-2712.77</v>
      </c>
      <c r="X40" s="179">
        <f t="shared" si="6"/>
        <v>-1658415.33</v>
      </c>
      <c r="Y40" s="70">
        <f t="shared" si="4"/>
        <v>-179134.14000000019</v>
      </c>
    </row>
    <row r="41" spans="1:25" ht="15" x14ac:dyDescent="0.2">
      <c r="A41" s="15" t="s">
        <v>97</v>
      </c>
      <c r="B41" s="76">
        <v>0</v>
      </c>
      <c r="C41" s="76">
        <f>-200-B41</f>
        <v>-200</v>
      </c>
      <c r="D41" s="76">
        <v>0</v>
      </c>
      <c r="E41" s="76">
        <v>-600</v>
      </c>
      <c r="F41" s="22">
        <f>'OBRA 251'!E40+'OBRA 274'!F41+'OBRA 283'!E38+'OBRA 286'!E38+'OBRA 287'!E38+'OBRA 291'!E38+'OBRA 295'!D38+'OBRA 296'!D38+'OBRA 298'!D39+'OBRA 300'!D39+'OBRA 301'!D38+'OBRA 303'!D38+'OBRA 304'!D38+'OBRA 305'!C38+'OBRA 306'!D38+'OBRA 307'!C38+'OBRA 308'!C38+'OBRA 310'!C38+'OBRA 311'!C38+'OBRA 312'!C38+'OBRA 313'!C38+'OBRA 314'!B38+'OBRA 315'!C38+'OBRA 316'!C38+'OBRA 317'!C38+'DEMAIS OBRAS'!F41</f>
        <v>0</v>
      </c>
      <c r="G41" s="22">
        <f>'OBRA 251'!F40+'OBRA 274'!G41+'OBRA 283'!F38+'OBRA 286'!F38+'OBRA 287'!F38+'OBRA 291'!F38+'OBRA 295'!E38+'OBRA 296'!E38+'OBRA 298'!E39+'OBRA 300'!E39+'OBRA 301'!E38+'OBRA 303'!E38+'OBRA 304'!E38+'OBRA 305'!D38+'OBRA 306'!E38+'OBRA 307'!D38+'OBRA 308'!D38+'OBRA 310'!D38+'OBRA 311'!D38+'OBRA 312'!D38+'OBRA 313'!D38+'OBRA 314'!C38+'OBRA 315'!D38+'OBRA 316'!D38+'OBRA 317'!D38+'DEMAIS OBRAS'!G41</f>
        <v>0</v>
      </c>
      <c r="H41" s="22">
        <f>'OBRA 251'!G40+'OBRA 274'!H41+'OBRA 283'!G38+'OBRA 286'!G38+'OBRA 287'!G38+'OBRA 291'!G38+'OBRA 295'!F38+'OBRA 296'!F38+'OBRA 298'!F39+'OBRA 300'!F39+'OBRA 301'!F38+'OBRA 303'!F38+'OBRA 304'!F38+'OBRA 305'!E38+'OBRA 306'!F38+'OBRA 307'!E38+'OBRA 308'!E38+'OBRA 310'!E38+'OBRA 311'!E38+'OBRA 312'!E38+'OBRA 313'!E38+'OBRA 314'!D38+'OBRA 315'!E38+'OBRA 316'!E38+'OBRA 317'!E38+'DEMAIS OBRAS'!H41</f>
        <v>0</v>
      </c>
      <c r="I41" s="20">
        <f>'OBRA 251'!H40+'OBRA 274'!I41+'OBRA 283'!H38+'OBRA 286'!H38+'OBRA 287'!H38+'OBRA 291'!H38+'OBRA 295'!G38+'OBRA 296'!G38+'OBRA 298'!G39+'OBRA 300'!G39+'OBRA 301'!G38+'OBRA 303'!G38+'OBRA 304'!G38+'OBRA 305'!F38+'OBRA 306'!G38+'OBRA 307'!F38+'OBRA 308'!F38+'OBRA 310'!F38+'OBRA 311'!F38+'OBRA 312'!F38+'OBRA 313'!F38+'OBRA 314'!E38+'OBRA 315'!F38+'OBRA 316'!F38+'OBRA 317'!F38+'DEMAIS OBRAS'!I41+'OBRA 318'!B38+'OBRA 319'!B38</f>
        <v>-3311.93</v>
      </c>
      <c r="J41" s="20">
        <f>'OBRA 251'!I40+'OBRA 274'!J41+'OBRA 283'!I38+'OBRA 286'!I38+'OBRA 287'!I38+'OBRA 291'!I38+'OBRA 295'!H38+'OBRA 296'!H38+'OBRA 298'!H39+'OBRA 300'!H39+'OBRA 301'!H38+'OBRA 303'!H38+'OBRA 304'!H38+'OBRA 305'!G38+'OBRA 306'!H38+'OBRA 307'!G38+'OBRA 308'!G38+'OBRA 310'!G38+'OBRA 311'!G38+'OBRA 312'!G38+'OBRA 313'!G38+'OBRA 314'!F38+'OBRA 315'!G38+'OBRA 316'!G38+'OBRA 317'!G38+'DEMAIS OBRAS'!J41+'OBRA 318'!C38+'OBRA 319'!C38</f>
        <v>0</v>
      </c>
      <c r="K41" s="152">
        <v>0</v>
      </c>
      <c r="L41" s="152">
        <v>0</v>
      </c>
      <c r="M41" s="152">
        <v>0</v>
      </c>
      <c r="N41" s="152">
        <v>0</v>
      </c>
      <c r="O41" s="152">
        <v>0</v>
      </c>
      <c r="P41" s="152">
        <v>0</v>
      </c>
      <c r="Q41" s="152">
        <v>0</v>
      </c>
      <c r="R41" s="22">
        <f t="shared" si="5"/>
        <v>-4111.93</v>
      </c>
      <c r="S41" s="21">
        <f t="shared" si="11"/>
        <v>6.7952318209994408E-5</v>
      </c>
      <c r="U41" s="70">
        <f t="shared" si="0"/>
        <v>-4111.93</v>
      </c>
      <c r="V41" s="70">
        <f t="shared" si="1"/>
        <v>0</v>
      </c>
      <c r="W41" s="178"/>
      <c r="X41" s="179">
        <f t="shared" si="6"/>
        <v>-4111.93</v>
      </c>
      <c r="Y41" s="70">
        <f t="shared" si="4"/>
        <v>-187740.28000000009</v>
      </c>
    </row>
    <row r="42" spans="1:25" ht="15" x14ac:dyDescent="0.2">
      <c r="A42" s="15" t="s">
        <v>114</v>
      </c>
      <c r="B42" s="76">
        <v>0</v>
      </c>
      <c r="C42" s="76">
        <f>-3785.69-B42</f>
        <v>-3785.69</v>
      </c>
      <c r="D42" s="76">
        <v>-5737.5</v>
      </c>
      <c r="E42" s="76">
        <v>-6213.43</v>
      </c>
      <c r="F42" s="22">
        <f>'OBRA 251'!E41+'OBRA 274'!F42+'OBRA 283'!E39+'OBRA 286'!E39+'OBRA 287'!E39+'OBRA 291'!E39+'OBRA 295'!D39+'OBRA 296'!D39+'OBRA 298'!D40+'OBRA 300'!D40+'OBRA 301'!D39+'OBRA 303'!D39+'OBRA 304'!D39+'OBRA 305'!C39+'OBRA 306'!D39+'OBRA 307'!C39+'OBRA 308'!C39+'OBRA 310'!C39+'OBRA 311'!C39+'OBRA 312'!C39+'OBRA 313'!C39+'OBRA 314'!B39+'OBRA 315'!C39+'OBRA 316'!C39+'OBRA 317'!C39+'DEMAIS OBRAS'!F42</f>
        <v>-2250</v>
      </c>
      <c r="G42" s="22">
        <f>'OBRA 251'!F41+'OBRA 274'!G42+'OBRA 283'!F39+'OBRA 286'!F39+'OBRA 287'!F39+'OBRA 291'!F39+'OBRA 295'!E39+'OBRA 296'!E39+'OBRA 298'!E40+'OBRA 300'!E40+'OBRA 301'!E39+'OBRA 303'!E39+'OBRA 304'!E39+'OBRA 305'!D39+'OBRA 306'!E39+'OBRA 307'!D39+'OBRA 308'!D39+'OBRA 310'!D39+'OBRA 311'!D39+'OBRA 312'!D39+'OBRA 313'!D39+'OBRA 314'!C39+'OBRA 315'!D39+'OBRA 316'!D39+'OBRA 317'!D39+'DEMAIS OBRAS'!G42</f>
        <v>0</v>
      </c>
      <c r="H42" s="22">
        <f>'OBRA 251'!G41+'OBRA 274'!H42+'OBRA 283'!G39+'OBRA 286'!G39+'OBRA 287'!G39+'OBRA 291'!G39+'OBRA 295'!F39+'OBRA 296'!F39+'OBRA 298'!F40+'OBRA 300'!F40+'OBRA 301'!F39+'OBRA 303'!F39+'OBRA 304'!F39+'OBRA 305'!E39+'OBRA 306'!F39+'OBRA 307'!E39+'OBRA 308'!E39+'OBRA 310'!E39+'OBRA 311'!E39+'OBRA 312'!E39+'OBRA 313'!E39+'OBRA 314'!D39+'OBRA 315'!E39+'OBRA 316'!E39+'OBRA 317'!E39+'DEMAIS OBRAS'!H42</f>
        <v>0</v>
      </c>
      <c r="I42" s="20">
        <f>'OBRA 251'!H41+'OBRA 274'!I42+'OBRA 283'!H39+'OBRA 286'!H39+'OBRA 287'!H39+'OBRA 291'!H39+'OBRA 295'!G39+'OBRA 296'!G39+'OBRA 298'!G40+'OBRA 300'!G40+'OBRA 301'!G39+'OBRA 303'!G39+'OBRA 304'!G39+'OBRA 305'!F39+'OBRA 306'!G39+'OBRA 307'!F39+'OBRA 308'!F39+'OBRA 310'!F39+'OBRA 311'!F39+'OBRA 312'!F39+'OBRA 313'!F39+'OBRA 314'!E39+'OBRA 315'!F39+'OBRA 316'!F39+'OBRA 317'!F39+'DEMAIS OBRAS'!I42+'OBRA 318'!B39+'OBRA 319'!B39</f>
        <v>0</v>
      </c>
      <c r="J42" s="20">
        <f>'OBRA 251'!I41+'OBRA 274'!J42+'OBRA 283'!I39+'OBRA 286'!I39+'OBRA 287'!I39+'OBRA 291'!I39+'OBRA 295'!H39+'OBRA 296'!H39+'OBRA 298'!H40+'OBRA 300'!H40+'OBRA 301'!H39+'OBRA 303'!H39+'OBRA 304'!H39+'OBRA 305'!G39+'OBRA 306'!H39+'OBRA 307'!G39+'OBRA 308'!G39+'OBRA 310'!G39+'OBRA 311'!G39+'OBRA 312'!G39+'OBRA 313'!G39+'OBRA 314'!F39+'OBRA 315'!G39+'OBRA 316'!G39+'OBRA 317'!G39+'DEMAIS OBRAS'!J42+'OBRA 318'!C39+'OBRA 319'!C39</f>
        <v>0</v>
      </c>
      <c r="K42" s="152">
        <f>'OBRA 251'!J41+'OBRA 267'!J42+'OBRA 270'!I40+'OBRA 274'!K42+'OBRA 277'!J42+'OBRA 280'!I42+'OBRA 281'!I40+'OBRA 282'!I39+'OBRA 283'!J39+'OBRA 284'!I39+'OBRA 286'!J39+'OBRA 287'!J39+'OBRA 288'!I39+'OBRA 289'!I39+'OBRA 290'!I39+'OBRA 291'!J39+'OBRA 292'!H39+'OBRA 293'!H39+'OBRA 295'!I39+'OBRA 296'!I39+'OBRA 297'!H39+'OBRA 298'!I40+'OBRA 299'!H39+'OBRA 300'!I40+'OBRA 301'!I39+'OBRA 302'!H39+'OBRA 303'!I39+'OBRA 304'!I39+'OBRA 306'!I39+'OBRA 307'!H39+'DEMAIS OBRAS'!K42</f>
        <v>0</v>
      </c>
      <c r="L42" s="152">
        <f>'OBRA 251'!K41+'OBRA 267'!K42+'OBRA 270'!J40+'OBRA 274'!L42+'OBRA 277'!K42+'OBRA 280'!J42+'OBRA 281'!J40+'OBRA 282'!J39+'OBRA 283'!K39+'OBRA 284'!J39+'OBRA 286'!K39+'OBRA 287'!K39+'OBRA 288'!J39+'OBRA 289'!J39+'OBRA 290'!J39+'OBRA 291'!K39+'OBRA 292'!I39+'OBRA 293'!I39+'OBRA 295'!J39+'OBRA 296'!J39+'OBRA 297'!I39+'OBRA 298'!J40+'OBRA 299'!I39+'OBRA 300'!J40+'OBRA 301'!J39+'OBRA 302'!I39+'OBRA 303'!J39+'OBRA 304'!J39+'OBRA 306'!J39+'OBRA 307'!I39+'DEMAIS OBRAS'!L42</f>
        <v>0</v>
      </c>
      <c r="M42" s="152">
        <f>'OBRA 251'!L41+'OBRA 267'!L42+'OBRA 270'!K40+'OBRA 274'!M42+'OBRA 277'!L42+'OBRA 280'!K42+'OBRA 281'!K40+'OBRA 282'!K39+'OBRA 283'!L39+'OBRA 284'!K39+'OBRA 286'!L39+'OBRA 287'!L39+'OBRA 288'!K39+'OBRA 289'!K39+'OBRA 290'!K39+'OBRA 291'!L39+'OBRA 292'!J39+'OBRA 293'!J39+'OBRA 295'!K39+'OBRA 296'!K39+'OBRA 297'!J39+'OBRA 298'!K40+'OBRA 299'!J39+'OBRA 300'!K40+'OBRA 301'!K39+'OBRA 302'!J39+'OBRA 303'!K39+'OBRA 304'!K39+'OBRA 306'!K39+'OBRA 307'!J39+'DEMAIS OBRAS'!M42</f>
        <v>0</v>
      </c>
      <c r="N42" s="152">
        <f>'OBRA 251'!M41+'OBRA 267'!M42+'OBRA 270'!L40+'OBRA 274'!N42+'OBRA 277'!M42+'OBRA 280'!L42+'OBRA 281'!L40+'OBRA 282'!L39+'OBRA 283'!M39+'OBRA 284'!L39+'OBRA 286'!M39+'OBRA 287'!M39+'OBRA 288'!L39+'OBRA 289'!L39+'OBRA 290'!L39+'OBRA 291'!M39+'OBRA 292'!K39+'OBRA 293'!K39+'OBRA 295'!L39+'OBRA 296'!L39+'OBRA 297'!K39+'OBRA 298'!L40+'OBRA 299'!K39+'OBRA 300'!L40+'OBRA 301'!L39+'OBRA 302'!K39+'OBRA 303'!L39+'OBRA 304'!L39+'OBRA 306'!L39+'OBRA 307'!K39+'DEMAIS OBRAS'!N42</f>
        <v>0</v>
      </c>
      <c r="O42" s="152">
        <f>'OBRA 251'!N41+'OBRA 267'!N42+'OBRA 270'!M40+'OBRA 274'!O42+'OBRA 277'!N42+'OBRA 280'!M42+'OBRA 281'!M40+'OBRA 282'!M39+'OBRA 283'!N39+'OBRA 284'!M39+'OBRA 286'!N39+'OBRA 287'!N39+'OBRA 288'!M39+'OBRA 289'!M39+'OBRA 290'!M39+'OBRA 291'!N39+'OBRA 292'!L39+'OBRA 293'!L39+'OBRA 295'!M39+'OBRA 296'!M39+'OBRA 297'!L39+'OBRA 298'!M40+'OBRA 299'!L39+'OBRA 300'!M40+'OBRA 301'!M39+'OBRA 302'!L39+'OBRA 303'!M39+'OBRA 304'!M39+'OBRA 306'!M39+'OBRA 307'!L39+'DEMAIS OBRAS'!O42</f>
        <v>0</v>
      </c>
      <c r="P42" s="152">
        <f>'OBRA 251'!O41+'OBRA 267'!O42+'OBRA 270'!N40+'OBRA 274'!P42+'OBRA 277'!O42+'OBRA 280'!N42+'OBRA 281'!N40+'OBRA 282'!N39+'OBRA 283'!O39+'OBRA 284'!N39+'OBRA 286'!O39+'OBRA 287'!O39+'OBRA 288'!N39+'OBRA 289'!N39+'OBRA 290'!N39+'OBRA 291'!O39+'OBRA 292'!M39+'OBRA 293'!M39+'OBRA 295'!N39+'OBRA 296'!N39+'OBRA 297'!M39+'OBRA 298'!N40+'OBRA 299'!M39+'OBRA 300'!N40+'OBRA 301'!N39+'OBRA 302'!M39+'OBRA 303'!N39+'OBRA 304'!N39+'OBRA 306'!N39+'OBRA 307'!M39+'DEMAIS OBRAS'!P42</f>
        <v>0</v>
      </c>
      <c r="Q42" s="152">
        <f>'OBRA 251'!P41+'OBRA 267'!P42+'OBRA 270'!O40+'OBRA 274'!Q42+'OBRA 277'!P42+'OBRA 280'!O42+'OBRA 281'!O40+'OBRA 282'!O39+'OBRA 283'!P39+'OBRA 284'!O39+'OBRA 286'!P39+'OBRA 287'!P39+'OBRA 288'!O39+'OBRA 289'!O39+'OBRA 290'!O39+'OBRA 291'!P39+'OBRA 292'!N39+'OBRA 293'!N39+'OBRA 295'!O39+'OBRA 296'!O39+'OBRA 297'!N39+'OBRA 298'!O40+'OBRA 299'!N39+'OBRA 300'!O40+'OBRA 301'!O39+'OBRA 302'!N39+'OBRA 303'!O39+'OBRA 304'!O39+'OBRA 306'!O39+'OBRA 307'!N39+'DEMAIS OBRAS'!Q42</f>
        <v>0</v>
      </c>
      <c r="R42" s="22">
        <f t="shared" si="5"/>
        <v>-17986.620000000003</v>
      </c>
      <c r="S42" s="21"/>
      <c r="U42" s="70">
        <f t="shared" si="0"/>
        <v>-17986.620000000003</v>
      </c>
      <c r="V42" s="70">
        <f t="shared" si="1"/>
        <v>0</v>
      </c>
      <c r="W42" s="178"/>
      <c r="X42" s="179">
        <f t="shared" si="6"/>
        <v>-17986.620000000003</v>
      </c>
      <c r="Y42" s="70">
        <f t="shared" si="4"/>
        <v>-3311.9300000000003</v>
      </c>
    </row>
    <row r="43" spans="1:25" ht="15" x14ac:dyDescent="0.2">
      <c r="A43" s="35" t="s">
        <v>31</v>
      </c>
      <c r="B43" s="36">
        <f t="shared" ref="B43:F43" si="12">SUM(B17:B42)</f>
        <v>-2189043.4499999997</v>
      </c>
      <c r="C43" s="36">
        <f t="shared" si="12"/>
        <v>-10773262.17</v>
      </c>
      <c r="D43" s="36">
        <f t="shared" si="12"/>
        <v>-13388752.350000003</v>
      </c>
      <c r="E43" s="36">
        <f t="shared" si="12"/>
        <v>-12728472.120000003</v>
      </c>
      <c r="F43" s="36">
        <f t="shared" si="12"/>
        <v>-930088.17</v>
      </c>
      <c r="G43" s="36">
        <f>SUM(G17:G42)</f>
        <v>-1141237.4000000001</v>
      </c>
      <c r="H43" s="36">
        <f>SUM(H17:H42)</f>
        <v>-1102595.7300000002</v>
      </c>
      <c r="I43" s="36">
        <f t="shared" ref="I43:Q43" si="13">SUM(I17:I42)</f>
        <v>-1086797.48</v>
      </c>
      <c r="J43" s="36">
        <f t="shared" si="13"/>
        <v>-1179692.0099999998</v>
      </c>
      <c r="K43" s="36">
        <f>SUM(K17:K42)</f>
        <v>0</v>
      </c>
      <c r="L43" s="36">
        <f>SUM(L17:L42)</f>
        <v>0</v>
      </c>
      <c r="M43" s="36">
        <f t="shared" si="13"/>
        <v>0</v>
      </c>
      <c r="N43" s="36">
        <f t="shared" si="13"/>
        <v>0</v>
      </c>
      <c r="O43" s="36">
        <f t="shared" si="13"/>
        <v>0</v>
      </c>
      <c r="P43" s="36">
        <f>SUM(P17:P42)</f>
        <v>0</v>
      </c>
      <c r="Q43" s="36">
        <f t="shared" si="13"/>
        <v>0</v>
      </c>
      <c r="R43" s="36">
        <f>SUM(R17:R42)</f>
        <v>-44519940.880000003</v>
      </c>
      <c r="S43" s="21">
        <f t="shared" si="11"/>
        <v>0.73572098488250015</v>
      </c>
      <c r="U43" s="70">
        <f>SUM(B43:Q43)</f>
        <v>-44519940.879999995</v>
      </c>
      <c r="V43" s="70">
        <f t="shared" si="1"/>
        <v>0</v>
      </c>
      <c r="W43" s="180">
        <f>SUM(W17:W42)</f>
        <v>-60964.86</v>
      </c>
      <c r="X43" s="184">
        <f>SUM(X17:X42)</f>
        <v>-44580905.739999995</v>
      </c>
      <c r="Y43" s="70">
        <f t="shared" si="4"/>
        <v>-2250.0000000000018</v>
      </c>
    </row>
    <row r="44" spans="1:25" ht="15" x14ac:dyDescent="0.2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62"/>
      <c r="L44" s="62"/>
      <c r="M44" s="62"/>
      <c r="N44" s="38"/>
      <c r="O44" s="38"/>
      <c r="P44" s="38"/>
      <c r="Q44" s="38"/>
      <c r="R44" s="27"/>
      <c r="S44" s="18"/>
      <c r="U44" s="70">
        <f t="shared" si="0"/>
        <v>0</v>
      </c>
      <c r="V44" s="70">
        <f t="shared" si="1"/>
        <v>0</v>
      </c>
      <c r="Y44" s="70">
        <f t="shared" si="4"/>
        <v>-5440410.7899999935</v>
      </c>
    </row>
    <row r="45" spans="1:25" ht="15" x14ac:dyDescent="0.2">
      <c r="A45" s="39" t="s">
        <v>32</v>
      </c>
      <c r="B45" s="58">
        <f>B14+B43</f>
        <v>1882476.1700000004</v>
      </c>
      <c r="C45" s="58">
        <f>C14+C43</f>
        <v>3073562.1099999994</v>
      </c>
      <c r="D45" s="58">
        <f t="shared" ref="D45:E45" si="14">D14+D43</f>
        <v>4027127.8099999968</v>
      </c>
      <c r="E45" s="58">
        <f t="shared" si="14"/>
        <v>6176279.4000000004</v>
      </c>
      <c r="F45" s="40">
        <f t="shared" ref="F45:K45" si="15">F14+F43</f>
        <v>117467.39999999979</v>
      </c>
      <c r="G45" s="40">
        <f t="shared" si="15"/>
        <v>41565.659999999916</v>
      </c>
      <c r="H45" s="40">
        <f t="shared" si="15"/>
        <v>305834.72999999975</v>
      </c>
      <c r="I45" s="40">
        <f>I14+I43</f>
        <v>327333.10000000009</v>
      </c>
      <c r="J45" s="40">
        <f t="shared" si="15"/>
        <v>40402.740000000224</v>
      </c>
      <c r="K45" s="40">
        <f t="shared" si="15"/>
        <v>0</v>
      </c>
      <c r="L45" s="40">
        <f t="shared" ref="L45:Q45" si="16">L14+L43</f>
        <v>0</v>
      </c>
      <c r="M45" s="40">
        <f t="shared" si="16"/>
        <v>0</v>
      </c>
      <c r="N45" s="40">
        <f t="shared" si="16"/>
        <v>0</v>
      </c>
      <c r="O45" s="40">
        <f t="shared" si="16"/>
        <v>0</v>
      </c>
      <c r="P45" s="40">
        <f t="shared" si="16"/>
        <v>0</v>
      </c>
      <c r="Q45" s="40">
        <f t="shared" si="16"/>
        <v>0</v>
      </c>
      <c r="R45" s="155">
        <f>SUM(B45:Q45)</f>
        <v>15992049.119999997</v>
      </c>
      <c r="S45" s="21">
        <f>R45/$R$14</f>
        <v>0.26427901511749979</v>
      </c>
      <c r="U45" s="70">
        <f t="shared" si="0"/>
        <v>15992049.119999997</v>
      </c>
      <c r="V45" s="70">
        <f t="shared" si="1"/>
        <v>0</v>
      </c>
      <c r="Y45" s="70">
        <f t="shared" si="4"/>
        <v>0</v>
      </c>
    </row>
    <row r="46" spans="1:25" ht="15" x14ac:dyDescent="0.2">
      <c r="A46" s="41"/>
      <c r="B46" s="42"/>
      <c r="C46" s="42"/>
      <c r="D46" s="42"/>
      <c r="E46" s="42"/>
      <c r="F46" s="42"/>
      <c r="G46" s="42"/>
      <c r="H46" s="42"/>
      <c r="I46" s="42"/>
      <c r="J46" s="42"/>
      <c r="K46" s="46"/>
      <c r="L46" s="46"/>
      <c r="M46" s="46"/>
      <c r="N46" s="42"/>
      <c r="O46" s="42"/>
      <c r="P46" s="42"/>
      <c r="Q46" s="42"/>
      <c r="R46" s="43"/>
      <c r="S46" s="44"/>
      <c r="U46" s="70">
        <f t="shared" si="0"/>
        <v>0</v>
      </c>
      <c r="V46" s="70">
        <f t="shared" si="1"/>
        <v>0</v>
      </c>
      <c r="Y46" s="70">
        <f t="shared" si="4"/>
        <v>832603.63000000082</v>
      </c>
    </row>
    <row r="47" spans="1:25" ht="15" x14ac:dyDescent="0.2">
      <c r="A47" s="29" t="s">
        <v>56</v>
      </c>
      <c r="B47" s="45">
        <f>-B12*12.46%</f>
        <v>-507311.344652</v>
      </c>
      <c r="C47" s="45">
        <f t="shared" ref="C47:F47" si="17">-C12*13.15%</f>
        <v>-1820857.39282</v>
      </c>
      <c r="D47" s="45">
        <f t="shared" ref="D47:E47" si="18">-D12*13.15%</f>
        <v>-2267815.0256600003</v>
      </c>
      <c r="E47" s="45">
        <f t="shared" si="18"/>
        <v>-2244728.7278600005</v>
      </c>
      <c r="F47" s="45">
        <f t="shared" si="17"/>
        <v>-130666.76208499998</v>
      </c>
      <c r="G47" s="45">
        <f t="shared" ref="G47" si="19">-G12*13.15%</f>
        <v>-125321.17268</v>
      </c>
      <c r="H47" s="45">
        <f t="shared" ref="H47:N47" si="20">-H12*13.15%</f>
        <v>-146674.66868</v>
      </c>
      <c r="I47" s="45">
        <f t="shared" si="20"/>
        <v>-138262.33490000002</v>
      </c>
      <c r="J47" s="45">
        <f t="shared" si="20"/>
        <v>-109896.46727000001</v>
      </c>
      <c r="K47" s="45">
        <f t="shared" si="20"/>
        <v>0</v>
      </c>
      <c r="L47" s="45">
        <f t="shared" si="20"/>
        <v>0</v>
      </c>
      <c r="M47" s="45">
        <f t="shared" si="20"/>
        <v>0</v>
      </c>
      <c r="N47" s="45">
        <f t="shared" si="20"/>
        <v>0</v>
      </c>
      <c r="O47" s="45">
        <f>-O12*13.15%</f>
        <v>0</v>
      </c>
      <c r="P47" s="45">
        <f t="shared" ref="P47:Q47" si="21">-P12*13.15%</f>
        <v>0</v>
      </c>
      <c r="Q47" s="45">
        <f t="shared" si="21"/>
        <v>0</v>
      </c>
      <c r="R47" s="22">
        <f t="shared" ref="R47" si="22">SUM(B47:Q47)</f>
        <v>-7491533.8966070004</v>
      </c>
      <c r="S47" s="21">
        <f t="shared" ref="S47" si="23">-R47/$R$14</f>
        <v>0.12380247115665836</v>
      </c>
      <c r="U47" s="70">
        <f t="shared" si="0"/>
        <v>-7491533.8966070004</v>
      </c>
      <c r="V47" s="70">
        <f t="shared" si="1"/>
        <v>0</v>
      </c>
      <c r="Y47" s="70">
        <f t="shared" si="4"/>
        <v>0</v>
      </c>
    </row>
    <row r="48" spans="1:25" ht="15" x14ac:dyDescent="0.2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6"/>
      <c r="L48" s="46"/>
      <c r="M48" s="46"/>
      <c r="N48" s="42"/>
      <c r="O48" s="42"/>
      <c r="P48" s="42"/>
      <c r="Q48" s="42"/>
      <c r="R48" s="46"/>
      <c r="S48" s="44"/>
      <c r="U48" s="70">
        <f t="shared" si="0"/>
        <v>0</v>
      </c>
      <c r="V48" s="70">
        <f t="shared" si="1"/>
        <v>0</v>
      </c>
      <c r="Y48" s="70">
        <f t="shared" si="4"/>
        <v>-650821.40561500005</v>
      </c>
    </row>
    <row r="49" spans="1:26" ht="15" x14ac:dyDescent="0.2">
      <c r="A49" s="29" t="s">
        <v>33</v>
      </c>
      <c r="B49" s="45">
        <f t="shared" ref="B49:K49" si="24">-B12*1.22%</f>
        <v>-49672.539363999997</v>
      </c>
      <c r="C49" s="45">
        <f t="shared" ref="C49:F49" si="25">-C12*1.22%</f>
        <v>-168931.25621599998</v>
      </c>
      <c r="D49" s="45">
        <f t="shared" ref="D49:E49" si="26">-D12*1.22%</f>
        <v>-210398.04800799998</v>
      </c>
      <c r="E49" s="45">
        <f t="shared" si="26"/>
        <v>-208256.20136800001</v>
      </c>
      <c r="F49" s="45">
        <f t="shared" si="25"/>
        <v>-12122.695797999997</v>
      </c>
      <c r="G49" s="45">
        <f t="shared" ref="G49" si="27">-G12*1.22%</f>
        <v>-11626.755184</v>
      </c>
      <c r="H49" s="45">
        <f t="shared" si="24"/>
        <v>-13607.839983999998</v>
      </c>
      <c r="I49" s="45">
        <f t="shared" si="24"/>
        <v>-12827.38012</v>
      </c>
      <c r="J49" s="45">
        <f t="shared" si="24"/>
        <v>-10195.717876000001</v>
      </c>
      <c r="K49" s="45">
        <f t="shared" si="24"/>
        <v>0</v>
      </c>
      <c r="L49" s="45">
        <f t="shared" ref="L49:Q49" si="28">-L12*1.22%</f>
        <v>0</v>
      </c>
      <c r="M49" s="45">
        <f t="shared" si="28"/>
        <v>0</v>
      </c>
      <c r="N49" s="45">
        <f t="shared" si="28"/>
        <v>0</v>
      </c>
      <c r="O49" s="45">
        <f t="shared" si="28"/>
        <v>0</v>
      </c>
      <c r="P49" s="45">
        <f t="shared" si="28"/>
        <v>0</v>
      </c>
      <c r="Q49" s="45">
        <f t="shared" si="28"/>
        <v>0</v>
      </c>
      <c r="R49" s="22">
        <f t="shared" ref="R49" si="29">SUM(B49:Q49)</f>
        <v>-697638.43391799985</v>
      </c>
      <c r="S49" s="21">
        <f t="shared" ref="S49" si="30">-R49/$R$14</f>
        <v>1.1528928959665676E-2</v>
      </c>
      <c r="U49" s="70">
        <f t="shared" si="0"/>
        <v>-697638.43391799985</v>
      </c>
      <c r="V49" s="70">
        <f t="shared" si="1"/>
        <v>0</v>
      </c>
      <c r="Y49" s="70">
        <f t="shared" si="4"/>
        <v>0</v>
      </c>
    </row>
    <row r="50" spans="1:26" ht="14.25" x14ac:dyDescent="0.2">
      <c r="A50" s="43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4"/>
      <c r="U50" s="70">
        <f t="shared" si="0"/>
        <v>0</v>
      </c>
      <c r="V50" s="70">
        <f t="shared" si="1"/>
        <v>0</v>
      </c>
      <c r="Y50" s="70">
        <f t="shared" si="4"/>
        <v>-60380.38896199991</v>
      </c>
    </row>
    <row r="51" spans="1:26" ht="15" x14ac:dyDescent="0.2">
      <c r="A51" s="48" t="s">
        <v>57</v>
      </c>
      <c r="B51" s="49">
        <f t="shared" ref="B51:K51" si="31">B43*5.56%</f>
        <v>-121710.81581999997</v>
      </c>
      <c r="C51" s="49">
        <f t="shared" ref="C51:F51" si="32">C43*5.56%</f>
        <v>-598993.37665200001</v>
      </c>
      <c r="D51" s="49">
        <f t="shared" ref="D51:E51" si="33">D43*5.56%</f>
        <v>-744414.63066000014</v>
      </c>
      <c r="E51" s="49">
        <f t="shared" si="33"/>
        <v>-707703.04987200012</v>
      </c>
      <c r="F51" s="49">
        <f t="shared" si="32"/>
        <v>-51712.902252</v>
      </c>
      <c r="G51" s="49">
        <f t="shared" ref="G51" si="34">G43*5.56%</f>
        <v>-63452.799440000003</v>
      </c>
      <c r="H51" s="49">
        <f t="shared" si="31"/>
        <v>-61304.32258800001</v>
      </c>
      <c r="I51" s="49">
        <f t="shared" si="31"/>
        <v>-60425.939887999994</v>
      </c>
      <c r="J51" s="49">
        <f t="shared" si="31"/>
        <v>-65590.875755999979</v>
      </c>
      <c r="K51" s="49">
        <f t="shared" si="31"/>
        <v>0</v>
      </c>
      <c r="L51" s="49">
        <f t="shared" ref="L51:Q51" si="35">L43*5.56%</f>
        <v>0</v>
      </c>
      <c r="M51" s="49">
        <f t="shared" si="35"/>
        <v>0</v>
      </c>
      <c r="N51" s="49">
        <f t="shared" si="35"/>
        <v>0</v>
      </c>
      <c r="O51" s="49">
        <f t="shared" si="35"/>
        <v>0</v>
      </c>
      <c r="P51" s="49">
        <f t="shared" si="35"/>
        <v>0</v>
      </c>
      <c r="Q51" s="49">
        <f t="shared" si="35"/>
        <v>0</v>
      </c>
      <c r="R51" s="22">
        <f t="shared" ref="R51" si="36">SUM(B51:Q51)</f>
        <v>-2475308.7129280004</v>
      </c>
      <c r="S51" s="21">
        <f t="shared" ref="S51" si="37">-R51/$R$14</f>
        <v>4.0906086759467011E-2</v>
      </c>
      <c r="U51" s="70">
        <f t="shared" si="0"/>
        <v>-2475308.7129280004</v>
      </c>
      <c r="V51" s="70">
        <f t="shared" si="1"/>
        <v>0</v>
      </c>
      <c r="Y51" s="70">
        <f t="shared" si="4"/>
        <v>0</v>
      </c>
    </row>
    <row r="52" spans="1:26" ht="14.25" x14ac:dyDescent="0.2">
      <c r="A52" s="43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4"/>
      <c r="U52" s="70">
        <f t="shared" si="0"/>
        <v>0</v>
      </c>
      <c r="V52" s="70">
        <f t="shared" si="1"/>
        <v>0</v>
      </c>
      <c r="Y52" s="70">
        <f t="shared" si="4"/>
        <v>-302486.83992399997</v>
      </c>
    </row>
    <row r="53" spans="1:26" ht="15" x14ac:dyDescent="0.2">
      <c r="A53" s="48" t="s">
        <v>58</v>
      </c>
      <c r="B53" s="49">
        <f>B43*2.76%</f>
        <v>-60417.599219999989</v>
      </c>
      <c r="C53" s="49">
        <f t="shared" ref="C53:F53" si="38">C43*0.01%</f>
        <v>-1077.326217</v>
      </c>
      <c r="D53" s="49">
        <f t="shared" ref="D53:E53" si="39">D43*0.01%</f>
        <v>-1338.8752350000004</v>
      </c>
      <c r="E53" s="49">
        <f t="shared" si="39"/>
        <v>-1272.8472120000004</v>
      </c>
      <c r="F53" s="49">
        <f t="shared" si="38"/>
        <v>-93.008817000000008</v>
      </c>
      <c r="G53" s="49">
        <f t="shared" ref="G53" si="40">G43*0.01%</f>
        <v>-114.12374000000003</v>
      </c>
      <c r="H53" s="49">
        <f t="shared" ref="H53:N53" si="41">H43*0.01%</f>
        <v>-110.25957300000003</v>
      </c>
      <c r="I53" s="49">
        <f t="shared" si="41"/>
        <v>-108.679748</v>
      </c>
      <c r="J53" s="49">
        <f t="shared" si="41"/>
        <v>-117.96920099999998</v>
      </c>
      <c r="K53" s="49">
        <f t="shared" si="41"/>
        <v>0</v>
      </c>
      <c r="L53" s="49">
        <f t="shared" si="41"/>
        <v>0</v>
      </c>
      <c r="M53" s="49">
        <f t="shared" si="41"/>
        <v>0</v>
      </c>
      <c r="N53" s="49">
        <f t="shared" si="41"/>
        <v>0</v>
      </c>
      <c r="O53" s="49">
        <f>O43*0.01%</f>
        <v>0</v>
      </c>
      <c r="P53" s="49">
        <f t="shared" ref="P53:Q53" si="42">P43*0.01%</f>
        <v>0</v>
      </c>
      <c r="Q53" s="49">
        <f t="shared" si="42"/>
        <v>0</v>
      </c>
      <c r="R53" s="22">
        <f t="shared" ref="R53" si="43">SUM(B53:Q53)</f>
        <v>-64650.688963000001</v>
      </c>
      <c r="S53" s="21">
        <f t="shared" ref="S53" si="44">-R53/$R$14</f>
        <v>1.0683946927377531E-3</v>
      </c>
      <c r="U53" s="70">
        <f t="shared" si="0"/>
        <v>-64650.688963000001</v>
      </c>
      <c r="V53" s="70">
        <f t="shared" si="1"/>
        <v>0</v>
      </c>
      <c r="Y53" s="70">
        <f t="shared" si="4"/>
        <v>0</v>
      </c>
    </row>
    <row r="54" spans="1:26" ht="15" x14ac:dyDescent="0.2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6"/>
      <c r="S54" s="44"/>
      <c r="U54" s="70">
        <f t="shared" si="0"/>
        <v>0</v>
      </c>
      <c r="V54" s="70">
        <f t="shared" si="1"/>
        <v>0</v>
      </c>
      <c r="Y54" s="70">
        <f t="shared" si="4"/>
        <v>-544.04107900001077</v>
      </c>
    </row>
    <row r="55" spans="1:26" ht="15" x14ac:dyDescent="0.2">
      <c r="A55" s="39" t="s">
        <v>139</v>
      </c>
      <c r="B55" s="58">
        <f t="shared" ref="B55:K55" si="45">B45+B51+B53+B47+B49</f>
        <v>1143363.8709440005</v>
      </c>
      <c r="C55" s="58">
        <f t="shared" ref="C55" si="46">C45+C51+C53+C47+C49</f>
        <v>483702.75809499959</v>
      </c>
      <c r="D55" s="58">
        <f t="shared" ref="D55:E55" si="47">D45+D51+D53+D47+D49</f>
        <v>803161.23043699609</v>
      </c>
      <c r="E55" s="58">
        <f t="shared" si="47"/>
        <v>3014318.5736880004</v>
      </c>
      <c r="F55" s="40">
        <f>F45+F51+F53+F47+F49</f>
        <v>-77127.968952000185</v>
      </c>
      <c r="G55" s="40">
        <f>G45+G51+G53+G47+G49</f>
        <v>-158949.19104400009</v>
      </c>
      <c r="H55" s="58">
        <f t="shared" si="45"/>
        <v>84137.639174999757</v>
      </c>
      <c r="I55" s="58">
        <f t="shared" si="45"/>
        <v>115708.76534400006</v>
      </c>
      <c r="J55" s="58">
        <f t="shared" si="45"/>
        <v>-145398.29010299977</v>
      </c>
      <c r="K55" s="58">
        <f t="shared" si="45"/>
        <v>0</v>
      </c>
      <c r="L55" s="58">
        <f t="shared" ref="L55:Q55" si="48">L45+L51+L53+L47+L49</f>
        <v>0</v>
      </c>
      <c r="M55" s="58">
        <f t="shared" si="48"/>
        <v>0</v>
      </c>
      <c r="N55" s="40">
        <f t="shared" si="48"/>
        <v>0</v>
      </c>
      <c r="O55" s="58">
        <f t="shared" si="48"/>
        <v>0</v>
      </c>
      <c r="P55" s="58">
        <f t="shared" si="48"/>
        <v>0</v>
      </c>
      <c r="Q55" s="58">
        <f t="shared" si="48"/>
        <v>0</v>
      </c>
      <c r="R55" s="155">
        <f>SUM(B55:Q55)</f>
        <v>5262917.3875839971</v>
      </c>
      <c r="S55" s="21">
        <f>R55/$R$14</f>
        <v>8.6973133548970974E-2</v>
      </c>
      <c r="U55" s="70">
        <f>SUM(B55:Q55)</f>
        <v>5262917.3875839971</v>
      </c>
      <c r="V55" s="70">
        <f t="shared" si="1"/>
        <v>0</v>
      </c>
      <c r="Y55" s="70">
        <f t="shared" si="4"/>
        <v>0</v>
      </c>
    </row>
    <row r="56" spans="1:26" x14ac:dyDescent="0.2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</row>
    <row r="57" spans="1:26" x14ac:dyDescent="0.2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1"/>
      <c r="S57" s="50"/>
    </row>
    <row r="58" spans="1:26" ht="15" x14ac:dyDescent="0.25">
      <c r="A58" s="52" t="s">
        <v>35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53"/>
      <c r="S58" s="50"/>
      <c r="W58" s="190">
        <f>'OBRA 251'!Q54+'OBRA 274'!R55+'OBRA 296'!P52+'OBRA 298'!P53+'OBRA 300'!P53+'OBRA 301'!P52+'OBRA 303'!P52+'OBRA 304'!P52+'OBRA 305'!O52+'OBRA 306'!P52+'OBRA 307'!O52+'OBRA 308'!O52+'OBRA 310'!O52+'OBRA 311'!O52+'OBRA 312'!O52+'OBRA 313'!O52+'OBRA 314'!N52+'OBRA 315'!O52+'OBRA 316'!O52+'OBRA 317'!O52+'OBRA 318'!K52+'OBRA 319'!K52</f>
        <v>4415335.2855280004</v>
      </c>
      <c r="Z58" s="174">
        <f>'OBRA 251'!Q54+'OBRA 274'!R55+'OBRA 283'!Q52+'OBRA 286'!Q52+'OBRA 287'!Q52+'OBRA 290'!P52+'OBRA 291'!Q52+'OBRA 295'!P52+'OBRA 296'!P52+'OBRA 298'!P53+'OBRA 300'!P53+'OBRA 301'!P52+'OBRA 303'!P52+'OBRA 304'!P52+'OBRA 305'!O52+'OBRA 306'!P52+'OBRA 307'!O52+'OBRA 308'!O52+'OBRA 310'!O52+'OBRA 311'!O52+'OBRA 312'!O52+'OBRA 313'!O52+'OBRA 315'!O52+'OBRA 316'!O52+'OBRA 317'!O52</f>
        <v>736072.65690300171</v>
      </c>
    </row>
    <row r="60" spans="1:26" x14ac:dyDescent="0.2">
      <c r="A60" s="54" t="s">
        <v>36</v>
      </c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83">
        <v>38898</v>
      </c>
      <c r="X60" s="70"/>
      <c r="Z60" s="70"/>
    </row>
    <row r="61" spans="1:26" x14ac:dyDescent="0.2">
      <c r="W61" s="70"/>
    </row>
    <row r="62" spans="1:26" x14ac:dyDescent="0.2">
      <c r="B62" s="70">
        <f>B14+B43+B47+B49+B51+B53</f>
        <v>1143363.8709440005</v>
      </c>
      <c r="C62" s="70">
        <f t="shared" ref="C62:Q62" si="49">C14+C43+C47+C49+C51+C53</f>
        <v>483702.75809499936</v>
      </c>
      <c r="D62" s="70">
        <f t="shared" ref="D62:E62" si="50">D14+D43+D47+D49+D51+D53</f>
        <v>803161.23043699632</v>
      </c>
      <c r="E62" s="70">
        <f t="shared" si="50"/>
        <v>3014318.573688</v>
      </c>
      <c r="F62" s="70">
        <f t="shared" si="49"/>
        <v>-77127.968952000185</v>
      </c>
      <c r="G62" s="70">
        <f t="shared" si="49"/>
        <v>-158949.19104400009</v>
      </c>
      <c r="H62" s="70">
        <f t="shared" si="49"/>
        <v>84137.639174999742</v>
      </c>
      <c r="I62" s="70">
        <f t="shared" si="49"/>
        <v>115708.7653440001</v>
      </c>
      <c r="J62" s="70">
        <f t="shared" si="49"/>
        <v>-145398.29010299977</v>
      </c>
      <c r="K62" s="70">
        <f t="shared" si="49"/>
        <v>0</v>
      </c>
      <c r="L62" s="70">
        <f t="shared" si="49"/>
        <v>0</v>
      </c>
      <c r="M62" s="70">
        <f t="shared" si="49"/>
        <v>0</v>
      </c>
      <c r="N62" s="70">
        <f t="shared" si="49"/>
        <v>0</v>
      </c>
      <c r="O62" s="70">
        <f t="shared" si="49"/>
        <v>0</v>
      </c>
      <c r="P62" s="70">
        <f t="shared" si="49"/>
        <v>0</v>
      </c>
      <c r="Q62" s="70">
        <f t="shared" si="49"/>
        <v>0</v>
      </c>
      <c r="R62" s="70">
        <f>R14+R43+R47+R49+R51+R53</f>
        <v>5262917.3875840046</v>
      </c>
    </row>
    <row r="64" spans="1:26" x14ac:dyDescent="0.2">
      <c r="B64" s="70">
        <f>B62-B55</f>
        <v>0</v>
      </c>
      <c r="C64" s="70">
        <f t="shared" ref="C64:Q64" si="51">C62-C55</f>
        <v>0</v>
      </c>
      <c r="D64" s="70">
        <f t="shared" ref="D64:E64" si="52">D62-D55</f>
        <v>0</v>
      </c>
      <c r="E64" s="70">
        <f t="shared" si="52"/>
        <v>0</v>
      </c>
      <c r="F64" s="70">
        <f t="shared" si="51"/>
        <v>0</v>
      </c>
      <c r="G64" s="70">
        <f t="shared" si="51"/>
        <v>0</v>
      </c>
      <c r="H64" s="70">
        <f t="shared" si="51"/>
        <v>0</v>
      </c>
      <c r="I64" s="70">
        <f t="shared" si="51"/>
        <v>0</v>
      </c>
      <c r="J64" s="70">
        <f t="shared" si="51"/>
        <v>0</v>
      </c>
      <c r="K64" s="70">
        <f t="shared" si="51"/>
        <v>0</v>
      </c>
      <c r="L64" s="70">
        <f t="shared" si="51"/>
        <v>0</v>
      </c>
      <c r="M64" s="70">
        <f t="shared" si="51"/>
        <v>0</v>
      </c>
      <c r="N64" s="70">
        <f t="shared" si="51"/>
        <v>0</v>
      </c>
      <c r="O64" s="70">
        <f t="shared" si="51"/>
        <v>0</v>
      </c>
      <c r="P64" s="70">
        <f t="shared" si="51"/>
        <v>0</v>
      </c>
      <c r="Q64" s="70">
        <f t="shared" si="51"/>
        <v>0</v>
      </c>
      <c r="R64" s="70">
        <f>R62-R55</f>
        <v>7.4505805969238281E-9</v>
      </c>
    </row>
  </sheetData>
  <mergeCells count="3">
    <mergeCell ref="A2:S2"/>
    <mergeCell ref="A4:S4"/>
    <mergeCell ref="A6:S6"/>
  </mergeCells>
  <phoneticPr fontId="12" type="noConversion"/>
  <conditionalFormatting sqref="B45:M45 B55:M55">
    <cfRule type="cellIs" dxfId="1" priority="3" operator="lessThan">
      <formula>0</formula>
    </cfRule>
    <cfRule type="cellIs" dxfId="0" priority="4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ignoredErrors>
    <ignoredError sqref="S37 S43" formula="1"/>
  </ignoredErrors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51"/>
  <sheetViews>
    <sheetView topLeftCell="A34" zoomScale="130" zoomScaleNormal="130" workbookViewId="0">
      <selection activeCell="B47" sqref="B47"/>
    </sheetView>
  </sheetViews>
  <sheetFormatPr defaultRowHeight="15" x14ac:dyDescent="0.25"/>
  <cols>
    <col min="1" max="1" width="9.140625" style="2"/>
    <col min="2" max="2" width="45.140625" style="2" customWidth="1"/>
    <col min="3" max="3" width="12.85546875" style="2" bestFit="1" customWidth="1"/>
    <col min="5" max="5" width="9.85546875" bestFit="1" customWidth="1"/>
  </cols>
  <sheetData>
    <row r="1" spans="1:3" ht="15.75" thickBot="1" x14ac:dyDescent="0.3"/>
    <row r="2" spans="1:3" ht="15.75" thickBot="1" x14ac:dyDescent="0.3">
      <c r="A2" s="195" t="s">
        <v>356</v>
      </c>
      <c r="B2" s="196"/>
      <c r="C2" s="197"/>
    </row>
    <row r="3" spans="1:3" ht="15.75" thickBot="1" x14ac:dyDescent="0.3">
      <c r="A3" s="3"/>
      <c r="B3" s="4"/>
      <c r="C3" s="4"/>
    </row>
    <row r="4" spans="1:3" ht="15.75" thickBot="1" x14ac:dyDescent="0.3">
      <c r="A4" s="195" t="s">
        <v>37</v>
      </c>
      <c r="B4" s="196"/>
      <c r="C4" s="197"/>
    </row>
    <row r="6" spans="1:3" x14ac:dyDescent="0.25">
      <c r="B6" s="5" t="s">
        <v>38</v>
      </c>
      <c r="C6" s="5"/>
    </row>
    <row r="7" spans="1:3" x14ac:dyDescent="0.25">
      <c r="B7" s="5" t="s">
        <v>39</v>
      </c>
      <c r="C7" s="6">
        <v>0</v>
      </c>
    </row>
    <row r="8" spans="1:3" x14ac:dyDescent="0.25">
      <c r="B8" s="5" t="s">
        <v>40</v>
      </c>
      <c r="C8" s="6">
        <v>0</v>
      </c>
    </row>
    <row r="9" spans="1:3" x14ac:dyDescent="0.25">
      <c r="B9" s="5" t="s">
        <v>6</v>
      </c>
      <c r="C9" s="6">
        <v>0</v>
      </c>
    </row>
    <row r="10" spans="1:3" x14ac:dyDescent="0.25">
      <c r="B10" s="5"/>
      <c r="C10" s="6"/>
    </row>
    <row r="11" spans="1:3" x14ac:dyDescent="0.25">
      <c r="B11" s="5" t="s">
        <v>7</v>
      </c>
      <c r="C11" s="5"/>
    </row>
    <row r="12" spans="1:3" x14ac:dyDescent="0.25">
      <c r="B12" s="8" t="s">
        <v>25</v>
      </c>
      <c r="C12" s="9">
        <v>0</v>
      </c>
    </row>
    <row r="13" spans="1:3" x14ac:dyDescent="0.25">
      <c r="B13" s="8" t="s">
        <v>24</v>
      </c>
      <c r="C13" s="9">
        <v>0</v>
      </c>
    </row>
    <row r="14" spans="1:3" x14ac:dyDescent="0.25">
      <c r="B14" s="181" t="s">
        <v>277</v>
      </c>
      <c r="C14" s="9">
        <v>0</v>
      </c>
    </row>
    <row r="15" spans="1:3" x14ac:dyDescent="0.25">
      <c r="B15" s="8" t="s">
        <v>12</v>
      </c>
      <c r="C15" s="9">
        <v>0</v>
      </c>
    </row>
    <row r="16" spans="1:3" x14ac:dyDescent="0.25">
      <c r="B16" s="8" t="s">
        <v>17</v>
      </c>
      <c r="C16" s="9">
        <v>0</v>
      </c>
    </row>
    <row r="17" spans="2:11" x14ac:dyDescent="0.25">
      <c r="B17" s="8" t="s">
        <v>13</v>
      </c>
      <c r="C17" s="9">
        <v>0</v>
      </c>
    </row>
    <row r="18" spans="2:11" x14ac:dyDescent="0.25">
      <c r="B18" s="5" t="s">
        <v>41</v>
      </c>
      <c r="C18" s="171">
        <v>0</v>
      </c>
    </row>
    <row r="19" spans="2:11" x14ac:dyDescent="0.25">
      <c r="B19" s="8" t="s">
        <v>42</v>
      </c>
      <c r="C19" s="9">
        <v>0</v>
      </c>
    </row>
    <row r="20" spans="2:11" x14ac:dyDescent="0.25">
      <c r="B20" s="8" t="s">
        <v>21</v>
      </c>
      <c r="C20" s="9">
        <v>0</v>
      </c>
    </row>
    <row r="21" spans="2:11" x14ac:dyDescent="0.25">
      <c r="B21" s="8" t="s">
        <v>8</v>
      </c>
      <c r="C21" s="9">
        <v>0</v>
      </c>
    </row>
    <row r="22" spans="2:11" x14ac:dyDescent="0.25">
      <c r="B22" s="5" t="s">
        <v>43</v>
      </c>
      <c r="C22" s="171">
        <v>0</v>
      </c>
    </row>
    <row r="23" spans="2:11" x14ac:dyDescent="0.25">
      <c r="B23" s="8" t="s">
        <v>44</v>
      </c>
      <c r="C23" s="9">
        <v>0</v>
      </c>
    </row>
    <row r="24" spans="2:11" x14ac:dyDescent="0.25">
      <c r="B24" s="8" t="s">
        <v>14</v>
      </c>
      <c r="C24" s="9">
        <v>0</v>
      </c>
    </row>
    <row r="25" spans="2:11" x14ac:dyDescent="0.25">
      <c r="B25" s="8" t="s">
        <v>45</v>
      </c>
      <c r="C25" s="9">
        <v>0</v>
      </c>
    </row>
    <row r="26" spans="2:11" x14ac:dyDescent="0.25">
      <c r="B26" s="7" t="s">
        <v>11</v>
      </c>
      <c r="C26" s="171">
        <v>0</v>
      </c>
    </row>
    <row r="27" spans="2:11" x14ac:dyDescent="0.25">
      <c r="B27" s="7" t="s">
        <v>28</v>
      </c>
      <c r="C27" s="171">
        <v>0</v>
      </c>
      <c r="D27" s="86"/>
      <c r="E27" s="86"/>
      <c r="F27" s="86"/>
      <c r="G27" s="86"/>
      <c r="H27" s="86"/>
      <c r="I27" s="86"/>
      <c r="J27" s="86"/>
    </row>
    <row r="28" spans="2:11" x14ac:dyDescent="0.25">
      <c r="B28" s="7" t="s">
        <v>23</v>
      </c>
      <c r="C28" s="171">
        <v>0</v>
      </c>
      <c r="D28" s="199"/>
      <c r="E28" s="200"/>
      <c r="F28" s="200"/>
      <c r="G28" s="200"/>
      <c r="H28" s="200"/>
    </row>
    <row r="29" spans="2:11" x14ac:dyDescent="0.25">
      <c r="B29" s="8" t="s">
        <v>20</v>
      </c>
      <c r="C29" s="9">
        <v>0</v>
      </c>
    </row>
    <row r="30" spans="2:11" x14ac:dyDescent="0.25">
      <c r="B30" s="8" t="s">
        <v>29</v>
      </c>
      <c r="C30" s="9">
        <v>0</v>
      </c>
    </row>
    <row r="31" spans="2:11" x14ac:dyDescent="0.25">
      <c r="B31" s="8" t="s">
        <v>46</v>
      </c>
      <c r="C31" s="9">
        <v>0</v>
      </c>
    </row>
    <row r="32" spans="2:11" x14ac:dyDescent="0.25">
      <c r="B32" s="7" t="s">
        <v>47</v>
      </c>
      <c r="C32" s="171">
        <v>0</v>
      </c>
      <c r="D32" s="86"/>
      <c r="E32" s="86"/>
      <c r="F32" s="86"/>
      <c r="G32" s="86"/>
      <c r="H32" s="86"/>
      <c r="I32" s="86"/>
      <c r="J32" s="86"/>
      <c r="K32" s="86"/>
    </row>
    <row r="33" spans="2:5" x14ac:dyDescent="0.25">
      <c r="B33" s="8" t="s">
        <v>48</v>
      </c>
      <c r="C33" s="9">
        <v>0</v>
      </c>
    </row>
    <row r="34" spans="2:5" x14ac:dyDescent="0.25">
      <c r="B34" s="8" t="s">
        <v>90</v>
      </c>
      <c r="C34" s="9">
        <v>0</v>
      </c>
    </row>
    <row r="35" spans="2:5" x14ac:dyDescent="0.25">
      <c r="B35" s="7" t="s">
        <v>49</v>
      </c>
      <c r="C35" s="171">
        <v>0</v>
      </c>
    </row>
    <row r="36" spans="2:5" x14ac:dyDescent="0.25">
      <c r="B36" s="7" t="s">
        <v>22</v>
      </c>
      <c r="C36" s="171">
        <v>0</v>
      </c>
    </row>
    <row r="37" spans="2:5" x14ac:dyDescent="0.25">
      <c r="B37" s="7" t="s">
        <v>185</v>
      </c>
      <c r="C37" s="171">
        <v>0</v>
      </c>
    </row>
    <row r="38" spans="2:5" x14ac:dyDescent="0.25">
      <c r="B38" s="5" t="s">
        <v>31</v>
      </c>
      <c r="C38" s="6">
        <f>SUM(C12:C37)</f>
        <v>0</v>
      </c>
      <c r="E38" s="85"/>
    </row>
    <row r="39" spans="2:5" x14ac:dyDescent="0.25">
      <c r="B39" s="5" t="s">
        <v>50</v>
      </c>
      <c r="C39" s="6">
        <f>C9+C38</f>
        <v>0</v>
      </c>
    </row>
    <row r="40" spans="2:5" x14ac:dyDescent="0.25">
      <c r="B40" s="5" t="s">
        <v>51</v>
      </c>
      <c r="C40" s="6">
        <f>C9+C38</f>
        <v>0</v>
      </c>
    </row>
    <row r="41" spans="2:5" x14ac:dyDescent="0.25">
      <c r="B41" s="5" t="s">
        <v>52</v>
      </c>
      <c r="C41" s="6">
        <f>C9+C38</f>
        <v>0</v>
      </c>
    </row>
    <row r="42" spans="2:5" x14ac:dyDescent="0.25">
      <c r="B42" s="5" t="s">
        <v>53</v>
      </c>
      <c r="C42" s="6">
        <f>C9+C38</f>
        <v>0</v>
      </c>
    </row>
    <row r="43" spans="2:5" x14ac:dyDescent="0.25">
      <c r="B43" s="5" t="s">
        <v>54</v>
      </c>
      <c r="C43" s="6">
        <f>C9+C38</f>
        <v>0</v>
      </c>
    </row>
    <row r="45" spans="2:5" x14ac:dyDescent="0.25">
      <c r="B45" s="73" t="s">
        <v>89</v>
      </c>
      <c r="C45" s="74">
        <v>11</v>
      </c>
    </row>
    <row r="47" spans="2:5" x14ac:dyDescent="0.25">
      <c r="B47" s="73" t="s">
        <v>68</v>
      </c>
      <c r="C47" s="74">
        <v>16</v>
      </c>
    </row>
    <row r="48" spans="2:5" x14ac:dyDescent="0.25">
      <c r="B48" s="73"/>
      <c r="C48" s="73"/>
    </row>
    <row r="49" spans="2:9" x14ac:dyDescent="0.25">
      <c r="B49" s="73" t="s">
        <v>70</v>
      </c>
      <c r="C49" s="74">
        <f>C51-C47-C45</f>
        <v>168</v>
      </c>
      <c r="F49" s="198"/>
      <c r="G49" s="198"/>
      <c r="H49" s="198"/>
      <c r="I49" s="198"/>
    </row>
    <row r="50" spans="2:9" x14ac:dyDescent="0.25">
      <c r="B50" s="73"/>
      <c r="C50" s="73"/>
    </row>
    <row r="51" spans="2:9" x14ac:dyDescent="0.25">
      <c r="B51" s="73" t="s">
        <v>69</v>
      </c>
      <c r="C51" s="74">
        <v>195</v>
      </c>
    </row>
  </sheetData>
  <mergeCells count="4">
    <mergeCell ref="A2:C2"/>
    <mergeCell ref="A4:C4"/>
    <mergeCell ref="F49:I49"/>
    <mergeCell ref="D28:H28"/>
  </mergeCells>
  <phoneticPr fontId="1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54</vt:i4>
      </vt:variant>
      <vt:variant>
        <vt:lpstr>Intervalos Nomeados</vt:lpstr>
      </vt:variant>
      <vt:variant>
        <vt:i4>25</vt:i4>
      </vt:variant>
    </vt:vector>
  </HeadingPairs>
  <TitlesOfParts>
    <vt:vector size="79" baseType="lpstr">
      <vt:lpstr>OBRA 251</vt:lpstr>
      <vt:lpstr>OBRA 259 </vt:lpstr>
      <vt:lpstr>OBRA 265</vt:lpstr>
      <vt:lpstr>OBRA 267</vt:lpstr>
      <vt:lpstr>OBRA 268</vt:lpstr>
      <vt:lpstr>OBRA 269</vt:lpstr>
      <vt:lpstr>OBRA 270</vt:lpstr>
      <vt:lpstr>OBRA 274</vt:lpstr>
      <vt:lpstr>OBRA 275</vt:lpstr>
      <vt:lpstr>OBRA 277</vt:lpstr>
      <vt:lpstr>OBRA 279</vt:lpstr>
      <vt:lpstr>OBRA 280</vt:lpstr>
      <vt:lpstr>OBRA 281</vt:lpstr>
      <vt:lpstr>OBRA 282</vt:lpstr>
      <vt:lpstr>OBRA 283</vt:lpstr>
      <vt:lpstr>OBRA 284</vt:lpstr>
      <vt:lpstr>OBRA 285</vt:lpstr>
      <vt:lpstr>OBRA 286</vt:lpstr>
      <vt:lpstr>OBRA 287</vt:lpstr>
      <vt:lpstr>OBRA 288</vt:lpstr>
      <vt:lpstr>OBRA 289</vt:lpstr>
      <vt:lpstr>OBRA 290</vt:lpstr>
      <vt:lpstr>OBRA 291</vt:lpstr>
      <vt:lpstr>OBRA 292</vt:lpstr>
      <vt:lpstr>OBRA 293</vt:lpstr>
      <vt:lpstr>OBRA 294</vt:lpstr>
      <vt:lpstr>OBRA 295</vt:lpstr>
      <vt:lpstr>OBRA 296</vt:lpstr>
      <vt:lpstr>OBRA 297</vt:lpstr>
      <vt:lpstr>OBRA 298</vt:lpstr>
      <vt:lpstr>OBRA 299</vt:lpstr>
      <vt:lpstr>OBRA 300</vt:lpstr>
      <vt:lpstr>OBRA 301</vt:lpstr>
      <vt:lpstr>OBRA 302</vt:lpstr>
      <vt:lpstr>OBRA 303</vt:lpstr>
      <vt:lpstr>OBRA 304</vt:lpstr>
      <vt:lpstr>OBRA 305</vt:lpstr>
      <vt:lpstr>OBRA 306</vt:lpstr>
      <vt:lpstr>OBRA 307</vt:lpstr>
      <vt:lpstr>OBRA 308</vt:lpstr>
      <vt:lpstr>OBRA 309</vt:lpstr>
      <vt:lpstr>OBRA 310</vt:lpstr>
      <vt:lpstr>OBRA 311</vt:lpstr>
      <vt:lpstr>OBRA 312</vt:lpstr>
      <vt:lpstr>OBRA 313</vt:lpstr>
      <vt:lpstr>OBRA 314</vt:lpstr>
      <vt:lpstr>OBRA 315</vt:lpstr>
      <vt:lpstr>OBRA 316</vt:lpstr>
      <vt:lpstr>OBRA 317</vt:lpstr>
      <vt:lpstr>OBRA 318</vt:lpstr>
      <vt:lpstr>OBRA 319</vt:lpstr>
      <vt:lpstr>DEMAIS OBRAS</vt:lpstr>
      <vt:lpstr>TOTAIS</vt:lpstr>
      <vt:lpstr>06.2026 DEPTO TÉCNICO </vt:lpstr>
      <vt:lpstr>'DEMAIS OBRAS'!Area_de_impressao</vt:lpstr>
      <vt:lpstr>'OBRA 296'!Area_de_impressao</vt:lpstr>
      <vt:lpstr>'OBRA 297'!Area_de_impressao</vt:lpstr>
      <vt:lpstr>'OBRA 298'!Area_de_impressao</vt:lpstr>
      <vt:lpstr>'OBRA 299'!Area_de_impressao</vt:lpstr>
      <vt:lpstr>'OBRA 300'!Area_de_impressao</vt:lpstr>
      <vt:lpstr>'OBRA 301'!Area_de_impressao</vt:lpstr>
      <vt:lpstr>'OBRA 302'!Area_de_impressao</vt:lpstr>
      <vt:lpstr>'OBRA 303'!Area_de_impressao</vt:lpstr>
      <vt:lpstr>'OBRA 304'!Area_de_impressao</vt:lpstr>
      <vt:lpstr>'OBRA 305'!Area_de_impressao</vt:lpstr>
      <vt:lpstr>'OBRA 306'!Area_de_impressao</vt:lpstr>
      <vt:lpstr>'OBRA 307'!Area_de_impressao</vt:lpstr>
      <vt:lpstr>'OBRA 308'!Area_de_impressao</vt:lpstr>
      <vt:lpstr>'OBRA 309'!Area_de_impressao</vt:lpstr>
      <vt:lpstr>'OBRA 310'!Area_de_impressao</vt:lpstr>
      <vt:lpstr>'OBRA 311'!Area_de_impressao</vt:lpstr>
      <vt:lpstr>'OBRA 312'!Area_de_impressao</vt:lpstr>
      <vt:lpstr>'OBRA 313'!Area_de_impressao</vt:lpstr>
      <vt:lpstr>'OBRA 314'!Area_de_impressao</vt:lpstr>
      <vt:lpstr>'OBRA 315'!Area_de_impressao</vt:lpstr>
      <vt:lpstr>'OBRA 316'!Area_de_impressao</vt:lpstr>
      <vt:lpstr>'OBRA 317'!Area_de_impressao</vt:lpstr>
      <vt:lpstr>'OBRA 318'!Area_de_impressao</vt:lpstr>
      <vt:lpstr>'OBRA 319'!Area_de_impressao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</dc:creator>
  <cp:lastModifiedBy>Juliana Andrade</cp:lastModifiedBy>
  <cp:lastPrinted>2026-06-30T18:46:25Z</cp:lastPrinted>
  <dcterms:created xsi:type="dcterms:W3CDTF">2022-05-04T17:01:13Z</dcterms:created>
  <dcterms:modified xsi:type="dcterms:W3CDTF">2026-07-20T13:55:52Z</dcterms:modified>
</cp:coreProperties>
</file>